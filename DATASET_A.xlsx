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fs_2\Downloads\DATASCIENCE PROJECT\Dataset A\"/>
    </mc:Choice>
  </mc:AlternateContent>
  <xr:revisionPtr revIDLastSave="0" documentId="13_ncr:1_{7B1561BC-E6C5-485F-87AE-FD8BA1D9AD34}" xr6:coauthVersionLast="47" xr6:coauthVersionMax="47" xr10:uidLastSave="{00000000-0000-0000-0000-000000000000}"/>
  <bookViews>
    <workbookView xWindow="-108" yWindow="-108" windowWidth="23256" windowHeight="12456" activeTab="1" xr2:uid="{298D2364-F818-41A9-B083-0FA3936597DE}"/>
  </bookViews>
  <sheets>
    <sheet name="Detail1" sheetId="39" r:id="rId1"/>
    <sheet name="Dash Board" sheetId="25" r:id="rId2"/>
    <sheet name="Day Rental trend" sheetId="17" r:id="rId3"/>
    <sheet name="Hourly Rental trend" sheetId="18" r:id="rId4"/>
    <sheet name="Casual vs Registered Users" sheetId="21" r:id="rId5"/>
    <sheet name="Weekend vs Weekday Analysis" sheetId="22" r:id="rId6"/>
    <sheet name="Temperature vs Rentals" sheetId="23" r:id="rId7"/>
    <sheet name="Weekday VS Rental_user" sheetId="29" r:id="rId8"/>
    <sheet name="KPI_1" sheetId="31" r:id="rId9"/>
    <sheet name="KPI_2" sheetId="33" r:id="rId10"/>
    <sheet name="KPI_3" sheetId="34" r:id="rId11"/>
    <sheet name="KPI_4" sheetId="35" r:id="rId12"/>
    <sheet name="Time Slot Analysis" sheetId="36" r:id="rId13"/>
    <sheet name="kpi-5" sheetId="37" r:id="rId14"/>
    <sheet name="KPI-6" sheetId="38" r:id="rId15"/>
    <sheet name="Weather Impact on Rentals" sheetId="40" r:id="rId16"/>
    <sheet name="Dataset_AFinal" sheetId="4" r:id="rId17"/>
    <sheet name="Bike Sharing Data" sheetId="3" r:id="rId18"/>
    <sheet name="Raw_data1" sheetId="2" r:id="rId19"/>
  </sheets>
  <definedNames>
    <definedName name="ExternalData_1" localSheetId="18" hidden="1">Raw_data1!$A$1:$J$611</definedName>
    <definedName name="ExternalData_2" localSheetId="17" hidden="1">'Bike Sharing Data'!$A$1:$G$611</definedName>
    <definedName name="ExternalData_3" localSheetId="16" hidden="1">Dataset_AFinal!$A$1:$S$614</definedName>
    <definedName name="Slicer_Holiday">#N/A</definedName>
    <definedName name="Slicer_Time_Slot">#N/A</definedName>
    <definedName name="Slicer_Weather_Situation">#N/A</definedName>
    <definedName name="Slicer_Weekday">#N/A</definedName>
    <definedName name="Slicer_Weekend_vs_Weekday">#N/A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11" i="4" l="1"/>
  <c r="J611" i="4"/>
  <c r="S611" i="4"/>
  <c r="G613" i="4"/>
  <c r="L613" i="4"/>
  <c r="O613" i="4"/>
  <c r="P613" i="4"/>
  <c r="Q613" i="4"/>
  <c r="R613" i="4"/>
  <c r="S2" i="4"/>
  <c r="S3" i="4"/>
  <c r="S4" i="4"/>
  <c r="S5" i="4"/>
  <c r="S6" i="4"/>
  <c r="S7" i="4"/>
  <c r="S8" i="4"/>
  <c r="S9" i="4"/>
  <c r="N10" i="4"/>
  <c r="S10" i="4"/>
  <c r="S11" i="4"/>
  <c r="S12" i="4"/>
  <c r="S13" i="4"/>
  <c r="S14" i="4"/>
  <c r="S15" i="4"/>
  <c r="S16" i="4"/>
  <c r="S17" i="4"/>
  <c r="S18" i="4"/>
  <c r="N19" i="4"/>
  <c r="S19" i="4"/>
  <c r="S20" i="4"/>
  <c r="S21" i="4"/>
  <c r="S22" i="4"/>
  <c r="S23" i="4"/>
  <c r="S24" i="4"/>
  <c r="N25" i="4"/>
  <c r="S25" i="4"/>
  <c r="S26" i="4"/>
  <c r="S27" i="4"/>
  <c r="S28" i="4"/>
  <c r="S29" i="4"/>
  <c r="N30" i="4"/>
  <c r="S30" i="4"/>
  <c r="S31" i="4"/>
  <c r="S32" i="4"/>
  <c r="S33" i="4"/>
  <c r="N34" i="4"/>
  <c r="S34" i="4"/>
  <c r="S35" i="4"/>
  <c r="S36" i="4"/>
  <c r="S37" i="4"/>
  <c r="S38" i="4"/>
  <c r="N39" i="4"/>
  <c r="S39" i="4"/>
  <c r="S40" i="4"/>
  <c r="S41" i="4"/>
  <c r="S42" i="4"/>
  <c r="S43" i="4"/>
  <c r="S44" i="4"/>
  <c r="N45" i="4"/>
  <c r="S45" i="4"/>
  <c r="S46" i="4"/>
  <c r="S47" i="4"/>
  <c r="S48" i="4"/>
  <c r="S49" i="4"/>
  <c r="N50" i="4"/>
  <c r="S50" i="4"/>
  <c r="S51" i="4"/>
  <c r="S52" i="4"/>
  <c r="S53" i="4"/>
  <c r="S54" i="4"/>
  <c r="S55" i="4"/>
  <c r="S56" i="4"/>
  <c r="S57" i="4"/>
  <c r="S58" i="4"/>
  <c r="S59" i="4"/>
  <c r="N60" i="4"/>
  <c r="S60" i="4"/>
  <c r="S61" i="4"/>
  <c r="S62" i="4"/>
  <c r="S63" i="4"/>
  <c r="S64" i="4"/>
  <c r="S65" i="4"/>
  <c r="S66" i="4"/>
  <c r="N67" i="4"/>
  <c r="S67" i="4"/>
  <c r="S68" i="4"/>
  <c r="S69" i="4"/>
  <c r="S70" i="4"/>
  <c r="N71"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Q614" i="4"/>
  <c r="R614"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4"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N613" i="4" l="1"/>
  <c r="S613" i="4"/>
  <c r="S614" i="4"/>
  <c r="V5" i="4"/>
  <c r="V6" i="4"/>
  <c r="V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5A16E9-7A0A-450B-8547-34C2CBBFEBA4}" keepAlive="1" name="Query - dataset_1 xlsx" description="Connection to the 'dataset_1 xlsx' query in the workbook." type="5" refreshedVersion="8" background="1" saveData="1">
    <dbPr connection="Provider=Microsoft.Mashup.OleDb.1;Data Source=$Workbook$;Location=&quot;dataset_1 xlsx&quot;;Extended Properties=&quot;&quot;" command="SELECT * FROM [dataset_1 xlsx]"/>
  </connection>
  <connection id="2" xr16:uid="{06E22718-E781-4447-92F2-B0B1090D2D90}" keepAlive="1" name="Query - dataset_2 xlsx" description="Connection to the 'dataset_2 xlsx' query in the workbook." type="5" refreshedVersion="8" background="1" saveData="1">
    <dbPr connection="Provider=Microsoft.Mashup.OleDb.1;Data Source=$Workbook$;Location=&quot;dataset_2 xlsx&quot;;Extended Properties=&quot;&quot;" command="SELECT * FROM [dataset_2 xlsx]"/>
  </connection>
  <connection id="3" xr16:uid="{BD9E96FC-5542-4C69-818B-2FBA29723544}" keepAlive="1" name="Query - Dataset_AFinal" description="Connection to the 'Dataset_AFinal' query in the workbook." type="5" refreshedVersion="8" background="1" saveData="1">
    <dbPr connection="Provider=Microsoft.Mashup.OleDb.1;Data Source=$Workbook$;Location=Dataset_AFinal;Extended Properties=&quot;&quot;" command="SELECT * FROM [Dataset_AFinal]"/>
  </connection>
</connections>
</file>

<file path=xl/sharedStrings.xml><?xml version="1.0" encoding="utf-8"?>
<sst xmlns="http://schemas.openxmlformats.org/spreadsheetml/2006/main" count="9997" uniqueCount="131">
  <si>
    <t>instant</t>
  </si>
  <si>
    <t>dteday</t>
  </si>
  <si>
    <t>season</t>
  </si>
  <si>
    <t>yr</t>
  </si>
  <si>
    <t>mnth</t>
  </si>
  <si>
    <t>hr</t>
  </si>
  <si>
    <t>holiday</t>
  </si>
  <si>
    <t>weekday</t>
  </si>
  <si>
    <t>weathersit</t>
  </si>
  <si>
    <t>temp</t>
  </si>
  <si>
    <t>atemp</t>
  </si>
  <si>
    <t>hum</t>
  </si>
  <si>
    <t>windspeed</t>
  </si>
  <si>
    <t>casual</t>
  </si>
  <si>
    <t>registered</t>
  </si>
  <si>
    <t>cnt</t>
  </si>
  <si>
    <t>Instant</t>
  </si>
  <si>
    <t>Year</t>
  </si>
  <si>
    <t>Month</t>
  </si>
  <si>
    <t>Season</t>
  </si>
  <si>
    <t>Hour</t>
  </si>
  <si>
    <t>Holiday</t>
  </si>
  <si>
    <t>Weekday</t>
  </si>
  <si>
    <t>Weather Situation</t>
  </si>
  <si>
    <t>Temp</t>
  </si>
  <si>
    <t>Atemp</t>
  </si>
  <si>
    <t>Humidity</t>
  </si>
  <si>
    <t>Windspeed</t>
  </si>
  <si>
    <t>Casual_user</t>
  </si>
  <si>
    <t>Registered_user</t>
  </si>
  <si>
    <t>Total Rental_user</t>
  </si>
  <si>
    <t>Spring</t>
  </si>
  <si>
    <t>Clear</t>
  </si>
  <si>
    <t>Mist / Cloudy</t>
  </si>
  <si>
    <t>Light Snow/Rain</t>
  </si>
  <si>
    <t>Heavy Rain/Snow</t>
  </si>
  <si>
    <t>Weekend vs Weekday</t>
  </si>
  <si>
    <t>Count and count if</t>
  </si>
  <si>
    <t>Weekend</t>
  </si>
  <si>
    <t>Temp_2</t>
  </si>
  <si>
    <t>Cool</t>
  </si>
  <si>
    <t>Moderate</t>
  </si>
  <si>
    <t>Sweltering</t>
  </si>
  <si>
    <t>Extremely hot</t>
  </si>
  <si>
    <t>Icy</t>
  </si>
  <si>
    <t xml:space="preserve">&lt; = 0.15 </t>
  </si>
  <si>
    <t>ICY</t>
  </si>
  <si>
    <t>&lt; = 0.25</t>
  </si>
  <si>
    <t>COOL</t>
  </si>
  <si>
    <t>&lt; = 0.32</t>
  </si>
  <si>
    <t>&lt; = 0.41</t>
  </si>
  <si>
    <t>ELSE</t>
  </si>
  <si>
    <t>Sat</t>
  </si>
  <si>
    <t>Sun</t>
  </si>
  <si>
    <t>Mon</t>
  </si>
  <si>
    <t>Tue</t>
  </si>
  <si>
    <t>Wed</t>
  </si>
  <si>
    <t>Thu</t>
  </si>
  <si>
    <t>Fri</t>
  </si>
  <si>
    <t>LEFT FUNCTION USED FOR WEEKDAYS NAME</t>
  </si>
  <si>
    <t>Average</t>
  </si>
  <si>
    <t>Total SUM</t>
  </si>
  <si>
    <t>WIND SPEED</t>
  </si>
  <si>
    <t>Cell Value &gt; 0.4 = Format blue.</t>
  </si>
  <si>
    <t>High Humidity</t>
  </si>
  <si>
    <t>&gt; 0.80</t>
  </si>
  <si>
    <t>Total Rental_User</t>
  </si>
  <si>
    <t>Below 55</t>
  </si>
  <si>
    <t>Red</t>
  </si>
  <si>
    <t>More than 150 but less than 200</t>
  </si>
  <si>
    <t>ligh green</t>
  </si>
  <si>
    <t>above 200</t>
  </si>
  <si>
    <t>Dark Green</t>
  </si>
  <si>
    <t>Remarks</t>
  </si>
  <si>
    <t>Less Demand</t>
  </si>
  <si>
    <t>Extreme Demand</t>
  </si>
  <si>
    <t>Above avg demand</t>
  </si>
  <si>
    <t>Day</t>
  </si>
  <si>
    <t>01</t>
  </si>
  <si>
    <t>2011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</si>
  <si>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</si>
  <si>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</si>
  <si>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</si>
  <si>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</si>
  <si>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</si>
  <si>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</si>
  <si>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</si>
  <si>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</si>
  <si>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</si>
  <si>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</si>
  <si>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</si>
  <si>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</si>
  <si>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</si>
  <si>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</si>
  <si>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</si>
  <si>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</si>
  <si>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</si>
  <si>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</si>
  <si>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</si>
  <si>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</si>
  <si>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</si>
  <si>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</si>
  <si>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</si>
  <si>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</si>
  <si>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</si>
  <si>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</si>
  <si>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</si>
  <si>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Time Slot</t>
  </si>
  <si>
    <t>Row Labels</t>
  </si>
  <si>
    <t>Grand Total</t>
  </si>
  <si>
    <t>Sum of Total Rental_user</t>
  </si>
  <si>
    <t>Sum of Casual_user</t>
  </si>
  <si>
    <t>Sum of Registered_user</t>
  </si>
  <si>
    <t>Evening</t>
  </si>
  <si>
    <t>Afternoon</t>
  </si>
  <si>
    <t>Morning</t>
  </si>
  <si>
    <t>Night</t>
  </si>
  <si>
    <t>Weather Temp</t>
  </si>
  <si>
    <t>Week</t>
  </si>
  <si>
    <t>Date</t>
  </si>
  <si>
    <t>Daate</t>
  </si>
  <si>
    <t>Total user</t>
  </si>
  <si>
    <t>Monthly</t>
  </si>
  <si>
    <t>AvgTotal_user</t>
  </si>
  <si>
    <t>Total Casual_user</t>
  </si>
  <si>
    <t>Total Regi._user</t>
  </si>
  <si>
    <t>Peak Rental Day</t>
  </si>
  <si>
    <t>Total Rental user</t>
  </si>
  <si>
    <t>Lowest Rental Day</t>
  </si>
  <si>
    <t>Bike Sharing Demand Analysis</t>
  </si>
  <si>
    <t>Details for Total user - Month: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</si>
</sst>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10409]h\.mm\.ss\ AM/PM;@"/>
  </numFmts>
  <fonts count="19" x14ac:knownFonts="1">
    <font>
      <sz val="11"/>
      <color theme="1"/>
      <name val="Calibri"/>
      <family val="2"/>
      <scheme val="minor"/>
    </font>
    <font>
      <b/>
      <sz val="11"/>
      <color theme="1"/>
      <name val="Calibri"/>
      <family val="2"/>
      <scheme val="minor"/>
    </font>
    <font>
      <sz val="10"/>
      <color theme="1"/>
      <name val="Arial"/>
      <family val="2"/>
    </font>
    <font>
      <b/>
      <sz val="12"/>
      <color theme="1"/>
      <name val="Arial"/>
      <family val="2"/>
    </font>
    <font>
      <sz val="10"/>
      <color rgb="FF000000"/>
      <name val="Calibri"/>
      <family val="2"/>
      <scheme val="minor"/>
    </font>
    <font>
      <b/>
      <sz val="12"/>
      <color rgb="FF000000"/>
      <name val="Arial"/>
      <family val="2"/>
    </font>
    <font>
      <sz val="12"/>
      <color rgb="FF000000"/>
      <name val="Arial"/>
      <family val="2"/>
    </font>
    <font>
      <b/>
      <sz val="12"/>
      <color theme="1"/>
      <name val="Calibri"/>
      <family val="2"/>
      <scheme val="minor"/>
    </font>
    <font>
      <b/>
      <sz val="16"/>
      <color theme="1"/>
      <name val="Arial"/>
      <family val="2"/>
    </font>
    <font>
      <sz val="16"/>
      <color theme="1"/>
      <name val="Arial"/>
      <family val="2"/>
    </font>
    <font>
      <sz val="16"/>
      <color theme="1"/>
      <name val="Calibri"/>
      <family val="2"/>
      <scheme val="minor"/>
    </font>
    <font>
      <b/>
      <sz val="28"/>
      <color theme="1"/>
      <name val="Arial"/>
      <family val="2"/>
    </font>
    <font>
      <sz val="8"/>
      <name val="Calibri"/>
      <family val="2"/>
      <scheme val="minor"/>
    </font>
    <font>
      <b/>
      <i/>
      <u/>
      <sz val="40"/>
      <color theme="1"/>
      <name val="Arial"/>
      <family val="2"/>
    </font>
    <font>
      <b/>
      <u/>
      <sz val="24"/>
      <color theme="1"/>
      <name val="Arial"/>
      <family val="2"/>
    </font>
    <font>
      <b/>
      <sz val="24"/>
      <color theme="1"/>
      <name val="Arial"/>
      <family val="2"/>
    </font>
    <font>
      <sz val="24"/>
      <color theme="1"/>
      <name val="Calibri"/>
      <family val="2"/>
      <scheme val="minor"/>
    </font>
    <font>
      <b/>
      <sz val="24"/>
      <color theme="1"/>
      <name val="Calibri"/>
      <family val="2"/>
      <scheme val="minor"/>
    </font>
    <font>
      <sz val="24"/>
      <color theme="1"/>
      <name val="Arial"/>
      <family val="2"/>
    </font>
  </fonts>
  <fills count="10">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4" tint="0.59999389629810485"/>
        <bgColor theme="4" tint="0.59999389629810485"/>
      </patternFill>
    </fill>
  </fills>
  <borders count="2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s>
  <cellStyleXfs count="2">
    <xf numFmtId="0" fontId="0" fillId="0" borderId="0"/>
    <xf numFmtId="0" fontId="4" fillId="0" borderId="0"/>
  </cellStyleXfs>
  <cellXfs count="91">
    <xf numFmtId="0" fontId="0" fillId="0" borderId="0" xfId="0"/>
    <xf numFmtId="14" fontId="0" fillId="0" borderId="0" xfId="0" applyNumberFormat="1"/>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 fillId="0" borderId="6" xfId="0" applyFont="1" applyBorder="1" applyAlignment="1">
      <alignment horizontal="center" vertical="center"/>
    </xf>
    <xf numFmtId="14" fontId="2" fillId="0" borderId="3" xfId="0" applyNumberFormat="1" applyFont="1" applyBorder="1" applyAlignment="1">
      <alignment horizontal="center" vertical="center"/>
    </xf>
    <xf numFmtId="0" fontId="2" fillId="0" borderId="3" xfId="0" applyFont="1" applyBorder="1" applyAlignment="1">
      <alignment horizontal="center" vertical="center"/>
    </xf>
    <xf numFmtId="2" fontId="2" fillId="0" borderId="3" xfId="0" applyNumberFormat="1" applyFont="1" applyBorder="1" applyAlignment="1">
      <alignment horizontal="center" vertical="center"/>
    </xf>
    <xf numFmtId="1" fontId="2" fillId="0" borderId="3" xfId="0" applyNumberFormat="1"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2" fontId="2" fillId="0" borderId="8" xfId="0" applyNumberFormat="1" applyFont="1" applyBorder="1" applyAlignment="1">
      <alignment horizontal="center" vertical="center"/>
    </xf>
    <xf numFmtId="1" fontId="2" fillId="0" borderId="8" xfId="0" applyNumberFormat="1" applyFont="1" applyBorder="1" applyAlignment="1">
      <alignment horizontal="center" vertical="center"/>
    </xf>
    <xf numFmtId="164" fontId="3" fillId="0" borderId="5" xfId="0" applyNumberFormat="1" applyFont="1" applyBorder="1" applyAlignment="1">
      <alignment horizontal="center" vertical="center"/>
    </xf>
    <xf numFmtId="164" fontId="0" fillId="0" borderId="0" xfId="0" applyNumberFormat="1"/>
    <xf numFmtId="165" fontId="2" fillId="0" borderId="3" xfId="0" applyNumberFormat="1" applyFont="1" applyBorder="1" applyAlignment="1">
      <alignment horizontal="center" vertical="center"/>
    </xf>
    <xf numFmtId="165" fontId="2" fillId="0" borderId="8" xfId="0" applyNumberFormat="1" applyFont="1" applyBorder="1" applyAlignment="1">
      <alignment horizontal="center" vertical="center"/>
    </xf>
    <xf numFmtId="0" fontId="6" fillId="2" borderId="3" xfId="0" applyFont="1" applyFill="1" applyBorder="1" applyAlignment="1">
      <alignment horizontal="left"/>
    </xf>
    <xf numFmtId="0" fontId="6" fillId="2" borderId="3" xfId="0" applyFont="1" applyFill="1" applyBorder="1" applyAlignment="1">
      <alignment horizontal="center"/>
    </xf>
    <xf numFmtId="1" fontId="6" fillId="2" borderId="3" xfId="0" applyNumberFormat="1" applyFont="1" applyFill="1" applyBorder="1" applyAlignment="1">
      <alignment horizontal="left"/>
    </xf>
    <xf numFmtId="0" fontId="0" fillId="2" borderId="9" xfId="0" quotePrefix="1"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0" borderId="0" xfId="0" applyAlignment="1">
      <alignment horizontal="left"/>
    </xf>
    <xf numFmtId="14" fontId="3" fillId="2" borderId="8" xfId="0" applyNumberFormat="1"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0" applyNumberFormat="1" applyFont="1" applyFill="1" applyBorder="1" applyAlignment="1">
      <alignment horizontal="center" vertical="center"/>
    </xf>
    <xf numFmtId="2" fontId="3" fillId="2" borderId="8" xfId="0" applyNumberFormat="1" applyFont="1" applyFill="1" applyBorder="1" applyAlignment="1">
      <alignment horizontal="center" vertical="center"/>
    </xf>
    <xf numFmtId="1" fontId="3" fillId="2" borderId="8" xfId="0" applyNumberFormat="1" applyFont="1" applyFill="1" applyBorder="1" applyAlignment="1">
      <alignment horizontal="center" vertical="center"/>
    </xf>
    <xf numFmtId="0" fontId="3" fillId="2" borderId="7" xfId="0" applyFont="1" applyFill="1" applyBorder="1" applyAlignment="1">
      <alignment horizontal="left" vertical="center"/>
    </xf>
    <xf numFmtId="0" fontId="1" fillId="0" borderId="0" xfId="0" applyFont="1" applyAlignment="1">
      <alignment horizontal="left"/>
    </xf>
    <xf numFmtId="9" fontId="2" fillId="0" borderId="3" xfId="0" applyNumberFormat="1" applyFont="1" applyBorder="1" applyAlignment="1">
      <alignment horizontal="center" vertical="center"/>
    </xf>
    <xf numFmtId="9" fontId="2" fillId="0" borderId="8" xfId="0" applyNumberFormat="1" applyFont="1" applyBorder="1" applyAlignment="1">
      <alignment horizontal="center" vertical="center"/>
    </xf>
    <xf numFmtId="0" fontId="1" fillId="0" borderId="0" xfId="0" applyFont="1"/>
    <xf numFmtId="0" fontId="0" fillId="0" borderId="3" xfId="0" applyBorder="1" applyAlignment="1">
      <alignment horizontal="center"/>
    </xf>
    <xf numFmtId="0" fontId="7" fillId="2" borderId="8" xfId="0" applyFont="1" applyFill="1" applyBorder="1" applyAlignment="1">
      <alignment horizontal="center"/>
    </xf>
    <xf numFmtId="0" fontId="0" fillId="0" borderId="8" xfId="0" applyBorder="1" applyAlignment="1">
      <alignment horizontal="center"/>
    </xf>
    <xf numFmtId="14" fontId="3" fillId="3" borderId="13" xfId="0" applyNumberFormat="1" applyFont="1" applyFill="1" applyBorder="1" applyAlignment="1">
      <alignment horizontal="center" vertical="center"/>
    </xf>
    <xf numFmtId="0" fontId="3" fillId="3" borderId="13" xfId="0" applyFont="1" applyFill="1" applyBorder="1" applyAlignment="1">
      <alignment horizontal="center" vertical="center"/>
    </xf>
    <xf numFmtId="165" fontId="3" fillId="3" borderId="13" xfId="0" applyNumberFormat="1" applyFont="1" applyFill="1" applyBorder="1" applyAlignment="1">
      <alignment horizontal="center" vertical="center"/>
    </xf>
    <xf numFmtId="0" fontId="7" fillId="3" borderId="13" xfId="0" applyFont="1" applyFill="1" applyBorder="1" applyAlignment="1">
      <alignment horizontal="center"/>
    </xf>
    <xf numFmtId="2" fontId="3" fillId="3" borderId="13" xfId="0" applyNumberFormat="1" applyFont="1" applyFill="1" applyBorder="1" applyAlignment="1">
      <alignment horizontal="center" vertical="center"/>
    </xf>
    <xf numFmtId="10" fontId="3" fillId="3" borderId="13" xfId="0" applyNumberFormat="1" applyFont="1" applyFill="1" applyBorder="1" applyAlignment="1">
      <alignment horizontal="center" vertical="center"/>
    </xf>
    <xf numFmtId="1" fontId="3" fillId="3" borderId="13" xfId="0" applyNumberFormat="1" applyFont="1" applyFill="1" applyBorder="1" applyAlignment="1">
      <alignment horizontal="center" vertical="center"/>
    </xf>
    <xf numFmtId="0" fontId="3" fillId="3" borderId="14" xfId="0" applyFont="1" applyFill="1" applyBorder="1" applyAlignment="1">
      <alignment horizontal="left" vertical="center"/>
    </xf>
    <xf numFmtId="0" fontId="0" fillId="0" borderId="0" xfId="0" pivotButton="1"/>
    <xf numFmtId="1" fontId="0" fillId="0" borderId="0" xfId="0" applyNumberFormat="1"/>
    <xf numFmtId="0" fontId="10" fillId="0" borderId="0" xfId="0" applyFont="1"/>
    <xf numFmtId="0" fontId="0" fillId="7" borderId="16" xfId="0" applyFill="1" applyBorder="1"/>
    <xf numFmtId="0" fontId="0" fillId="7" borderId="17" xfId="0" applyFill="1" applyBorder="1"/>
    <xf numFmtId="0" fontId="0" fillId="7" borderId="0" xfId="0" applyFill="1"/>
    <xf numFmtId="0" fontId="8" fillId="7" borderId="17" xfId="0" applyFont="1" applyFill="1" applyBorder="1"/>
    <xf numFmtId="0" fontId="8" fillId="7" borderId="0" xfId="0" applyFont="1" applyFill="1"/>
    <xf numFmtId="0" fontId="8" fillId="7" borderId="16" xfId="0" applyFont="1" applyFill="1" applyBorder="1"/>
    <xf numFmtId="0" fontId="0" fillId="6" borderId="17" xfId="0" applyFill="1" applyBorder="1"/>
    <xf numFmtId="0" fontId="0" fillId="7" borderId="19" xfId="0" applyFill="1" applyBorder="1"/>
    <xf numFmtId="0" fontId="0" fillId="7" borderId="20" xfId="0" applyFill="1" applyBorder="1"/>
    <xf numFmtId="0" fontId="11" fillId="7" borderId="19" xfId="0" applyFont="1" applyFill="1" applyBorder="1" applyAlignment="1">
      <alignment horizontal="center"/>
    </xf>
    <xf numFmtId="0" fontId="0" fillId="7" borderId="18" xfId="0" applyFill="1" applyBorder="1"/>
    <xf numFmtId="0" fontId="11" fillId="7" borderId="21" xfId="0" applyFont="1" applyFill="1" applyBorder="1" applyAlignment="1">
      <alignment horizontal="center"/>
    </xf>
    <xf numFmtId="0" fontId="0" fillId="7" borderId="22" xfId="0" applyFill="1" applyBorder="1"/>
    <xf numFmtId="0" fontId="9" fillId="7" borderId="22" xfId="0" applyFont="1" applyFill="1" applyBorder="1"/>
    <xf numFmtId="0" fontId="0" fillId="7" borderId="21" xfId="0" applyFill="1" applyBorder="1"/>
    <xf numFmtId="0" fontId="11" fillId="7" borderId="18" xfId="0" applyFont="1" applyFill="1" applyBorder="1" applyAlignment="1">
      <alignment horizontal="center"/>
    </xf>
    <xf numFmtId="0" fontId="0" fillId="8" borderId="16" xfId="0" applyFill="1" applyBorder="1"/>
    <xf numFmtId="0" fontId="14" fillId="2" borderId="15" xfId="0" applyFont="1" applyFill="1" applyBorder="1" applyAlignment="1">
      <alignment horizontal="center"/>
    </xf>
    <xf numFmtId="0" fontId="15" fillId="4" borderId="15" xfId="0" applyFont="1" applyFill="1" applyBorder="1" applyAlignment="1">
      <alignment horizontal="center"/>
    </xf>
    <xf numFmtId="1" fontId="15" fillId="7" borderId="15" xfId="0" applyNumberFormat="1" applyFont="1" applyFill="1" applyBorder="1" applyAlignment="1">
      <alignment horizontal="center"/>
    </xf>
    <xf numFmtId="0" fontId="14" fillId="8" borderId="15" xfId="0" applyFont="1" applyFill="1" applyBorder="1" applyAlignment="1">
      <alignment horizontal="center"/>
    </xf>
    <xf numFmtId="0" fontId="14" fillId="7" borderId="15" xfId="0" applyFont="1" applyFill="1" applyBorder="1" applyAlignment="1">
      <alignment horizontal="center"/>
    </xf>
    <xf numFmtId="0" fontId="17" fillId="4" borderId="15" xfId="0" applyFont="1" applyFill="1" applyBorder="1" applyAlignment="1">
      <alignment horizontal="center"/>
    </xf>
    <xf numFmtId="1" fontId="17" fillId="7" borderId="15" xfId="0" applyNumberFormat="1" applyFont="1" applyFill="1" applyBorder="1" applyAlignment="1">
      <alignment horizontal="center" vertical="center"/>
    </xf>
    <xf numFmtId="0" fontId="15" fillId="2" borderId="0" xfId="0" applyFont="1" applyFill="1" applyAlignment="1">
      <alignment horizontal="center"/>
    </xf>
    <xf numFmtId="0" fontId="15" fillId="4" borderId="0" xfId="0" applyFont="1" applyFill="1" applyAlignment="1">
      <alignment horizontal="center"/>
    </xf>
    <xf numFmtId="1" fontId="15" fillId="7" borderId="0" xfId="0" applyNumberFormat="1" applyFont="1" applyFill="1" applyAlignment="1">
      <alignment horizontal="center"/>
    </xf>
    <xf numFmtId="0" fontId="15" fillId="2" borderId="0" xfId="0" applyFont="1" applyFill="1" applyAlignment="1">
      <alignment horizontal="center" vertical="center"/>
    </xf>
    <xf numFmtId="0" fontId="15" fillId="4" borderId="0" xfId="0" applyFont="1" applyFill="1" applyAlignment="1">
      <alignment horizontal="center" vertical="center"/>
    </xf>
    <xf numFmtId="1" fontId="15" fillId="7" borderId="0" xfId="0" applyNumberFormat="1" applyFont="1" applyFill="1" applyAlignment="1">
      <alignment horizontal="center" vertical="center"/>
    </xf>
    <xf numFmtId="0" fontId="18" fillId="2" borderId="0" xfId="0" applyFont="1" applyFill="1"/>
    <xf numFmtId="1" fontId="15" fillId="9" borderId="0" xfId="0" applyNumberFormat="1" applyFont="1" applyFill="1" applyAlignment="1">
      <alignment horizontal="center" vertical="center"/>
    </xf>
    <xf numFmtId="0" fontId="16" fillId="0" borderId="0" xfId="0" pivotButton="1" applyFont="1"/>
    <xf numFmtId="0" fontId="16" fillId="0" borderId="0" xfId="0" applyFont="1"/>
    <xf numFmtId="0" fontId="16" fillId="0" borderId="0" xfId="0" applyFont="1" applyAlignment="1">
      <alignment horizontal="left"/>
    </xf>
    <xf numFmtId="1" fontId="16" fillId="0" borderId="0" xfId="0" applyNumberFormat="1" applyFont="1"/>
    <xf numFmtId="0" fontId="5" fillId="2" borderId="3"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3" fillId="5" borderId="18" xfId="0" applyFont="1" applyFill="1" applyBorder="1" applyAlignment="1">
      <alignment horizontal="center" vertical="center"/>
    </xf>
    <xf numFmtId="0" fontId="13" fillId="5" borderId="19" xfId="0" applyFont="1" applyFill="1" applyBorder="1" applyAlignment="1">
      <alignment horizontal="center" vertical="center"/>
    </xf>
    <xf numFmtId="0" fontId="13" fillId="5" borderId="20" xfId="0" applyFont="1" applyFill="1" applyBorder="1" applyAlignment="1">
      <alignment horizontal="center" vertical="center"/>
    </xf>
  </cellXfs>
  <cellStyles count="2">
    <cellStyle name="Normal" xfId="0" builtinId="0"/>
    <cellStyle name="Normal 2" xfId="1" xr:uid="{1F5F7F9C-71B7-40FB-8C2E-793DAEB4096F}"/>
  </cellStyles>
  <dxfs count="4351">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ill>
        <patternFill>
          <bgColor rgb="FFFF0000"/>
        </patternFill>
      </fill>
    </dxf>
    <dxf>
      <fill>
        <patternFill>
          <bgColor theme="4" tint="0.59999389629810485"/>
        </patternFill>
      </fill>
    </dxf>
    <dxf>
      <font>
        <b/>
      </font>
    </dxf>
    <dxf>
      <font>
        <b/>
      </font>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fgColor rgb="FFFF0000"/>
        </patternFill>
      </fill>
    </dxf>
    <dxf>
      <fill>
        <patternFill>
          <fgColor rgb="FFFF0000"/>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theme="4" tint="0.59999389629810485"/>
        </patternFill>
      </fill>
    </dxf>
    <dxf>
      <fill>
        <patternFill>
          <bgColor rgb="FFFF0000"/>
        </patternFill>
      </fill>
    </dxf>
    <dxf>
      <numFmt numFmtId="1" formatCode="0"/>
      <fill>
        <patternFill>
          <fgColor theme="4" tint="0.59999389629810485"/>
        </patternFill>
      </fill>
    </dxf>
    <dxf>
      <font>
        <name val="Arial"/>
        <scheme val="none"/>
      </font>
    </dxf>
    <dxf>
      <font>
        <name val="Arial"/>
        <scheme val="none"/>
      </font>
    </dxf>
    <dxf>
      <font>
        <name val="Arial"/>
        <scheme val="none"/>
      </font>
    </dxf>
    <dxf>
      <font>
        <name val="Arial"/>
        <scheme val="none"/>
      </font>
    </dxf>
    <dxf>
      <font>
        <name val="Arial"/>
        <scheme val="none"/>
      </font>
    </dxf>
    <dxf>
      <font>
        <sz val="24"/>
      </font>
    </dxf>
    <dxf>
      <font>
        <sz val="24"/>
      </font>
    </dxf>
    <dxf>
      <font>
        <sz val="24"/>
      </font>
    </dxf>
    <dxf>
      <font>
        <sz val="24"/>
      </font>
    </dxf>
    <dxf>
      <font>
        <sz val="24"/>
      </font>
    </dxf>
    <dxf>
      <fill>
        <patternFill patternType="solid">
          <bgColor rgb="FF00B050"/>
        </patternFill>
      </fill>
    </dxf>
    <dxf>
      <fill>
        <patternFill patternType="solid">
          <bgColor rgb="FF00B050"/>
        </patternFill>
      </fill>
    </dxf>
    <dxf>
      <fill>
        <patternFill>
          <bgColor rgb="FFFF0000"/>
        </patternFill>
      </fill>
    </dxf>
    <dxf>
      <fill>
        <patternFill>
          <bgColor theme="4" tint="0.59999389629810485"/>
        </patternFill>
      </fill>
    </dxf>
    <dxf>
      <font>
        <b/>
      </font>
    </dxf>
    <dxf>
      <font>
        <b/>
      </font>
    </dxf>
    <dxf>
      <alignment horizontal="center"/>
    </dxf>
    <dxf>
      <alignment horizontal="center"/>
    </dxf>
    <dxf>
      <alignment vertical="center"/>
    </dxf>
    <dxf>
      <alignment vertical="center"/>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fill>
        <patternFill>
          <bgColor rgb="FFFF0000"/>
        </patternFill>
      </fill>
    </dxf>
    <dxf>
      <fill>
        <patternFill patternType="solid">
          <bgColor theme="4" tint="0.59999389629810485"/>
        </patternFill>
      </fill>
    </dxf>
    <dxf>
      <font>
        <sz val="24"/>
      </font>
    </dxf>
    <dxf>
      <font>
        <sz val="24"/>
      </font>
    </dxf>
    <dxf>
      <font>
        <sz val="24"/>
      </font>
    </dxf>
    <dxf>
      <font>
        <sz val="24"/>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ont>
        <b/>
        <name val="Arial"/>
        <scheme val="none"/>
      </font>
      <alignment horizontal="center"/>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alignment horizontal="center"/>
    </dxf>
    <dxf>
      <font>
        <b/>
        <sz val="28"/>
        <name val="Arial"/>
        <scheme val="none"/>
      </font>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alignment horizontal="center"/>
    </dxf>
    <dxf>
      <alignment vertical="center"/>
    </dxf>
    <dxf>
      <font>
        <b/>
      </font>
    </dxf>
    <dxf>
      <font>
        <name val="Arial"/>
        <scheme val="none"/>
      </font>
    </dxf>
    <dxf>
      <font>
        <name val="Arial"/>
        <scheme val="none"/>
      </font>
    </dxf>
    <dxf>
      <font>
        <name val="Arial"/>
        <scheme val="none"/>
      </font>
    </dxf>
    <dxf>
      <font>
        <name val="Arial"/>
        <scheme val="none"/>
      </font>
    </dxf>
    <dxf>
      <font>
        <sz val="28"/>
      </font>
    </dxf>
    <dxf>
      <font>
        <sz val="28"/>
      </font>
    </dxf>
    <dxf>
      <font>
        <sz val="28"/>
      </font>
    </dxf>
    <dxf>
      <font>
        <sz val="28"/>
      </font>
    </dxf>
    <dxf>
      <font>
        <b/>
      </font>
    </dxf>
    <dxf>
      <font>
        <b/>
      </font>
    </dxf>
    <dxf>
      <font>
        <b/>
      </font>
    </dxf>
    <dxf>
      <font>
        <b/>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fill>
        <patternFill>
          <bgColor rgb="FFFF0000"/>
        </patternFill>
      </fill>
    </dxf>
    <dxf>
      <fill>
        <patternFill>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rgb="FF00B050"/>
        </patternFill>
      </fill>
    </dxf>
    <dxf>
      <fill>
        <patternFill>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fill>
        <patternFill>
          <bgColor rgb="FFFF0000"/>
        </patternFill>
      </fill>
    </dxf>
    <dxf>
      <font>
        <u/>
      </font>
    </dxf>
    <dxf>
      <font>
        <u/>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bgColor rgb="FFFF0000"/>
        </patternFill>
      </fill>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ont>
        <b/>
        <sz val="28"/>
        <name val="Arial"/>
        <scheme val="none"/>
      </font>
      <alignment horizontal="center"/>
    </dxf>
    <dxf>
      <font>
        <sz val="24"/>
      </font>
    </dxf>
    <dxf>
      <font>
        <sz val="24"/>
      </font>
    </dxf>
    <dxf>
      <font>
        <sz val="24"/>
      </font>
    </dxf>
    <dxf>
      <font>
        <sz val="24"/>
      </font>
    </dxf>
    <dxf>
      <font>
        <sz val="24"/>
      </font>
    </dxf>
    <dxf>
      <fill>
        <patternFill patternType="none">
          <bgColor auto="1"/>
        </patternFill>
      </fill>
    </dxf>
    <dxf>
      <fill>
        <patternFill>
          <bgColor theme="4" tint="0.59999389629810485"/>
        </patternFill>
      </fill>
    </dxf>
    <dxf>
      <fill>
        <patternFill>
          <bgColor rgb="FFFF0000"/>
        </patternFill>
      </fill>
    </dxf>
    <dxf>
      <font>
        <b/>
      </font>
    </dxf>
    <dxf>
      <alignment horizontal="center"/>
    </dxf>
    <dxf>
      <fill>
        <patternFill>
          <bgColor rgb="FFFF0000"/>
        </patternFill>
      </fill>
    </dxf>
    <dxf>
      <fill>
        <patternFill>
          <bgColor rgb="FF92D050"/>
        </patternFill>
      </fill>
    </dxf>
    <dxf>
      <fill>
        <patternFill>
          <bgColor rgb="FF00B050"/>
        </patternFill>
      </fill>
    </dxf>
    <dxf>
      <fill>
        <patternFill>
          <bgColor rgb="FF0070C0"/>
        </patternFill>
      </fill>
    </dxf>
    <dxf>
      <fill>
        <patternFill>
          <bgColor rgb="FF7030A0"/>
        </patternFill>
      </fill>
    </dxf>
    <dxf>
      <fill>
        <patternFill>
          <bgColor rgb="FF7030A0"/>
        </patternFill>
      </fill>
    </dxf>
    <dxf>
      <fill>
        <patternFill>
          <bgColor rgb="FFFF0000"/>
        </patternFill>
      </fill>
    </dxf>
    <dxf>
      <fill>
        <patternFill>
          <bgColor theme="5" tint="0.79998168889431442"/>
        </patternFill>
      </fill>
    </dxf>
    <dxf>
      <fill>
        <patternFill>
          <bgColor theme="5" tint="0.59996337778862885"/>
        </patternFill>
      </fill>
    </dxf>
    <dxf>
      <fill>
        <patternFill>
          <bgColor rgb="FF00B050"/>
        </patternFill>
      </fill>
    </dxf>
    <dxf>
      <fill>
        <patternFill>
          <bgColor rgb="FFFF6969"/>
        </patternFill>
      </fill>
    </dxf>
    <dxf>
      <fill>
        <patternFill>
          <bgColor theme="2" tint="-9.9948118533890809E-2"/>
        </patternFill>
      </fill>
    </dxf>
    <dxf>
      <fill>
        <patternFill>
          <bgColor rgb="FFFCE2D4"/>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numFmt numFmtId="19" formatCode="dd/mm/yyyy"/>
    </dxf>
    <dxf>
      <fill>
        <patternFill patternType="solid">
          <bgColor rgb="FF00B050"/>
        </patternFill>
      </fill>
    </dxf>
    <dxf>
      <fill>
        <patternFill patternType="solid">
          <bgColor rgb="FF00B050"/>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name val="Arial"/>
        <scheme val="none"/>
      </font>
    </dxf>
    <dxf>
      <font>
        <b/>
      </font>
    </dxf>
    <dxf>
      <font>
        <b/>
      </font>
    </dxf>
    <dxf>
      <font>
        <b/>
      </font>
    </dxf>
    <dxf>
      <font>
        <b/>
      </font>
    </dxf>
    <dxf>
      <font>
        <b/>
      </font>
    </dxf>
    <dxf>
      <fill>
        <patternFill>
          <bgColor theme="4" tint="0.59999389629810485"/>
        </patternFill>
      </fill>
    </dxf>
    <dxf>
      <fill>
        <patternFill>
          <bgColor rgb="FFFF0000"/>
        </patternFill>
      </fill>
    </dxf>
    <dxf>
      <alignment vertical="center"/>
    </dxf>
    <dxf>
      <alignment vertical="center"/>
    </dxf>
    <dxf>
      <alignment horizontal="center"/>
    </dxf>
    <dxf>
      <alignment horizontal="center"/>
    </dxf>
    <dxf>
      <font>
        <b/>
      </font>
    </dxf>
    <dxf>
      <font>
        <b/>
      </font>
    </dxf>
    <dxf>
      <fill>
        <patternFill>
          <bgColor theme="4" tint="0.59999389629810485"/>
        </patternFill>
      </fill>
    </dxf>
    <dxf>
      <fill>
        <patternFill>
          <bgColor rgb="FFFF0000"/>
        </patternFill>
      </fill>
    </dxf>
    <dxf>
      <fill>
        <patternFill patternType="solid">
          <bgColor rgb="FF00B050"/>
        </patternFill>
      </fill>
    </dxf>
    <dxf>
      <fill>
        <patternFill patternType="solid">
          <bgColor rgb="FF00B050"/>
        </patternFill>
      </fill>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name val="Arial"/>
        <scheme val="none"/>
      </font>
    </dxf>
    <dxf>
      <numFmt numFmtId="1" formatCode="0"/>
      <fill>
        <patternFill>
          <fgColor theme="4" tint="0.59999389629810485"/>
        </patternFill>
      </fill>
    </dxf>
    <dxf>
      <fill>
        <patternFill>
          <bgColor rgb="FFFF0000"/>
        </patternFill>
      </fill>
    </dxf>
    <dxf>
      <fill>
        <patternFill>
          <fgColor theme="4" tint="0.59999389629810485"/>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rgb="FFFF0000"/>
        </patternFill>
      </fill>
    </dxf>
    <dxf>
      <fill>
        <patternFill>
          <fgColor rgb="FFFF0000"/>
        </patternFill>
      </fill>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ont>
        <sz val="24"/>
      </font>
    </dxf>
    <dxf>
      <fill>
        <patternFill patternType="solid">
          <bgColor theme="4" tint="0.59999389629810485"/>
        </patternFill>
      </fill>
    </dxf>
    <dxf>
      <fill>
        <patternFill>
          <bgColor rgb="FFFF0000"/>
        </patternFill>
      </fill>
    </dxf>
    <dxf>
      <alignment horizont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ont>
        <b/>
      </font>
    </dxf>
    <dxf>
      <font>
        <b/>
      </font>
    </dxf>
    <dxf>
      <font>
        <b/>
      </font>
    </dxf>
    <dxf>
      <font>
        <b/>
      </font>
    </dxf>
    <dxf>
      <font>
        <sz val="28"/>
      </font>
    </dxf>
    <dxf>
      <font>
        <sz val="28"/>
      </font>
    </dxf>
    <dxf>
      <font>
        <sz val="28"/>
      </font>
    </dxf>
    <dxf>
      <font>
        <sz val="28"/>
      </font>
    </dxf>
    <dxf>
      <font>
        <name val="Arial"/>
        <scheme val="none"/>
      </font>
    </dxf>
    <dxf>
      <font>
        <name val="Arial"/>
        <scheme val="none"/>
      </font>
    </dxf>
    <dxf>
      <font>
        <name val="Arial"/>
        <scheme val="none"/>
      </font>
    </dxf>
    <dxf>
      <font>
        <name val="Arial"/>
        <scheme val="none"/>
      </font>
    </dxf>
    <dxf>
      <alignment vertical="center"/>
    </dxf>
    <dxf>
      <alignment vertical="center"/>
    </dxf>
    <dxf>
      <alignment horizontal="center"/>
    </dxf>
    <dxf>
      <alignment horizontal="center"/>
    </dxf>
    <dxf>
      <font>
        <b/>
      </font>
    </dxf>
    <dxf>
      <font>
        <b/>
      </font>
    </dxf>
    <dxf>
      <fill>
        <patternFill>
          <bgColor theme="4" tint="0.59999389629810485"/>
        </patternFill>
      </fill>
    </dxf>
    <dxf>
      <fill>
        <patternFill>
          <bgColor rgb="FFFF0000"/>
        </patternFill>
      </fill>
    </dxf>
    <dxf>
      <fill>
        <patternFill patternType="solid">
          <bgColor rgb="FF00B050"/>
        </patternFill>
      </fill>
    </dxf>
    <dxf>
      <fill>
        <patternFill patternType="solid">
          <bgColor rgb="FF00B050"/>
        </patternFill>
      </fill>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name val="Arial"/>
        <scheme val="none"/>
      </font>
    </dxf>
    <dxf>
      <numFmt numFmtId="1" formatCode="0"/>
      <fill>
        <patternFill>
          <fgColor theme="4" tint="0.59999389629810485"/>
        </patternFill>
      </fill>
    </dxf>
    <dxf>
      <fill>
        <patternFill>
          <bgColor rgb="FFFF0000"/>
        </patternFill>
      </fill>
    </dxf>
    <dxf>
      <fill>
        <patternFill>
          <fgColor theme="4" tint="0.59999389629810485"/>
        </patternFill>
      </fill>
    </dxf>
    <dxf>
      <font>
        <b/>
        <sz val="28"/>
        <name val="Arial"/>
        <scheme val="none"/>
      </font>
      <fill>
        <patternFill patternType="solid">
          <fgColor indexed="64"/>
          <bgColor rgb="FFFF0000"/>
        </patternFill>
      </fill>
      <alignment horizontal="center"/>
    </dxf>
    <dxf>
      <font>
        <b/>
        <sz val="28"/>
        <name val="Arial"/>
        <scheme val="none"/>
      </font>
      <fill>
        <patternFill patternType="solid">
          <fgColor indexed="64"/>
          <bgColor rgb="FFFF0000"/>
        </patternFill>
      </fill>
      <alignment horizontal="center"/>
    </dxf>
    <dxf>
      <fill>
        <patternFill>
          <fgColor rgb="FFFF0000"/>
        </patternFill>
      </fill>
    </dxf>
    <dxf>
      <fill>
        <patternFill>
          <fgColor rgb="FFFF0000"/>
        </patternFill>
      </fill>
    </dxf>
    <dxf>
      <alignment horizontal="center"/>
    </dxf>
    <dxf>
      <font>
        <b/>
      </font>
    </dxf>
    <dxf>
      <fill>
        <patternFill>
          <bgColor rgb="FFFF0000"/>
        </patternFill>
      </fill>
    </dxf>
    <dxf>
      <fill>
        <patternFill>
          <bgColor theme="4" tint="0.59999389629810485"/>
        </patternFill>
      </fill>
    </dxf>
    <dxf>
      <fill>
        <patternFill patternType="none">
          <bgColor auto="1"/>
        </patternFill>
      </fill>
    </dxf>
    <dxf>
      <font>
        <sz val="24"/>
      </font>
    </dxf>
    <dxf>
      <font>
        <sz val="24"/>
      </font>
    </dxf>
    <dxf>
      <font>
        <sz val="24"/>
      </font>
    </dxf>
    <dxf>
      <font>
        <sz val="24"/>
      </font>
    </dxf>
    <dxf>
      <font>
        <sz val="24"/>
      </font>
    </dxf>
    <dxf>
      <font>
        <b/>
        <sz val="28"/>
        <name val="Arial"/>
        <scheme val="none"/>
      </font>
      <alignment horizontal="center"/>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ill>
        <patternFill>
          <bgColor rgb="FFFF0000"/>
        </patternFill>
      </fill>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u/>
      </font>
    </dxf>
    <dxf>
      <font>
        <u/>
      </font>
    </dxf>
    <dxf>
      <fill>
        <patternFill>
          <bgColor rgb="FFFF0000"/>
        </patternFill>
      </fill>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00B050"/>
        </patternFill>
      </fill>
    </dxf>
    <dxf>
      <fill>
        <patternFill>
          <bgColor rgb="FF00B050"/>
        </patternFill>
      </fill>
    </dxf>
    <dxf>
      <fill>
        <patternFill>
          <bgColor theme="4" tint="0.59999389629810485"/>
        </patternFill>
      </fill>
    </dxf>
    <dxf>
      <fill>
        <patternFill>
          <bgColor theme="4" tint="0.59999389629810485"/>
        </patternFill>
      </fill>
    </dxf>
    <dxf>
      <fill>
        <patternFill>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0000"/>
        </patternFill>
      </fill>
    </dxf>
    <dxf>
      <fill>
        <patternFill>
          <bgColor rgb="FFFF0000"/>
        </patternFill>
      </fill>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0000"/>
        </patternFill>
      </fill>
    </dxf>
    <dxf>
      <fill>
        <patternFill>
          <bgColor theme="4" tint="0.59999389629810485"/>
        </patternFill>
      </fill>
    </dxf>
    <dxf>
      <fill>
        <patternFill patternType="none">
          <bgColor auto="1"/>
        </patternFill>
      </fill>
    </dxf>
    <dxf>
      <font>
        <b/>
        <name val="Arial"/>
        <scheme val="none"/>
      </font>
      <alignment horizontal="center"/>
    </dxf>
    <dxf>
      <font>
        <sz val="24"/>
      </font>
    </dxf>
    <dxf>
      <font>
        <sz val="24"/>
      </font>
    </dxf>
    <dxf>
      <font>
        <sz val="24"/>
      </font>
    </dxf>
    <dxf>
      <font>
        <sz val="24"/>
      </font>
    </dxf>
    <dxf>
      <font>
        <sz val="24"/>
      </font>
    </dxf>
    <dxf>
      <font>
        <b/>
        <sz val="28"/>
        <name val="Arial"/>
        <scheme val="none"/>
      </font>
      <alignment horizontal="center"/>
    </dxf>
    <dxf>
      <font>
        <b/>
        <sz val="28"/>
        <name val="Arial"/>
        <scheme val="none"/>
      </font>
      <fill>
        <patternFill patternType="solid">
          <fgColor indexed="64"/>
          <bgColor rgb="FF00B050"/>
        </patternFill>
      </fill>
      <alignment horizontal="center"/>
    </dxf>
    <dxf>
      <font>
        <b/>
        <sz val="28"/>
        <name val="Arial"/>
        <scheme val="none"/>
      </font>
      <fill>
        <patternFill patternType="solid">
          <fgColor indexed="64"/>
          <bgColor rgb="FF00B050"/>
        </patternFill>
      </fill>
      <alignment horizontal="center"/>
    </dxf>
    <dxf>
      <fill>
        <patternFill>
          <bgColor rgb="FFFF0000"/>
        </patternFill>
      </fill>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u/>
      </font>
    </dxf>
    <dxf>
      <font>
        <u/>
      </font>
    </dxf>
    <dxf>
      <border>
        <right style="medium">
          <color indexed="64"/>
        </right>
      </border>
    </dxf>
    <dxf>
      <border>
        <left style="medium">
          <color indexed="64"/>
        </lef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00B050"/>
        </patternFill>
      </fill>
    </dxf>
    <dxf>
      <fill>
        <patternFill>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0000"/>
        </patternFill>
      </fill>
    </dxf>
    <dxf>
      <fill>
        <patternFill>
          <bgColor rgb="FFFF0000"/>
        </patternFill>
      </fill>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alignment vertical="center"/>
    </dxf>
    <dxf>
      <alignment horizontal="center"/>
    </dxf>
    <dxf>
      <fill>
        <patternFill>
          <bgColor rgb="FFFF0000"/>
        </patternFill>
      </fill>
    </dxf>
    <dxf>
      <fill>
        <patternFill>
          <bgColor theme="4" tint="0.59999389629810485"/>
        </patternFill>
      </fill>
    </dxf>
    <dxf>
      <fill>
        <patternFill patternType="none">
          <bgColor auto="1"/>
        </patternFill>
      </fill>
    </dxf>
    <dxf>
      <font>
        <sz val="24"/>
      </font>
    </dxf>
    <dxf>
      <font>
        <sz val="24"/>
      </font>
    </dxf>
    <dxf>
      <font>
        <sz val="24"/>
      </font>
    </dxf>
    <dxf>
      <font>
        <sz val="24"/>
      </font>
    </dxf>
    <dxf>
      <font>
        <sz val="24"/>
      </font>
    </dxf>
    <dxf>
      <font>
        <b/>
        <sz val="28"/>
        <name val="Arial"/>
        <scheme val="none"/>
      </font>
      <alignment horizontal="center"/>
    </dxf>
    <dxf>
      <font>
        <b/>
        <sz val="28"/>
        <name val="Arial"/>
        <scheme val="none"/>
      </font>
      <alignment horizontal="center"/>
    </dxf>
    <dxf>
      <font>
        <b/>
        <sz val="28"/>
        <name val="Arial"/>
        <scheme val="none"/>
      </font>
      <alignment horizontal="center"/>
    </dxf>
    <dxf>
      <fill>
        <patternFill>
          <bgColor rgb="FFFF0000"/>
        </patternFill>
      </fill>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u/>
      </font>
    </dxf>
    <dxf>
      <font>
        <u/>
      </font>
    </dxf>
    <dxf>
      <fill>
        <patternFill>
          <bgColor rgb="FFFF0000"/>
        </patternFill>
      </fill>
    </dxf>
    <dxf>
      <border>
        <right style="medium">
          <color indexed="64"/>
        </right>
      </border>
    </dxf>
    <dxf>
      <border>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00B050"/>
        </patternFill>
      </fill>
    </dxf>
    <dxf>
      <fill>
        <patternFill>
          <bgColor rgb="FF00B050"/>
        </patternFill>
      </fill>
    </dxf>
    <dxf>
      <fill>
        <patternFill>
          <bgColor theme="4" tint="0.59999389629810485"/>
        </patternFill>
      </fill>
    </dxf>
    <dxf>
      <fill>
        <patternFill>
          <bgColor theme="4" tint="0.59999389629810485"/>
        </patternFill>
      </fill>
    </dxf>
    <dxf>
      <fill>
        <patternFill>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0000"/>
        </patternFill>
      </fill>
    </dxf>
    <dxf>
      <fill>
        <patternFill>
          <bgColor rgb="FFFF0000"/>
        </patternFill>
      </fill>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0000"/>
        </patternFill>
      </fill>
    </dxf>
    <dxf>
      <fill>
        <patternFill>
          <bgColor theme="4" tint="0.59999389629810485"/>
        </patternFill>
      </fill>
    </dxf>
    <dxf>
      <fill>
        <patternFill patternType="none">
          <bgColor auto="1"/>
        </patternFill>
      </fill>
    </dxf>
    <dxf>
      <font>
        <sz val="24"/>
      </font>
    </dxf>
    <dxf>
      <font>
        <sz val="24"/>
      </font>
    </dxf>
    <dxf>
      <font>
        <sz val="24"/>
      </font>
    </dxf>
    <dxf>
      <font>
        <sz val="24"/>
      </font>
    </dxf>
    <dxf>
      <font>
        <sz val="24"/>
      </font>
    </dxf>
    <dxf>
      <fill>
        <patternFill>
          <bgColor rgb="FFFF0000"/>
        </patternFill>
      </fill>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u/>
      </font>
    </dxf>
    <dxf>
      <font>
        <u/>
      </font>
    </dxf>
    <dxf>
      <border>
        <right style="medium">
          <color indexed="64"/>
        </right>
      </border>
    </dxf>
    <dxf>
      <border>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00B050"/>
        </patternFill>
      </fill>
    </dxf>
    <dxf>
      <fill>
        <patternFill>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0000"/>
        </patternFill>
      </fill>
    </dxf>
    <dxf>
      <fill>
        <patternFill>
          <bgColor rgb="FFFF0000"/>
        </patternFill>
      </fill>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ont>
        <b/>
      </font>
    </dxf>
    <dxf>
      <font>
        <b/>
      </font>
    </dxf>
    <dxf>
      <font>
        <b/>
      </font>
    </dxf>
    <dxf>
      <font>
        <b/>
      </font>
    </dxf>
    <dxf>
      <font>
        <sz val="28"/>
      </font>
    </dxf>
    <dxf>
      <font>
        <sz val="28"/>
      </font>
    </dxf>
    <dxf>
      <font>
        <sz val="28"/>
      </font>
    </dxf>
    <dxf>
      <font>
        <sz val="28"/>
      </font>
    </dxf>
    <dxf>
      <font>
        <name val="Arial"/>
        <scheme val="none"/>
      </font>
    </dxf>
    <dxf>
      <font>
        <name val="Arial"/>
        <scheme val="none"/>
      </font>
    </dxf>
    <dxf>
      <font>
        <name val="Arial"/>
        <scheme val="none"/>
      </font>
    </dxf>
    <dxf>
      <font>
        <name val="Arial"/>
        <scheme val="none"/>
      </font>
    </dxf>
    <dxf>
      <fill>
        <patternFill patternType="solid">
          <bgColor rgb="FF00B050"/>
        </patternFill>
      </fill>
    </dxf>
    <dxf>
      <fill>
        <patternFill patternType="solid">
          <bgColor rgb="FF00B050"/>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24"/>
      </font>
    </dxf>
    <dxf>
      <font>
        <sz val="24"/>
      </font>
    </dxf>
    <dxf>
      <font>
        <sz val="24"/>
      </font>
    </dxf>
    <dxf>
      <font>
        <sz val="24"/>
      </font>
    </dxf>
    <dxf>
      <font>
        <sz val="24"/>
      </font>
    </dxf>
    <dxf>
      <font>
        <name val="Arial"/>
        <scheme val="none"/>
      </font>
    </dxf>
    <dxf>
      <font>
        <name val="Arial"/>
        <scheme val="none"/>
      </font>
    </dxf>
    <dxf>
      <font>
        <name val="Arial"/>
        <scheme val="none"/>
      </font>
    </dxf>
    <dxf>
      <font>
        <name val="Arial"/>
        <scheme val="none"/>
      </font>
    </dxf>
    <dxf>
      <font>
        <name val="Arial"/>
        <scheme val="none"/>
      </font>
    </dxf>
    <dxf>
      <font>
        <b/>
      </font>
    </dxf>
    <dxf>
      <font>
        <b/>
      </font>
    </dxf>
    <dxf>
      <font>
        <b/>
      </font>
    </dxf>
    <dxf>
      <font>
        <b/>
      </font>
    </dxf>
    <dxf>
      <font>
        <b/>
      </font>
    </dxf>
    <dxf>
      <fill>
        <patternFill>
          <bgColor theme="4" tint="0.59999389629810485"/>
        </patternFill>
      </fill>
    </dxf>
    <dxf>
      <fill>
        <patternFill>
          <bgColor rgb="FFFF0000"/>
        </patternFill>
      </fill>
    </dxf>
    <dxf>
      <font>
        <strike val="0"/>
        <outline val="0"/>
        <shadow val="0"/>
        <u val="none"/>
        <vertAlign val="baseline"/>
        <sz val="10"/>
        <color theme="1"/>
        <name val="Arial"/>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5" formatCode="[$-10409]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numFmt numFmtId="165" formatCode="[$-10409]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color theme="1"/>
        <name val="Arial"/>
        <family val="2"/>
        <scheme val="none"/>
      </font>
      <alignment horizontal="center" vertical="center" textRotation="0" wrapText="0" indent="0" justifyLastLine="0" shrinkToFit="0" readingOrder="0"/>
    </dxf>
    <dxf>
      <border>
        <bottom style="thin">
          <color indexed="64"/>
        </bottom>
      </border>
    </dxf>
    <dxf>
      <font>
        <b/>
        <strike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8BE9E"/>
      <color rgb="FFFCE2D4"/>
      <color rgb="FFF28B2E"/>
      <color rgb="FFFF0000"/>
      <color rgb="FFFF6969"/>
      <color rgb="FFF03E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[DATASET_A.xlsx]Day Rental trend!PivotTable7</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Rental trend</a:t>
            </a:r>
          </a:p>
        </c:rich>
      </c:tx>
      <c:layout>
        <c:manualLayout>
          <c:xMode val="edge"/>
          <c:yMode val="edge"/>
          <c:x val="0.2957573559883962"/>
          <c:y val="5.930518300597041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 Rental trend'!$B$4</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'Day Rental trend'!$A$5:$A$33</c:f>
              <c:strCache>
                <c:ptCount val="28"/>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strCache>
            </c:strRef>
          </c:cat>
          <c:val>
            <c:numRef>
              <c:f>'Day Rental trend'!$B$5:$B$33</c:f>
              <c:numCache>
                <c:formatCode>0</c:formatCode>
                <c:ptCount val="28"/>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571</c:v>
                </c:pt>
              </c:numCache>
            </c:numRef>
          </c:val>
          <c:smooth val="0"/>
          <c:extLst>
            <c:ext xmlns:c16="http://schemas.microsoft.com/office/drawing/2014/chart" uri="{C3380CC4-5D6E-409C-BE32-E72D297353CC}">
              <c16:uniqueId val="{00000000-C71B-4B8B-913D-E24815F8ADA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24619311"/>
        <c:axId val="1324616911"/>
      </c:lineChart>
      <c:catAx>
        <c:axId val="13246193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24616911"/>
        <c:crosses val="autoZero"/>
        <c:auto val="1"/>
        <c:lblAlgn val="ctr"/>
        <c:lblOffset val="100"/>
        <c:noMultiLvlLbl val="0"/>
      </c:catAx>
      <c:valAx>
        <c:axId val="1324616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2461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[DATASET_A.xlsx]Hourly Rental trend!PivotTable8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Hourly Bike Rental Demand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'Hourly Rental trend'!$B$3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'Hourly Rental trend'!$A$4:$A$28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Rental trend'!$B$4:$B$28</c:f>
              <c:numCache>
                <c:formatCode>0</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Cache>
            </c:numRef>
          </c:val>
          <c:extLst>
            <c:ext xmlns:c16="http://schemas.microsoft.com/office/drawing/2014/chart" uri="{C3380CC4-5D6E-409C-BE32-E72D297353CC}">
              <c16:uniqueId val="{00000000-AB84-4044-A1D6-9DB920D1AEC0}"/>
            </c:ext>
          </c:extLst>
        </c:ser>
        <c:dLbls>
          <c:showLegendKey val="0"/>
          <c:showVal val="0"/>
          <c:showCatName val="0"/>
          <c:showSerName val="0"/>
          <c:showPercent val="0"/>
          <c:showBubbleSize val="0"/>
        </c:dLbls>
        <c:gapWidth val="100"/>
        <c:overlap val="-24"/>
        <c:axId val="1324634671"/>
        <c:axId val="1324635151"/>
      </c:barChart>
      <c:catAx>
        <c:axId val="1324634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635151"/>
        <c:crosses val="autoZero"/>
        <c:auto val="1"/>
        <c:lblAlgn val="ctr"/>
        <c:lblOffset val="100"/>
        <c:noMultiLvlLbl val="0"/>
      </c:catAx>
      <c:valAx>
        <c:axId val="132463515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63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[DATASET_A.xlsx]Casual vs Registered Users!PivotTable11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Type Distribution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'Casual vs Registered Users'!$B$3</c:f>
              <c:strCache>
                <c:ptCount val="1"/>
                <c:pt idx="0">
                  <c:v>Sum of Casual_user</c:v>
                </c:pt>
              </c:strCache>
            </c:strRef>
          </c:tx>
          <c:spPr>
            <a:ln w="31750" cap="rnd">
              <a:solidFill>
                <a:schemeClr val="accent2">
                  <a:shade val="76000"/>
                </a:schemeClr>
              </a:solidFill>
              <a:round/>
            </a:ln>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12700">
                <a:solidFill>
                  <a:schemeClr val="lt2"/>
                </a:solidFill>
                <a:round/>
              </a:ln>
              <a:effectLst/>
            </c:spPr>
          </c:marker>
          <c:cat>
            <c:strRef>
              <c:f>'Casual vs Registered Users'!$A$4:$A$32</c:f>
              <c:strCache>
                <c:ptCount val="28"/>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strCache>
            </c:strRef>
          </c:cat>
          <c:val>
            <c:numRef>
              <c:f>'Casual vs Registered Users'!$B$4:$B$32</c:f>
              <c:numCache>
                <c:formatCode>0</c:formatCode>
                <c:ptCount val="28"/>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16</c:v>
                </c:pt>
              </c:numCache>
            </c:numRef>
          </c:val>
          <c:smooth val="0"/>
          <c:extLst>
            <c:ext xmlns:c16="http://schemas.microsoft.com/office/drawing/2014/chart" uri="{C3380CC4-5D6E-409C-BE32-E72D297353CC}">
              <c16:uniqueId val="{00000000-1FDB-4B05-8918-F03B68801F95}"/>
            </c:ext>
          </c:extLst>
        </c:ser>
        <c:ser>
          <c:idx val="1"/>
          <c:order val="1"/>
          <c:tx>
            <c:strRef>
              <c:f>'Casual vs Registered Users'!$C$3</c:f>
              <c:strCache>
                <c:ptCount val="1"/>
                <c:pt idx="0">
                  <c:v>Sum of Registered_user</c:v>
                </c:pt>
              </c:strCache>
            </c:strRef>
          </c:tx>
          <c:spPr>
            <a:ln w="31750" cap="rnd">
              <a:solidFill>
                <a:schemeClr val="accent2">
                  <a:tint val="77000"/>
                </a:schemeClr>
              </a:solidFill>
              <a:round/>
            </a:ln>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12700">
                <a:solidFill>
                  <a:schemeClr val="lt2"/>
                </a:solidFill>
                <a:round/>
              </a:ln>
              <a:effectLst/>
            </c:spPr>
          </c:marker>
          <c:cat>
            <c:strRef>
              <c:f>'Casual vs Registered Users'!$A$4:$A$32</c:f>
              <c:strCache>
                <c:ptCount val="28"/>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strCache>
            </c:strRef>
          </c:cat>
          <c:val>
            <c:numRef>
              <c:f>'Casual vs Registered Users'!$C$4:$C$32</c:f>
              <c:numCache>
                <c:formatCode>0</c:formatCode>
                <c:ptCount val="28"/>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555</c:v>
                </c:pt>
              </c:numCache>
            </c:numRef>
          </c:val>
          <c:smooth val="0"/>
          <c:extLst>
            <c:ext xmlns:c16="http://schemas.microsoft.com/office/drawing/2014/chart" uri="{C3380CC4-5D6E-409C-BE32-E72D297353CC}">
              <c16:uniqueId val="{00000001-1FDB-4B05-8918-F03B68801F95}"/>
            </c:ext>
          </c:extLst>
        </c:ser>
        <c:dLbls>
          <c:showLegendKey val="0"/>
          <c:showVal val="0"/>
          <c:showCatName val="0"/>
          <c:showSerName val="0"/>
          <c:showPercent val="0"/>
          <c:showBubbleSize val="0"/>
        </c:dLbls>
        <c:marker val="1"/>
        <c:smooth val="0"/>
        <c:axId val="1324592431"/>
        <c:axId val="1324581391"/>
      </c:lineChart>
      <c:catAx>
        <c:axId val="132459243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4581391"/>
        <c:crosses val="autoZero"/>
        <c:auto val="1"/>
        <c:lblAlgn val="ctr"/>
        <c:lblOffset val="100"/>
        <c:noMultiLvlLbl val="0"/>
      </c:catAx>
      <c:valAx>
        <c:axId val="132458139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459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[DATASET_A.xlsx]Weekend vs Weekday Analysis!PivotTable12</c:name>
    <c:fmtId val="15"/>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Weekend vs Weekday Analysis</a:t>
            </a:r>
          </a:p>
        </c:rich>
      </c:tx>
      <c:overlay val="0"/>
      <c:spPr>
        <a:solidFill>
          <a:srgbClr val="FFFF00"/>
        </a:solid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a:noFill/>
          </a:ln>
          <a:effectLst/>
        </c:spPr>
      </c:pivotFmt>
      <c:pivotFmt>
        <c:idx val="2"/>
        <c:spPr>
          <a:solidFill>
            <a:srgbClr val="00B0F0"/>
          </a:solidFill>
          <a:ln>
            <a:noFill/>
          </a:ln>
          <a:effectLst/>
        </c:spPr>
      </c:pivotFmt>
      <c:pivotFmt>
        <c:idx val="3"/>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B0F0"/>
          </a:solidFill>
          <a:ln>
            <a:noFill/>
          </a:ln>
          <a:effectLst/>
        </c:spPr>
      </c:pivotFmt>
      <c:pivotFmt>
        <c:idx val="5"/>
        <c:spPr>
          <a:solidFill>
            <a:srgbClr val="00B050"/>
          </a:solidFill>
          <a:ln>
            <a:noFill/>
          </a:ln>
          <a:effectLst/>
        </c:spPr>
      </c:pivotFmt>
      <c:pivotFmt>
        <c:idx val="6"/>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F0"/>
          </a:solidFill>
          <a:ln>
            <a:noFill/>
          </a:ln>
          <a:effectLst/>
        </c:spPr>
      </c:pivotFmt>
      <c:pivotFmt>
        <c:idx val="8"/>
        <c:spPr>
          <a:solidFill>
            <a:srgbClr val="00B050"/>
          </a:solidFill>
          <a:ln>
            <a:noFill/>
          </a:ln>
          <a:effectLst/>
        </c:spPr>
      </c:pivotFmt>
    </c:pivotFmts>
    <c:plotArea>
      <c:layout/>
      <c:doughnutChart>
        <c:varyColors val="1"/>
        <c:ser>
          <c:idx val="0"/>
          <c:order val="0"/>
          <c:tx>
            <c:strRef>
              <c:f>'Weekend vs Weekday Analysis'!$B$4</c:f>
              <c:strCache>
                <c:ptCount val="1"/>
                <c:pt idx="0">
                  <c:v>Total</c:v>
                </c:pt>
              </c:strCache>
            </c:strRef>
          </c:tx>
          <c:spPr>
            <a:solidFill>
              <a:srgbClr val="FF0000"/>
            </a:solidFill>
          </c:spPr>
          <c:dPt>
            <c:idx val="0"/>
            <c:bubble3D val="0"/>
            <c:spPr>
              <a:solidFill>
                <a:srgbClr val="00B0F0"/>
              </a:solidFill>
              <a:ln>
                <a:noFill/>
              </a:ln>
              <a:effectLst/>
            </c:spPr>
            <c:extLst>
              <c:ext xmlns:c16="http://schemas.microsoft.com/office/drawing/2014/chart" uri="{C3380CC4-5D6E-409C-BE32-E72D297353CC}">
                <c16:uniqueId val="{00000001-BEE2-441E-BEE1-A686C0FE7511}"/>
              </c:ext>
            </c:extLst>
          </c:dPt>
          <c:dPt>
            <c:idx val="1"/>
            <c:bubble3D val="0"/>
            <c:spPr>
              <a:solidFill>
                <a:srgbClr val="00B050"/>
              </a:solidFill>
              <a:ln>
                <a:noFill/>
              </a:ln>
              <a:effectLst/>
            </c:spPr>
            <c:extLst>
              <c:ext xmlns:c16="http://schemas.microsoft.com/office/drawing/2014/chart" uri="{C3380CC4-5D6E-409C-BE32-E72D297353CC}">
                <c16:uniqueId val="{00000003-BEE2-441E-BEE1-A686C0FE751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'Weekend vs Weekday Analysis'!$A$5:$A$7</c:f>
              <c:strCache>
                <c:ptCount val="2"/>
                <c:pt idx="0">
                  <c:v>Weekday</c:v>
                </c:pt>
                <c:pt idx="1">
                  <c:v>Weekend</c:v>
                </c:pt>
              </c:strCache>
            </c:strRef>
          </c:cat>
          <c:val>
            <c:numRef>
              <c:f>'Weekend vs Weekday Analysis'!$B$5:$B$7</c:f>
              <c:numCache>
                <c:formatCode>0</c:formatCode>
                <c:ptCount val="2"/>
                <c:pt idx="0">
                  <c:v>25912</c:v>
                </c:pt>
                <c:pt idx="1">
                  <c:v>7986</c:v>
                </c:pt>
              </c:numCache>
            </c:numRef>
          </c:val>
          <c:extLst>
            <c:ext xmlns:c16="http://schemas.microsoft.com/office/drawing/2014/chart" uri="{C3380CC4-5D6E-409C-BE32-E72D297353CC}">
              <c16:uniqueId val="{00000004-BEE2-441E-BEE1-A686C0FE7511}"/>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[DATASET_A.xlsx]Temperature vs Rentals!PivotTable13</c:name>
    <c:fmtId val="3"/>
  </c:pivotSource>
  <c:chart>
    <c:title>
      <c:tx>
        <c:rich>
          <a:bodyPr rot="0" spcFirstLastPara="1" vertOverflow="ellipsis" vert="horz" wrap="square" anchor="ctr" anchorCtr="1"/>
          <a:lstStyle/>
          <a:p>
            <a:pPr>
              <a:defRPr lang="en-US" sz="1800" b="1" i="0" u="none" strike="noStrike" kern="1200" spc="0" baseline="0">
                <a:ln>
                  <a:noFill/>
                </a:ln>
                <a:solidFill>
                  <a:sysClr val="windowText" lastClr="000000">
                    <a:lumMod val="65000"/>
                    <a:lumOff val="35000"/>
                  </a:sysClr>
                </a:solidFill>
                <a:effectLst>
                  <a:glow>
                    <a:schemeClr val="accent1">
                      <a:alpha val="31000"/>
                    </a:schemeClr>
                  </a:glow>
                </a:effectLst>
                <a:latin typeface="Arial" panose="020B0604020202020204" pitchFamily="34" charset="0"/>
                <a:ea typeface="+mn-ea"/>
                <a:cs typeface="Arial" panose="020B0604020202020204" pitchFamily="34" charset="0"/>
              </a:defRPr>
            </a:pPr>
            <a:r>
              <a: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Temperature vs Rentals</a:t>
            </a:r>
          </a:p>
        </c:rich>
      </c:tx>
      <c:layout>
        <c:manualLayout>
          <c:xMode val="edge"/>
          <c:yMode val="edge"/>
          <c:x val="0.26751923866659527"/>
          <c:y val="1.4854913969087328E-4"/>
        </c:manualLayout>
      </c:layout>
      <c:overlay val="0"/>
      <c:spPr>
        <a:solidFill>
          <a:srgbClr val="FFFF00"/>
        </a:solidFill>
        <a:ln>
          <a:noFill/>
        </a:ln>
        <a:effectLst/>
      </c:spPr>
      <c:txPr>
        <a:bodyPr rot="0" spcFirstLastPara="1" vertOverflow="ellipsis" vert="horz" wrap="square" anchor="ctr" anchorCtr="1"/>
        <a:lstStyle/>
        <a:p>
          <a:pPr>
            <a:defRPr lang="en-US" sz="1800" b="1" i="0" u="none" strike="noStrike" kern="1200" spc="0" baseline="0">
              <a:ln>
                <a:noFill/>
              </a:ln>
              <a:solidFill>
                <a:sysClr val="windowText" lastClr="000000">
                  <a:lumMod val="65000"/>
                  <a:lumOff val="35000"/>
                </a:sysClr>
              </a:solidFill>
              <a:effectLst>
                <a:glow>
                  <a:schemeClr val="accent1">
                    <a:alpha val="31000"/>
                  </a:schemeClr>
                </a:glo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8BE9E"/>
          </a:solidFill>
          <a:ln>
            <a:noFill/>
          </a:ln>
          <a:effectLst/>
        </c:spPr>
        <c:dLbl>
          <c:idx val="0"/>
          <c:spPr>
            <a:solidFill>
              <a:srgbClr val="F8BE9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a:noFill/>
          </a:ln>
          <a:effectLst/>
        </c:spPr>
        <c:dLbl>
          <c:idx val="0"/>
          <c:spPr>
            <a:solidFill>
              <a:srgbClr val="FF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CE2D4"/>
          </a:solidFill>
          <a:ln>
            <a:noFill/>
          </a:ln>
          <a:effectLst/>
        </c:spPr>
        <c:dLbl>
          <c:idx val="0"/>
          <c:spPr>
            <a:solidFill>
              <a:srgbClr val="FCE2D4"/>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B050"/>
          </a:solidFill>
          <a:ln>
            <a:noFill/>
          </a:ln>
          <a:effectLst/>
        </c:spPr>
        <c:dLbl>
          <c:idx val="0"/>
          <c:spPr>
            <a:solidFill>
              <a:srgbClr val="00B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6969"/>
          </a:solidFill>
          <a:ln>
            <a:noFill/>
          </a:ln>
          <a:effectLst/>
        </c:spPr>
        <c:dLbl>
          <c:idx val="0"/>
          <c:spPr>
            <a:solidFill>
              <a:srgbClr val="FF6969"/>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8BE9E"/>
          </a:solidFill>
          <a:ln>
            <a:noFill/>
          </a:ln>
          <a:effectLst/>
        </c:spPr>
        <c:dLbl>
          <c:idx val="0"/>
          <c:spPr>
            <a:solidFill>
              <a:srgbClr val="F8BE9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0000"/>
          </a:solidFill>
          <a:ln>
            <a:noFill/>
          </a:ln>
          <a:effectLst/>
        </c:spPr>
        <c:dLbl>
          <c:idx val="0"/>
          <c:spPr>
            <a:solidFill>
              <a:srgbClr val="FF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CE2D4"/>
          </a:solidFill>
          <a:ln>
            <a:noFill/>
          </a:ln>
          <a:effectLst/>
        </c:spPr>
        <c:dLbl>
          <c:idx val="0"/>
          <c:spPr>
            <a:solidFill>
              <a:srgbClr val="FCE2D4"/>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B050"/>
          </a:solidFill>
          <a:ln>
            <a:noFill/>
          </a:ln>
          <a:effectLst/>
        </c:spPr>
        <c:dLbl>
          <c:idx val="0"/>
          <c:spPr>
            <a:solidFill>
              <a:srgbClr val="00B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6969"/>
          </a:solidFill>
          <a:ln>
            <a:noFill/>
          </a:ln>
          <a:effectLst/>
        </c:spPr>
        <c:dLbl>
          <c:idx val="0"/>
          <c:spPr>
            <a:solidFill>
              <a:srgbClr val="FF6969"/>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8BE9E"/>
          </a:solidFill>
          <a:ln>
            <a:noFill/>
          </a:ln>
          <a:effectLst/>
        </c:spPr>
        <c:dLbl>
          <c:idx val="0"/>
          <c:spPr>
            <a:solidFill>
              <a:srgbClr val="F8BE9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0000"/>
          </a:solidFill>
          <a:ln>
            <a:noFill/>
          </a:ln>
          <a:effectLst/>
        </c:spPr>
        <c:dLbl>
          <c:idx val="0"/>
          <c:spPr>
            <a:solidFill>
              <a:srgbClr val="FF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FCE2D4"/>
          </a:solidFill>
          <a:ln>
            <a:noFill/>
          </a:ln>
          <a:effectLst/>
        </c:spPr>
        <c:dLbl>
          <c:idx val="0"/>
          <c:spPr>
            <a:solidFill>
              <a:srgbClr val="FCE2D4"/>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00B050"/>
          </a:solidFill>
          <a:ln>
            <a:noFill/>
          </a:ln>
          <a:effectLst/>
        </c:spPr>
        <c:dLbl>
          <c:idx val="0"/>
          <c:spPr>
            <a:solidFill>
              <a:srgbClr val="00B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F6969"/>
          </a:solidFill>
          <a:ln>
            <a:noFill/>
          </a:ln>
          <a:effectLst/>
        </c:spPr>
        <c:dLbl>
          <c:idx val="0"/>
          <c:spPr>
            <a:solidFill>
              <a:srgbClr val="FF6969"/>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'Temperature vs Rentals'!$B$3</c:f>
              <c:strCache>
                <c:ptCount val="1"/>
                <c:pt idx="0">
                  <c:v>Total</c:v>
                </c:pt>
              </c:strCache>
            </c:strRef>
          </c:tx>
          <c:dPt>
            <c:idx val="0"/>
            <c:bubble3D val="0"/>
            <c:spPr>
              <a:solidFill>
                <a:srgbClr val="F8BE9E"/>
              </a:solidFill>
              <a:ln>
                <a:noFill/>
              </a:ln>
              <a:effectLst/>
            </c:spPr>
            <c:extLst>
              <c:ext xmlns:c16="http://schemas.microsoft.com/office/drawing/2014/chart" uri="{C3380CC4-5D6E-409C-BE32-E72D297353CC}">
                <c16:uniqueId val="{00000001-1841-4F72-AC70-BF40D3FF309E}"/>
              </c:ext>
            </c:extLst>
          </c:dPt>
          <c:dPt>
            <c:idx val="1"/>
            <c:bubble3D val="0"/>
            <c:spPr>
              <a:solidFill>
                <a:srgbClr val="FF0000"/>
              </a:solidFill>
              <a:ln>
                <a:noFill/>
              </a:ln>
              <a:effectLst/>
            </c:spPr>
            <c:extLst>
              <c:ext xmlns:c16="http://schemas.microsoft.com/office/drawing/2014/chart" uri="{C3380CC4-5D6E-409C-BE32-E72D297353CC}">
                <c16:uniqueId val="{00000003-1841-4F72-AC70-BF40D3FF309E}"/>
              </c:ext>
            </c:extLst>
          </c:dPt>
          <c:dPt>
            <c:idx val="2"/>
            <c:bubble3D val="0"/>
            <c:spPr>
              <a:solidFill>
                <a:srgbClr val="FCE2D4"/>
              </a:solidFill>
              <a:ln>
                <a:noFill/>
              </a:ln>
              <a:effectLst/>
            </c:spPr>
            <c:extLst>
              <c:ext xmlns:c16="http://schemas.microsoft.com/office/drawing/2014/chart" uri="{C3380CC4-5D6E-409C-BE32-E72D297353CC}">
                <c16:uniqueId val="{00000005-1841-4F72-AC70-BF40D3FF309E}"/>
              </c:ext>
            </c:extLst>
          </c:dPt>
          <c:dPt>
            <c:idx val="3"/>
            <c:bubble3D val="0"/>
            <c:spPr>
              <a:solidFill>
                <a:srgbClr val="00B050"/>
              </a:solidFill>
              <a:ln>
                <a:noFill/>
              </a:ln>
              <a:effectLst/>
            </c:spPr>
            <c:extLst>
              <c:ext xmlns:c16="http://schemas.microsoft.com/office/drawing/2014/chart" uri="{C3380CC4-5D6E-409C-BE32-E72D297353CC}">
                <c16:uniqueId val="{00000007-1841-4F72-AC70-BF40D3FF309E}"/>
              </c:ext>
            </c:extLst>
          </c:dPt>
          <c:dPt>
            <c:idx val="4"/>
            <c:bubble3D val="0"/>
            <c:spPr>
              <a:solidFill>
                <a:srgbClr val="FF6969"/>
              </a:solidFill>
              <a:ln>
                <a:noFill/>
              </a:ln>
              <a:effectLst/>
            </c:spPr>
            <c:extLst>
              <c:ext xmlns:c16="http://schemas.microsoft.com/office/drawing/2014/chart" uri="{C3380CC4-5D6E-409C-BE32-E72D297353CC}">
                <c16:uniqueId val="{00000009-1841-4F72-AC70-BF40D3FF309E}"/>
              </c:ext>
            </c:extLst>
          </c:dPt>
          <c:dLbls>
            <c:dLbl>
              <c:idx val="0"/>
              <c:spPr>
                <a:solidFill>
                  <a:srgbClr val="F8BE9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1841-4F72-AC70-BF40D3FF309E}"/>
                </c:ext>
              </c:extLst>
            </c:dLbl>
            <c:dLbl>
              <c:idx val="1"/>
              <c:spPr>
                <a:solidFill>
                  <a:srgbClr val="FF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841-4F72-AC70-BF40D3FF309E}"/>
                </c:ext>
              </c:extLst>
            </c:dLbl>
            <c:dLbl>
              <c:idx val="2"/>
              <c:spPr>
                <a:solidFill>
                  <a:srgbClr val="FCE2D4"/>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1841-4F72-AC70-BF40D3FF309E}"/>
                </c:ext>
              </c:extLst>
            </c:dLbl>
            <c:dLbl>
              <c:idx val="3"/>
              <c:spPr>
                <a:solidFill>
                  <a:srgbClr val="00B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1841-4F72-AC70-BF40D3FF309E}"/>
                </c:ext>
              </c:extLst>
            </c:dLbl>
            <c:dLbl>
              <c:idx val="4"/>
              <c:spPr>
                <a:solidFill>
                  <a:srgbClr val="FF6969"/>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1841-4F72-AC70-BF40D3FF30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'Temperature vs Rentals'!$A$4:$A$9</c:f>
              <c:strCache>
                <c:ptCount val="5"/>
                <c:pt idx="0">
                  <c:v>Cool</c:v>
                </c:pt>
                <c:pt idx="1">
                  <c:v>Extremely hot</c:v>
                </c:pt>
                <c:pt idx="2">
                  <c:v>Icy</c:v>
                </c:pt>
                <c:pt idx="3">
                  <c:v>Moderate</c:v>
                </c:pt>
                <c:pt idx="4">
                  <c:v>Sweltering</c:v>
                </c:pt>
              </c:strCache>
            </c:strRef>
          </c:cat>
          <c:val>
            <c:numRef>
              <c:f>'Temperature vs Rentals'!$B$4:$B$9</c:f>
              <c:numCache>
                <c:formatCode>0</c:formatCode>
                <c:ptCount val="5"/>
                <c:pt idx="0">
                  <c:v>19770</c:v>
                </c:pt>
                <c:pt idx="1">
                  <c:v>719</c:v>
                </c:pt>
                <c:pt idx="2">
                  <c:v>6069</c:v>
                </c:pt>
                <c:pt idx="3">
                  <c:v>5678</c:v>
                </c:pt>
                <c:pt idx="4">
                  <c:v>1662</c:v>
                </c:pt>
              </c:numCache>
            </c:numRef>
          </c:val>
          <c:extLst>
            <c:ext xmlns:c16="http://schemas.microsoft.com/office/drawing/2014/chart" uri="{C3380CC4-5D6E-409C-BE32-E72D297353CC}">
              <c16:uniqueId val="{0000000A-1841-4F72-AC70-BF40D3FF309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ln>
            <a:noFill/>
          </a:ln>
          <a:solidFill>
            <a:schemeClr val="tx1"/>
          </a:solidFill>
          <a:effectLst>
            <a:glow>
              <a:schemeClr val="accent1">
                <a:alpha val="31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[DATASET_A.xlsx]Weekday VS Rental_user!PivotTable1</c:name>
    <c:fmtId val="3"/>
  </c:pivotSource>
  <c:chart>
    <c:title>
      <c:tx>
        <c:rich>
          <a:bodyPr rot="0" spcFirstLastPara="1" vertOverflow="ellipsis" vert="horz" wrap="square" anchor="ctr" anchorCtr="1"/>
          <a:lstStyle/>
          <a:p>
            <a:pPr algn="ctr" rtl="0">
              <a:defRPr lang="en-US" sz="1800" b="1" i="0" u="none" strike="noStrike" kern="1200" spc="0" baseline="0">
                <a:ln>
                  <a:noFill/>
                </a:ln>
                <a:solidFill>
                  <a:sysClr val="windowText" lastClr="000000">
                    <a:lumMod val="65000"/>
                    <a:lumOff val="35000"/>
                  </a:sysClr>
                </a:solidFill>
                <a:effectLst>
                  <a:glow>
                    <a:srgbClr val="4472C4">
                      <a:alpha val="31000"/>
                    </a:srgbClr>
                  </a:glow>
                </a:effectLst>
                <a:latin typeface="Arial" panose="020B0604020202020204" pitchFamily="34" charset="0"/>
                <a:ea typeface="+mn-ea"/>
                <a:cs typeface="Arial" panose="020B0604020202020204" pitchFamily="34" charset="0"/>
              </a:defRPr>
            </a:pPr>
            <a:r>
              <a:rPr lang="en-US" sz="1800" b="1" i="0" u="none" strike="noStrike" kern="1200" spc="0" baseline="0">
                <a:ln>
                  <a:noFill/>
                </a:ln>
                <a:solidFill>
                  <a:sysClr val="windowText" lastClr="000000">
                    <a:lumMod val="65000"/>
                    <a:lumOff val="35000"/>
                  </a:sysClr>
                </a:solidFill>
                <a:effectLst>
                  <a:glow>
                    <a:srgbClr val="4472C4">
                      <a:alpha val="31000"/>
                    </a:srgbClr>
                  </a:glow>
                </a:effectLst>
                <a:latin typeface="Arial" panose="020B0604020202020204" pitchFamily="34" charset="0"/>
                <a:ea typeface="+mn-ea"/>
                <a:cs typeface="Arial" panose="020B0604020202020204" pitchFamily="34" charset="0"/>
              </a:rPr>
              <a:t>Weekday vs Rental_user</a:t>
            </a:r>
          </a:p>
        </c:rich>
      </c:tx>
      <c:layout>
        <c:manualLayout>
          <c:xMode val="edge"/>
          <c:yMode val="edge"/>
          <c:x val="0.23702927906422377"/>
          <c:y val="8.5012828049317157E-3"/>
        </c:manualLayout>
      </c:layout>
      <c:overlay val="0"/>
      <c:spPr>
        <a:solidFill>
          <a:srgbClr val="FFFF00"/>
        </a:solidFill>
        <a:ln>
          <a:noFill/>
        </a:ln>
        <a:effectLst/>
      </c:spPr>
      <c:txPr>
        <a:bodyPr rot="0" spcFirstLastPara="1" vertOverflow="ellipsis" vert="horz" wrap="square" anchor="ctr" anchorCtr="1"/>
        <a:lstStyle/>
        <a:p>
          <a:pPr algn="ctr" rtl="0">
            <a:defRPr lang="en-US" sz="1800" b="1" i="0" u="none" strike="noStrike" kern="1200" spc="0" baseline="0">
              <a:ln>
                <a:noFill/>
              </a:ln>
              <a:solidFill>
                <a:sysClr val="windowText" lastClr="000000">
                  <a:lumMod val="65000"/>
                  <a:lumOff val="35000"/>
                </a:sysClr>
              </a:solidFill>
              <a:effectLst>
                <a:glow>
                  <a:srgbClr val="4472C4">
                    <a:alpha val="31000"/>
                  </a:srgbClr>
                </a:glo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rgbClr val="00B0F0">
                <a:alpha val="72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'Weekday VS Rental_user'!$B$3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A3-48C4-ADC8-120837D0DF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A3-48C4-ADC8-120837D0DF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A3-48C4-ADC8-120837D0DF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A3-48C4-ADC8-120837D0DF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A3-48C4-ADC8-120837D0DFA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A3-48C4-ADC8-120837D0DFA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6A3-48C4-ADC8-120837D0DFAE}"/>
              </c:ext>
            </c:extLst>
          </c:dPt>
          <c:dLbls>
            <c:spPr>
              <a:solidFill>
                <a:srgbClr val="00B0F0">
                  <a:alpha val="72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'Weekday VS Rental_user'!$A$4:$A$11</c:f>
              <c:strCache>
                <c:ptCount val="7"/>
                <c:pt idx="0">
                  <c:v>Sun</c:v>
                </c:pt>
                <c:pt idx="1">
                  <c:v>Mon</c:v>
                </c:pt>
                <c:pt idx="2">
                  <c:v>Tue</c:v>
                </c:pt>
                <c:pt idx="3">
                  <c:v>Wed</c:v>
                </c:pt>
                <c:pt idx="4">
                  <c:v>Thu</c:v>
                </c:pt>
                <c:pt idx="5">
                  <c:v>Fri</c:v>
                </c:pt>
                <c:pt idx="6">
                  <c:v>Sat</c:v>
                </c:pt>
              </c:strCache>
            </c:strRef>
          </c:cat>
          <c:val>
            <c:numRef>
              <c:f>'Weekday VS Rental_user'!$B$4:$B$11</c:f>
              <c:numCache>
                <c:formatCode>0</c:formatCode>
                <c:ptCount val="7"/>
                <c:pt idx="0">
                  <c:v>3813</c:v>
                </c:pt>
                <c:pt idx="1">
                  <c:v>5086</c:v>
                </c:pt>
                <c:pt idx="2">
                  <c:v>5493</c:v>
                </c:pt>
                <c:pt idx="3">
                  <c:v>4918</c:v>
                </c:pt>
                <c:pt idx="4">
                  <c:v>5370</c:v>
                </c:pt>
                <c:pt idx="5">
                  <c:v>5045</c:v>
                </c:pt>
                <c:pt idx="6">
                  <c:v>4173</c:v>
                </c:pt>
              </c:numCache>
            </c:numRef>
          </c:val>
          <c:extLst>
            <c:ext xmlns:c16="http://schemas.microsoft.com/office/drawing/2014/chart" uri="{C3380CC4-5D6E-409C-BE32-E72D297353CC}">
              <c16:uniqueId val="{0000000E-36A3-48C4-ADC8-120837D0DFA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[DATASET_A.xlsx]Time Slot Analysis!PivotTable11</c:name>
    <c:fmtId val="3"/>
  </c:pivotSource>
  <c:chart>
    <c:title>
      <c:tx>
        <c:rich>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Time Slot Analysis</a:t>
            </a:r>
          </a:p>
        </c:rich>
      </c:tx>
      <c:overlay val="0"/>
      <c:spPr>
        <a:solidFill>
          <a:srgbClr val="FFFF00"/>
        </a:solidFill>
        <a:ln>
          <a:noFill/>
        </a:ln>
        <a:effectLst/>
      </c:spPr>
      <c:txPr>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pivotFmt>
      <c:pivotFmt>
        <c:idx val="2"/>
        <c:spPr>
          <a:solidFill>
            <a:srgbClr val="F28B2E"/>
          </a:solidFill>
          <a:ln>
            <a:noFill/>
          </a:ln>
          <a:effectLst/>
        </c:spPr>
      </c:pivotFmt>
      <c:pivotFmt>
        <c:idx val="3"/>
        <c:spPr>
          <a:solidFill>
            <a:schemeClr val="tx2">
              <a:lumMod val="20000"/>
              <a:lumOff val="80000"/>
            </a:schemeClr>
          </a:solidFill>
          <a:ln>
            <a:noFill/>
          </a:ln>
          <a:effectLst/>
        </c:spPr>
      </c:pivotFmt>
      <c:pivotFmt>
        <c:idx val="4"/>
        <c:spPr>
          <a:solidFill>
            <a:srgbClr val="FFC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chemeClr val="tx2">
              <a:lumMod val="20000"/>
              <a:lumOff val="80000"/>
            </a:schemeClr>
          </a:solidFill>
          <a:ln>
            <a:noFill/>
          </a:ln>
          <a:effectLst/>
        </c:spPr>
      </c:pivotFmt>
      <c:pivotFmt>
        <c:idx val="8"/>
        <c:spPr>
          <a:solidFill>
            <a:srgbClr val="F28B2E"/>
          </a:solidFill>
          <a:ln>
            <a:noFill/>
          </a:ln>
          <a:effectLst/>
        </c:spPr>
      </c:pivotFmt>
      <c:pivotFmt>
        <c:idx val="9"/>
        <c:spPr>
          <a:solidFill>
            <a:schemeClr val="tx1">
              <a:lumMod val="85000"/>
              <a:lumOff val="1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pivotFmt>
      <c:pivotFmt>
        <c:idx val="12"/>
        <c:spPr>
          <a:solidFill>
            <a:schemeClr val="tx2">
              <a:lumMod val="20000"/>
              <a:lumOff val="80000"/>
            </a:schemeClr>
          </a:solidFill>
          <a:ln>
            <a:noFill/>
          </a:ln>
          <a:effectLst/>
        </c:spPr>
      </c:pivotFmt>
      <c:pivotFmt>
        <c:idx val="13"/>
        <c:spPr>
          <a:solidFill>
            <a:srgbClr val="F28B2E"/>
          </a:solidFill>
          <a:ln>
            <a:noFill/>
          </a:ln>
          <a:effectLst/>
        </c:spPr>
      </c:pivotFmt>
      <c:pivotFmt>
        <c:idx val="14"/>
        <c:spPr>
          <a:solidFill>
            <a:schemeClr val="tx1">
              <a:lumMod val="85000"/>
              <a:lumOff val="15000"/>
            </a:schemeClr>
          </a:solidFill>
          <a:ln>
            <a:noFill/>
          </a:ln>
          <a:effectLst/>
        </c:spPr>
      </c:pivotFmt>
    </c:pivotFmts>
    <c:plotArea>
      <c:layout/>
      <c:barChart>
        <c:barDir val="col"/>
        <c:grouping val="clustered"/>
        <c:varyColors val="0"/>
        <c:ser>
          <c:idx val="0"/>
          <c:order val="0"/>
          <c:tx>
            <c:strRef>
              <c:f>'Time Slot Analysis'!$B$1</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4C25-4D33-8A6E-4FA8D957EFAD}"/>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3-4C25-4D33-8A6E-4FA8D957EFAD}"/>
              </c:ext>
            </c:extLst>
          </c:dPt>
          <c:dPt>
            <c:idx val="2"/>
            <c:invertIfNegative val="0"/>
            <c:bubble3D val="0"/>
            <c:spPr>
              <a:solidFill>
                <a:srgbClr val="F28B2E"/>
              </a:solidFill>
              <a:ln>
                <a:noFill/>
              </a:ln>
              <a:effectLst/>
            </c:spPr>
            <c:extLst>
              <c:ext xmlns:c16="http://schemas.microsoft.com/office/drawing/2014/chart" uri="{C3380CC4-5D6E-409C-BE32-E72D297353CC}">
                <c16:uniqueId val="{00000005-4C25-4D33-8A6E-4FA8D957EFAD}"/>
              </c:ext>
            </c:extLst>
          </c:dPt>
          <c:dPt>
            <c:idx val="3"/>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7-4C25-4D33-8A6E-4FA8D957EFAD}"/>
              </c:ext>
            </c:extLst>
          </c:dPt>
          <c:cat>
            <c:strRef>
              <c:f>'Time Slot Analysis'!$A$2:$A$6</c:f>
              <c:strCache>
                <c:ptCount val="4"/>
                <c:pt idx="0">
                  <c:v>Afternoon</c:v>
                </c:pt>
                <c:pt idx="1">
                  <c:v>Evening</c:v>
                </c:pt>
                <c:pt idx="2">
                  <c:v>Morning</c:v>
                </c:pt>
                <c:pt idx="3">
                  <c:v>Night</c:v>
                </c:pt>
              </c:strCache>
            </c:strRef>
          </c:cat>
          <c:val>
            <c:numRef>
              <c:f>'Time Slot Analysis'!$B$2:$B$6</c:f>
              <c:numCache>
                <c:formatCode>0</c:formatCode>
                <c:ptCount val="4"/>
                <c:pt idx="0">
                  <c:v>13462</c:v>
                </c:pt>
                <c:pt idx="1">
                  <c:v>9309</c:v>
                </c:pt>
                <c:pt idx="2">
                  <c:v>10139</c:v>
                </c:pt>
                <c:pt idx="3">
                  <c:v>988</c:v>
                </c:pt>
              </c:numCache>
            </c:numRef>
          </c:val>
          <c:extLst>
            <c:ext xmlns:c16="http://schemas.microsoft.com/office/drawing/2014/chart" uri="{C3380CC4-5D6E-409C-BE32-E72D297353CC}">
              <c16:uniqueId val="{00000008-4C25-4D33-8A6E-4FA8D957EFAD}"/>
            </c:ext>
          </c:extLst>
        </c:ser>
        <c:dLbls>
          <c:showLegendKey val="0"/>
          <c:showVal val="0"/>
          <c:showCatName val="0"/>
          <c:showSerName val="0"/>
          <c:showPercent val="0"/>
          <c:showBubbleSize val="0"/>
        </c:dLbls>
        <c:gapWidth val="219"/>
        <c:overlap val="-27"/>
        <c:axId val="1579542768"/>
        <c:axId val="1579504848"/>
      </c:barChart>
      <c:catAx>
        <c:axId val="157954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04848"/>
        <c:crosses val="autoZero"/>
        <c:auto val="1"/>
        <c:lblAlgn val="ctr"/>
        <c:lblOffset val="100"/>
        <c:noMultiLvlLbl val="0"/>
      </c:catAx>
      <c:valAx>
        <c:axId val="157950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4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[DATASET_A.xlsx]Weather Impact on Rentals!PivotTable5</c:name>
    <c:fmtId val="4"/>
  </c:pivotSource>
  <c:chart>
    <c:title>
      <c:tx>
        <c:rich>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Weather Impact on Rentals</a:t>
            </a:r>
          </a:p>
        </c:rich>
      </c:tx>
      <c:overlay val="0"/>
      <c:spPr>
        <a:solidFill>
          <a:srgbClr val="FFFF00"/>
        </a:solidFill>
        <a:ln>
          <a:noFill/>
        </a:ln>
        <a:effectLst/>
      </c:spPr>
      <c:txPr>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pivotFmt>
      <c:pivotFmt>
        <c:idx val="2"/>
        <c:spPr>
          <a:solidFill>
            <a:srgbClr val="F8BE9E"/>
          </a:solidFill>
          <a:ln>
            <a:noFill/>
          </a:ln>
          <a:effectLst/>
        </c:spPr>
      </c:pivotFmt>
      <c:pivotFmt>
        <c:idx val="3"/>
        <c:spPr>
          <a:solidFill>
            <a:srgbClr val="00B050"/>
          </a:solidFill>
          <a:ln>
            <a:noFill/>
          </a:ln>
          <a:effectLst/>
        </c:spPr>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F8BE9E"/>
          </a:solidFill>
          <a:ln>
            <a:noFill/>
          </a:ln>
          <a:effectLst/>
        </c:spPr>
      </c:pivotFmt>
      <c:pivotFmt>
        <c:idx val="7"/>
        <c:spPr>
          <a:solidFill>
            <a:schemeClr val="bg2">
              <a:lumMod val="75000"/>
            </a:schemeClr>
          </a:solidFill>
          <a:ln>
            <a:noFill/>
          </a:ln>
          <a:effectLst/>
        </c:spPr>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rgbClr val="F8BE9E"/>
          </a:solidFill>
          <a:ln>
            <a:noFill/>
          </a:ln>
          <a:effectLst/>
        </c:spPr>
      </c:pivotFmt>
      <c:pivotFmt>
        <c:idx val="11"/>
        <c:spPr>
          <a:solidFill>
            <a:schemeClr val="bg2">
              <a:lumMod val="75000"/>
            </a:schemeClr>
          </a:solidFill>
          <a:ln>
            <a:noFill/>
          </a:ln>
          <a:effectLst/>
        </c:spPr>
      </c:pivotFmt>
    </c:pivotFmts>
    <c:plotArea>
      <c:layout/>
      <c:barChart>
        <c:barDir val="col"/>
        <c:grouping val="clustered"/>
        <c:varyColors val="0"/>
        <c:ser>
          <c:idx val="0"/>
          <c:order val="0"/>
          <c:tx>
            <c:strRef>
              <c:f>'Weather Impact on Rentals'!$B$3</c:f>
              <c:strCache>
                <c:ptCount val="1"/>
                <c:pt idx="0">
                  <c:v>Total</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08BB-4DD5-B63E-89834DF749B0}"/>
              </c:ext>
            </c:extLst>
          </c:dPt>
          <c:dPt>
            <c:idx val="2"/>
            <c:invertIfNegative val="0"/>
            <c:bubble3D val="0"/>
            <c:spPr>
              <a:solidFill>
                <a:srgbClr val="F8BE9E"/>
              </a:solidFill>
              <a:ln>
                <a:noFill/>
              </a:ln>
              <a:effectLst/>
            </c:spPr>
            <c:extLst>
              <c:ext xmlns:c16="http://schemas.microsoft.com/office/drawing/2014/chart" uri="{C3380CC4-5D6E-409C-BE32-E72D297353CC}">
                <c16:uniqueId val="{00000003-08BB-4DD5-B63E-89834DF749B0}"/>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5-08BB-4DD5-B63E-89834DF749B0}"/>
              </c:ext>
            </c:extLst>
          </c:dPt>
          <c:cat>
            <c:strRef>
              <c:f>'Weather Impact on Rentals'!$A$4:$A$8</c:f>
              <c:strCache>
                <c:ptCount val="4"/>
                <c:pt idx="0">
                  <c:v>Clear</c:v>
                </c:pt>
                <c:pt idx="1">
                  <c:v>Heavy Rain/Snow</c:v>
                </c:pt>
                <c:pt idx="2">
                  <c:v>Light Snow/Rain</c:v>
                </c:pt>
                <c:pt idx="3">
                  <c:v>Mist / Cloudy</c:v>
                </c:pt>
              </c:strCache>
            </c:strRef>
          </c:cat>
          <c:val>
            <c:numRef>
              <c:f>'Weather Impact on Rentals'!$B$4:$B$8</c:f>
              <c:numCache>
                <c:formatCode>0</c:formatCode>
                <c:ptCount val="4"/>
                <c:pt idx="0">
                  <c:v>21973</c:v>
                </c:pt>
                <c:pt idx="1">
                  <c:v>36</c:v>
                </c:pt>
                <c:pt idx="2">
                  <c:v>1463</c:v>
                </c:pt>
                <c:pt idx="3">
                  <c:v>10426</c:v>
                </c:pt>
              </c:numCache>
            </c:numRef>
          </c:val>
          <c:extLst>
            <c:ext xmlns:c16="http://schemas.microsoft.com/office/drawing/2014/chart" uri="{C3380CC4-5D6E-409C-BE32-E72D297353CC}">
              <c16:uniqueId val="{00000006-08BB-4DD5-B63E-89834DF749B0}"/>
            </c:ext>
          </c:extLst>
        </c:ser>
        <c:dLbls>
          <c:showLegendKey val="0"/>
          <c:showVal val="0"/>
          <c:showCatName val="0"/>
          <c:showSerName val="0"/>
          <c:showPercent val="0"/>
          <c:showBubbleSize val="0"/>
        </c:dLbls>
        <c:gapWidth val="219"/>
        <c:overlap val="-27"/>
        <c:axId val="543785776"/>
        <c:axId val="543784816"/>
      </c:barChart>
      <c:catAx>
        <c:axId val="54378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84816"/>
        <c:crosses val="autoZero"/>
        <c:auto val="1"/>
        <c:lblAlgn val="ctr"/>
        <c:lblOffset val="100"/>
        <c:noMultiLvlLbl val="0"/>
      </c:catAx>
      <c:valAx>
        <c:axId val="543784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8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[DATASET_A.xlsx]Day Rental trend!PivotTable7</c:name>
    <c:fmtId val="0"/>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Daily Rental trend</a:t>
            </a:r>
          </a:p>
        </c:rich>
      </c:tx>
      <c:layout>
        <c:manualLayout>
          <c:xMode val="edge"/>
          <c:yMode val="edge"/>
          <c:x val="0.42459514170040485"/>
          <c:y val="6.296826533047005E-2"/>
        </c:manualLayout>
      </c:layout>
      <c:overlay val="0"/>
      <c:spPr>
        <a:solidFill>
          <a:srgbClr val="FFFF00"/>
        </a:solid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 Rental trend'!$B$4</c:f>
              <c:strCache>
                <c:ptCount val="1"/>
                <c:pt idx="0">
                  <c:v>Total</c:v>
                </c:pt>
              </c:strCache>
            </c:strRef>
          </c:tx>
          <c:spPr>
            <a:ln w="28575" cap="rnd">
              <a:solidFill>
                <a:srgbClr val="0070C0"/>
              </a:solidFill>
              <a:round/>
            </a:ln>
            <a:effectLst/>
          </c:spPr>
          <c:marker>
            <c:symbol val="circle"/>
            <c:size val="5"/>
            <c:spPr>
              <a:solidFill>
                <a:schemeClr val="accent1"/>
              </a:solidFill>
              <a:ln w="9525">
                <a:solidFill>
                  <a:schemeClr val="accent1"/>
                </a:solidFill>
              </a:ln>
              <a:effectLst/>
            </c:spPr>
          </c:marker>
          <c:cat>
            <c:strRef>
              <c:f>'Day Rental trend'!$A$5:$A$33</c:f>
              <c:strCache>
                <c:ptCount val="28"/>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strCache>
            </c:strRef>
          </c:cat>
          <c:val>
            <c:numRef>
              <c:f>'Day Rental trend'!$B$5:$B$33</c:f>
              <c:numCache>
                <c:formatCode>0</c:formatCode>
                <c:ptCount val="28"/>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571</c:v>
                </c:pt>
              </c:numCache>
            </c:numRef>
          </c:val>
          <c:smooth val="0"/>
          <c:extLst>
            <c:ext xmlns:c16="http://schemas.microsoft.com/office/drawing/2014/chart" uri="{C3380CC4-5D6E-409C-BE32-E72D297353CC}">
              <c16:uniqueId val="{00000000-4F97-47F1-9EB4-C1BFBB61EFD0}"/>
            </c:ext>
          </c:extLst>
        </c:ser>
        <c:dLbls>
          <c:showLegendKey val="0"/>
          <c:showVal val="0"/>
          <c:showCatName val="0"/>
          <c:showSerName val="0"/>
          <c:showPercent val="0"/>
          <c:showBubbleSize val="0"/>
        </c:dLbls>
        <c:marker val="1"/>
        <c:smooth val="0"/>
        <c:axId val="1324619311"/>
        <c:axId val="1324616911"/>
      </c:lineChart>
      <c:catAx>
        <c:axId val="1324619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16911"/>
        <c:crosses val="autoZero"/>
        <c:auto val="1"/>
        <c:lblAlgn val="ctr"/>
        <c:lblOffset val="100"/>
        <c:noMultiLvlLbl val="0"/>
      </c:catAx>
      <c:valAx>
        <c:axId val="1324616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1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[DATASET_A.xlsx]Hourly Rental trend!PivotTable8</c:name>
    <c:fmtId val="0"/>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Hourly Rental trend</a:t>
            </a:r>
          </a:p>
        </c:rich>
      </c:tx>
      <c:overlay val="0"/>
      <c:spPr>
        <a:solidFill>
          <a:srgbClr val="FFFF00"/>
        </a:solid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'Hourly Rental trend'!$B$3</c:f>
              <c:strCache>
                <c:ptCount val="1"/>
                <c:pt idx="0">
                  <c:v>Total</c:v>
                </c:pt>
              </c:strCache>
            </c:strRef>
          </c:tx>
          <c:spPr>
            <a:solidFill>
              <a:schemeClr val="accent1"/>
            </a:solidFill>
            <a:ln>
              <a:noFill/>
            </a:ln>
            <a:effectLst/>
          </c:spPr>
          <c:invertIfNegative val="0"/>
          <c:cat>
            <c:strRef>
              <c:f>'Hourly Rental trend'!$A$4:$A$28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Rental trend'!$B$4:$B$28</c:f>
              <c:numCache>
                <c:formatCode>0</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Cache>
            </c:numRef>
          </c:val>
          <c:extLst>
            <c:ext xmlns:c16="http://schemas.microsoft.com/office/drawing/2014/chart" uri="{C3380CC4-5D6E-409C-BE32-E72D297353CC}">
              <c16:uniqueId val="{00000002-19B7-4D2E-9166-D88CAC3011F0}"/>
            </c:ext>
          </c:extLst>
        </c:ser>
        <c:dLbls>
          <c:showLegendKey val="0"/>
          <c:showVal val="0"/>
          <c:showCatName val="0"/>
          <c:showSerName val="0"/>
          <c:showPercent val="0"/>
          <c:showBubbleSize val="0"/>
        </c:dLbls>
        <c:gapWidth val="219"/>
        <c:axId val="1324634671"/>
        <c:axId val="1324635151"/>
      </c:barChart>
      <c:catAx>
        <c:axId val="132463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35151"/>
        <c:crosses val="autoZero"/>
        <c:auto val="1"/>
        <c:lblAlgn val="ctr"/>
        <c:lblOffset val="100"/>
        <c:noMultiLvlLbl val="0"/>
      </c:catAx>
      <c:valAx>
        <c:axId val="1324635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3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[DATASET_A.xlsx]Casual vs Registered Users!PivotTable11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Casual vs Registered Users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'Casual vs Registered Users'!$B$3</c:f>
              <c:strCache>
                <c:ptCount val="1"/>
                <c:pt idx="0">
                  <c:v>Sum of Casual_user</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'Casual vs Registered Users'!$A$4:$A$32</c:f>
              <c:strCache>
                <c:ptCount val="28"/>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strCache>
            </c:strRef>
          </c:cat>
          <c:val>
            <c:numRef>
              <c:f>'Casual vs Registered Users'!$B$4:$B$32</c:f>
              <c:numCache>
                <c:formatCode>0</c:formatCode>
                <c:ptCount val="28"/>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16</c:v>
                </c:pt>
              </c:numCache>
            </c:numRef>
          </c:val>
          <c:smooth val="0"/>
          <c:extLst>
            <c:ext xmlns:c16="http://schemas.microsoft.com/office/drawing/2014/chart" uri="{C3380CC4-5D6E-409C-BE32-E72D297353CC}">
              <c16:uniqueId val="{00000000-BB60-4FC6-9FC4-080FE8C8F003}"/>
            </c:ext>
          </c:extLst>
        </c:ser>
        <c:ser>
          <c:idx val="1"/>
          <c:order val="1"/>
          <c:tx>
            <c:strRef>
              <c:f>'Casual vs Registered Users'!$C$3</c:f>
              <c:strCache>
                <c:ptCount val="1"/>
                <c:pt idx="0">
                  <c:v>Sum of Registered_user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'Casual vs Registered Users'!$A$4:$A$32</c:f>
              <c:strCache>
                <c:ptCount val="28"/>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strCache>
            </c:strRef>
          </c:cat>
          <c:val>
            <c:numRef>
              <c:f>'Casual vs Registered Users'!$C$4:$C$32</c:f>
              <c:numCache>
                <c:formatCode>0</c:formatCode>
                <c:ptCount val="28"/>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555</c:v>
                </c:pt>
              </c:numCache>
            </c:numRef>
          </c:val>
          <c:smooth val="0"/>
          <c:extLst>
            <c:ext xmlns:c16="http://schemas.microsoft.com/office/drawing/2014/chart" uri="{C3380CC4-5D6E-409C-BE32-E72D297353CC}">
              <c16:uniqueId val="{00000002-BB60-4FC6-9FC4-080FE8C8F003}"/>
            </c:ext>
          </c:extLst>
        </c:ser>
        <c:dLbls>
          <c:showLegendKey val="0"/>
          <c:showVal val="0"/>
          <c:showCatName val="0"/>
          <c:showSerName val="0"/>
          <c:showPercent val="0"/>
          <c:showBubbleSize val="0"/>
        </c:dLbls>
        <c:marker val="1"/>
        <c:smooth val="0"/>
        <c:axId val="1324592431"/>
        <c:axId val="1324581391"/>
      </c:lineChart>
      <c:catAx>
        <c:axId val="13245924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581391"/>
        <c:crosses val="autoZero"/>
        <c:auto val="1"/>
        <c:lblAlgn val="ctr"/>
        <c:lblOffset val="100"/>
        <c:noMultiLvlLbl val="0"/>
      </c:catAx>
      <c:valAx>
        <c:axId val="132458139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59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[DATASET_A.xlsx]Weekend vs Weekday Analysis!PivotTable12</c:name>
    <c:fmtId val="0"/>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Weekend vs Weekday Analysis</a:t>
            </a:r>
          </a:p>
        </c:rich>
      </c:tx>
      <c:overlay val="0"/>
      <c:spPr>
        <a:solidFill>
          <a:srgbClr val="FFFF00"/>
        </a:solid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a:noFill/>
          </a:ln>
          <a:effectLst/>
        </c:spPr>
      </c:pivotFmt>
      <c:pivotFmt>
        <c:idx val="2"/>
        <c:spPr>
          <a:solidFill>
            <a:srgbClr val="00B0F0"/>
          </a:solidFill>
          <a:ln>
            <a:noFill/>
          </a:ln>
          <a:effectLst/>
        </c:spPr>
      </c:pivotFmt>
    </c:pivotFmts>
    <c:plotArea>
      <c:layout/>
      <c:doughnutChart>
        <c:varyColors val="1"/>
        <c:ser>
          <c:idx val="0"/>
          <c:order val="0"/>
          <c:tx>
            <c:strRef>
              <c:f>'Weekend vs Weekday Analysis'!$B$4</c:f>
              <c:strCache>
                <c:ptCount val="1"/>
                <c:pt idx="0">
                  <c:v>Total</c:v>
                </c:pt>
              </c:strCache>
            </c:strRef>
          </c:tx>
          <c:spPr>
            <a:solidFill>
              <a:srgbClr val="FF0000"/>
            </a:solidFill>
          </c:spPr>
          <c:dPt>
            <c:idx val="0"/>
            <c:bubble3D val="0"/>
            <c:spPr>
              <a:solidFill>
                <a:srgbClr val="00B0F0"/>
              </a:solidFill>
              <a:ln>
                <a:noFill/>
              </a:ln>
              <a:effectLst/>
            </c:spPr>
            <c:extLst>
              <c:ext xmlns:c16="http://schemas.microsoft.com/office/drawing/2014/chart" uri="{C3380CC4-5D6E-409C-BE32-E72D297353CC}">
                <c16:uniqueId val="{00000001-0581-4F32-B61B-010B3FD37D45}"/>
              </c:ext>
            </c:extLst>
          </c:dPt>
          <c:dPt>
            <c:idx val="1"/>
            <c:bubble3D val="0"/>
            <c:spPr>
              <a:solidFill>
                <a:srgbClr val="00B050"/>
              </a:solidFill>
              <a:ln>
                <a:noFill/>
              </a:ln>
              <a:effectLst/>
            </c:spPr>
            <c:extLst>
              <c:ext xmlns:c16="http://schemas.microsoft.com/office/drawing/2014/chart" uri="{C3380CC4-5D6E-409C-BE32-E72D297353CC}">
                <c16:uniqueId val="{00000000-0581-4F32-B61B-010B3FD37D4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'Weekend vs Weekday Analysis'!$A$5:$A$7</c:f>
              <c:strCache>
                <c:ptCount val="2"/>
                <c:pt idx="0">
                  <c:v>Weekday</c:v>
                </c:pt>
                <c:pt idx="1">
                  <c:v>Weekend</c:v>
                </c:pt>
              </c:strCache>
            </c:strRef>
          </c:cat>
          <c:val>
            <c:numRef>
              <c:f>'Weekend vs Weekday Analysis'!$B$5:$B$7</c:f>
              <c:numCache>
                <c:formatCode>0</c:formatCode>
                <c:ptCount val="2"/>
                <c:pt idx="0">
                  <c:v>25912</c:v>
                </c:pt>
                <c:pt idx="1">
                  <c:v>7986</c:v>
                </c:pt>
              </c:numCache>
            </c:numRef>
          </c:val>
          <c:extLst>
            <c:ext xmlns:c16="http://schemas.microsoft.com/office/drawing/2014/chart" uri="{C3380CC4-5D6E-409C-BE32-E72D297353CC}">
              <c16:uniqueId val="{00000000-B614-478E-A35F-EB433C249EF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[DATASET_A.xlsx]Temperature vs Rentals!PivotTable13</c:name>
    <c:fmtId val="0"/>
  </c:pivotSource>
  <c:chart>
    <c:title>
      <c:tx>
        <c:rich>
          <a:bodyPr rot="0" spcFirstLastPara="1" vertOverflow="ellipsis" vert="horz" wrap="square" anchor="ctr" anchorCtr="1"/>
          <a:lstStyle/>
          <a:p>
            <a:pPr algn="ctr" rtl="0">
              <a:defRPr lang="en-US" sz="1800" b="1" i="0" u="none" strike="noStrike" kern="1200" spc="0" baseline="0">
                <a:ln>
                  <a:noFill/>
                </a:ln>
                <a:solidFill>
                  <a:sysClr val="windowText" lastClr="000000">
                    <a:lumMod val="65000"/>
                    <a:lumOff val="35000"/>
                  </a:sysClr>
                </a:solidFill>
                <a:effectLst>
                  <a:glow>
                    <a:schemeClr val="accent1">
                      <a:alpha val="31000"/>
                    </a:schemeClr>
                  </a:glow>
                </a:effectLst>
                <a:latin typeface="Arial" panose="020B0604020202020204" pitchFamily="34" charset="0"/>
                <a:ea typeface="+mn-ea"/>
                <a:cs typeface="Arial" panose="020B0604020202020204" pitchFamily="34" charset="0"/>
              </a:defRPr>
            </a:pPr>
            <a:r>
              <a:rPr lang="en-US"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Temperature vs Rentals</a:t>
            </a:r>
          </a:p>
        </c:rich>
      </c:tx>
      <c:layout>
        <c:manualLayout>
          <c:xMode val="edge"/>
          <c:yMode val="edge"/>
          <c:x val="0.36512591186571552"/>
          <c:y val="2.8804224275115219E-2"/>
        </c:manualLayout>
      </c:layout>
      <c:overlay val="0"/>
      <c:spPr>
        <a:solidFill>
          <a:srgbClr val="FFFF00"/>
        </a:solidFill>
        <a:ln>
          <a:noFill/>
        </a:ln>
        <a:effectLst/>
      </c:spPr>
      <c:txPr>
        <a:bodyPr rot="0" spcFirstLastPara="1" vertOverflow="ellipsis" vert="horz" wrap="square" anchor="ctr" anchorCtr="1"/>
        <a:lstStyle/>
        <a:p>
          <a:pPr algn="ctr" rtl="0">
            <a:defRPr lang="en-US" sz="1800" b="1" i="0" u="none" strike="noStrike" kern="1200" spc="0" baseline="0">
              <a:ln>
                <a:noFill/>
              </a:ln>
              <a:solidFill>
                <a:sysClr val="windowText" lastClr="000000">
                  <a:lumMod val="65000"/>
                  <a:lumOff val="35000"/>
                </a:sysClr>
              </a:solidFill>
              <a:effectLst>
                <a:glow>
                  <a:schemeClr val="accent1">
                    <a:alpha val="31000"/>
                  </a:schemeClr>
                </a:glo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8BE9E"/>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CE2D4"/>
          </a:solidFill>
          <a:ln>
            <a:noFill/>
          </a:ln>
          <a:effectLst/>
        </c:spPr>
      </c:pivotFmt>
      <c:pivotFmt>
        <c:idx val="5"/>
        <c:spPr>
          <a:solidFill>
            <a:srgbClr val="FF6969"/>
          </a:solidFill>
          <a:ln>
            <a:noFill/>
          </a:ln>
          <a:effectLst/>
        </c:spPr>
      </c:pivotFmt>
    </c:pivotFmts>
    <c:plotArea>
      <c:layout/>
      <c:pieChart>
        <c:varyColors val="1"/>
        <c:ser>
          <c:idx val="0"/>
          <c:order val="0"/>
          <c:tx>
            <c:strRef>
              <c:f>'Temperature vs Rentals'!$B$3</c:f>
              <c:strCache>
                <c:ptCount val="1"/>
                <c:pt idx="0">
                  <c:v>Total</c:v>
                </c:pt>
              </c:strCache>
            </c:strRef>
          </c:tx>
          <c:dPt>
            <c:idx val="0"/>
            <c:bubble3D val="0"/>
            <c:spPr>
              <a:solidFill>
                <a:srgbClr val="F8BE9E"/>
              </a:solidFill>
              <a:ln>
                <a:noFill/>
              </a:ln>
              <a:effectLst/>
            </c:spPr>
            <c:extLst>
              <c:ext xmlns:c16="http://schemas.microsoft.com/office/drawing/2014/chart" uri="{C3380CC4-5D6E-409C-BE32-E72D297353CC}">
                <c16:uniqueId val="{00000000-1030-4D3C-BC8B-EDBD6E58430F}"/>
              </c:ext>
            </c:extLst>
          </c:dPt>
          <c:dPt>
            <c:idx val="1"/>
            <c:bubble3D val="0"/>
            <c:spPr>
              <a:solidFill>
                <a:srgbClr val="FF0000"/>
              </a:solidFill>
              <a:ln>
                <a:noFill/>
              </a:ln>
              <a:effectLst/>
            </c:spPr>
            <c:extLst>
              <c:ext xmlns:c16="http://schemas.microsoft.com/office/drawing/2014/chart" uri="{C3380CC4-5D6E-409C-BE32-E72D297353CC}">
                <c16:uniqueId val="{00000001-1030-4D3C-BC8B-EDBD6E58430F}"/>
              </c:ext>
            </c:extLst>
          </c:dPt>
          <c:dPt>
            <c:idx val="2"/>
            <c:bubble3D val="0"/>
            <c:spPr>
              <a:solidFill>
                <a:srgbClr val="FF0000"/>
              </a:solidFill>
              <a:ln>
                <a:noFill/>
              </a:ln>
              <a:effectLst/>
            </c:spPr>
            <c:extLst>
              <c:ext xmlns:c16="http://schemas.microsoft.com/office/drawing/2014/chart" uri="{C3380CC4-5D6E-409C-BE32-E72D297353CC}">
                <c16:uniqueId val="{00000002-1030-4D3C-BC8B-EDBD6E58430F}"/>
              </c:ext>
            </c:extLst>
          </c:dPt>
          <c:dPt>
            <c:idx val="3"/>
            <c:bubble3D val="0"/>
            <c:spPr>
              <a:solidFill>
                <a:srgbClr val="FCE2D4"/>
              </a:solidFill>
              <a:ln>
                <a:noFill/>
              </a:ln>
              <a:effectLst/>
            </c:spPr>
            <c:extLst>
              <c:ext xmlns:c16="http://schemas.microsoft.com/office/drawing/2014/chart" uri="{C3380CC4-5D6E-409C-BE32-E72D297353CC}">
                <c16:uniqueId val="{00000003-1030-4D3C-BC8B-EDBD6E58430F}"/>
              </c:ext>
            </c:extLst>
          </c:dPt>
          <c:dPt>
            <c:idx val="4"/>
            <c:bubble3D val="0"/>
            <c:spPr>
              <a:solidFill>
                <a:srgbClr val="FF6969"/>
              </a:solidFill>
              <a:ln>
                <a:noFill/>
              </a:ln>
              <a:effectLst/>
            </c:spPr>
            <c:extLst>
              <c:ext xmlns:c16="http://schemas.microsoft.com/office/drawing/2014/chart" uri="{C3380CC4-5D6E-409C-BE32-E72D297353CC}">
                <c16:uniqueId val="{00000004-1030-4D3C-BC8B-EDBD6E5843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tx1"/>
                    </a:solidFill>
                    <a:effectLst>
                      <a:glow>
                        <a:schemeClr val="accent1">
                          <a:alpha val="31000"/>
                        </a:schemeClr>
                      </a:glo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'Temperature vs Rentals'!$A$4:$A$9</c:f>
              <c:strCache>
                <c:ptCount val="5"/>
                <c:pt idx="0">
                  <c:v>Cool</c:v>
                </c:pt>
                <c:pt idx="1">
                  <c:v>Extremely hot</c:v>
                </c:pt>
                <c:pt idx="2">
                  <c:v>Icy</c:v>
                </c:pt>
                <c:pt idx="3">
                  <c:v>Moderate</c:v>
                </c:pt>
                <c:pt idx="4">
                  <c:v>Sweltering</c:v>
                </c:pt>
              </c:strCache>
            </c:strRef>
          </c:cat>
          <c:val>
            <c:numRef>
              <c:f>'Temperature vs Rentals'!$B$4:$B$9</c:f>
              <c:numCache>
                <c:formatCode>0</c:formatCode>
                <c:ptCount val="5"/>
                <c:pt idx="0">
                  <c:v>19770</c:v>
                </c:pt>
                <c:pt idx="1">
                  <c:v>719</c:v>
                </c:pt>
                <c:pt idx="2">
                  <c:v>6069</c:v>
                </c:pt>
                <c:pt idx="3">
                  <c:v>5678</c:v>
                </c:pt>
                <c:pt idx="4">
                  <c:v>1662</c:v>
                </c:pt>
              </c:numCache>
            </c:numRef>
          </c:val>
          <c:extLst>
            <c:ext xmlns:c16="http://schemas.microsoft.com/office/drawing/2014/chart" uri="{C3380CC4-5D6E-409C-BE32-E72D297353CC}">
              <c16:uniqueId val="{00000000-B961-485C-9B2D-395E06D7ADB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effectLst>
            <a:glow>
              <a:schemeClr val="accent1">
                <a:alpha val="31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[DATASET_A.xlsx]Weekday VS Rental_user!PivotTable1</c:name>
    <c:fmtId val="1"/>
  </c:pivotSource>
  <c:chart>
    <c:title>
      <c:tx>
        <c:rich>
          <a:bodyPr rot="0" spcFirstLastPara="1" vertOverflow="ellipsis" vert="horz" wrap="square" anchor="ctr" anchorCtr="1"/>
          <a:lstStyle/>
          <a:p>
            <a:pPr algn="ctr" rtl="0">
              <a:defRPr lang="en-US" sz="1800" b="1" i="0" u="none" strike="noStrike" kern="1200" spc="0" baseline="0">
                <a:ln>
                  <a:noFill/>
                </a:ln>
                <a:solidFill>
                  <a:sysClr val="windowText" lastClr="000000">
                    <a:lumMod val="65000"/>
                    <a:lumOff val="35000"/>
                  </a:sysClr>
                </a:solidFill>
                <a:effectLst>
                  <a:glow>
                    <a:srgbClr val="4472C4">
                      <a:alpha val="31000"/>
                    </a:srgbClr>
                  </a:glow>
                </a:effectLst>
                <a:latin typeface="Arial" panose="020B0604020202020204" pitchFamily="34" charset="0"/>
                <a:ea typeface="+mn-ea"/>
                <a:cs typeface="Arial" panose="020B0604020202020204" pitchFamily="34" charset="0"/>
              </a:defRPr>
            </a:pPr>
            <a:r>
              <a:rPr lang="en-US" sz="1800" b="1" i="0" u="none" strike="noStrike" kern="1200" spc="0" baseline="0">
                <a:ln>
                  <a:noFill/>
                </a:ln>
                <a:solidFill>
                  <a:sysClr val="windowText" lastClr="000000">
                    <a:lumMod val="65000"/>
                    <a:lumOff val="35000"/>
                  </a:sysClr>
                </a:solidFill>
                <a:effectLst>
                  <a:glow>
                    <a:srgbClr val="4472C4">
                      <a:alpha val="31000"/>
                    </a:srgbClr>
                  </a:glow>
                </a:effectLst>
                <a:latin typeface="Arial" panose="020B0604020202020204" pitchFamily="34" charset="0"/>
                <a:ea typeface="+mn-ea"/>
                <a:cs typeface="Arial" panose="020B0604020202020204" pitchFamily="34" charset="0"/>
              </a:rPr>
              <a:t>Weekday vs Rental_user</a:t>
            </a:r>
          </a:p>
        </c:rich>
      </c:tx>
      <c:layout>
        <c:manualLayout>
          <c:xMode val="edge"/>
          <c:yMode val="edge"/>
          <c:x val="0.32783933992585129"/>
          <c:y val="3.4417393228145333E-2"/>
        </c:manualLayout>
      </c:layout>
      <c:overlay val="0"/>
      <c:spPr>
        <a:solidFill>
          <a:srgbClr val="FFFF00"/>
        </a:solidFill>
        <a:ln>
          <a:noFill/>
        </a:ln>
        <a:effectLst/>
      </c:spPr>
      <c:txPr>
        <a:bodyPr rot="0" spcFirstLastPara="1" vertOverflow="ellipsis" vert="horz" wrap="square" anchor="ctr" anchorCtr="1"/>
        <a:lstStyle/>
        <a:p>
          <a:pPr algn="ctr" rtl="0">
            <a:defRPr lang="en-US" sz="1800" b="1" i="0" u="none" strike="noStrike" kern="1200" spc="0" baseline="0">
              <a:ln>
                <a:noFill/>
              </a:ln>
              <a:solidFill>
                <a:sysClr val="windowText" lastClr="000000">
                  <a:lumMod val="65000"/>
                  <a:lumOff val="35000"/>
                </a:sysClr>
              </a:solidFill>
              <a:effectLst>
                <a:glow>
                  <a:srgbClr val="4472C4">
                    <a:alpha val="31000"/>
                  </a:srgbClr>
                </a:glo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'Weekday VS Rental_user'!$B$3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5C-4625-831A-9392AC74F9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5C-4625-831A-9392AC74F9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5C-4625-831A-9392AC74F9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5C-4625-831A-9392AC74F9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5C-4625-831A-9392AC74F96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55C-4625-831A-9392AC74F96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55C-4625-831A-9392AC74F9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'Weekday VS Rental_user'!$A$4:$A$11</c:f>
              <c:strCache>
                <c:ptCount val="7"/>
                <c:pt idx="0">
                  <c:v>Sun</c:v>
                </c:pt>
                <c:pt idx="1">
                  <c:v>Mon</c:v>
                </c:pt>
                <c:pt idx="2">
                  <c:v>Tue</c:v>
                </c:pt>
                <c:pt idx="3">
                  <c:v>Wed</c:v>
                </c:pt>
                <c:pt idx="4">
                  <c:v>Thu</c:v>
                </c:pt>
                <c:pt idx="5">
                  <c:v>Fri</c:v>
                </c:pt>
                <c:pt idx="6">
                  <c:v>Sat</c:v>
                </c:pt>
              </c:strCache>
            </c:strRef>
          </c:cat>
          <c:val>
            <c:numRef>
              <c:f>'Weekday VS Rental_user'!$B$4:$B$11</c:f>
              <c:numCache>
                <c:formatCode>0</c:formatCode>
                <c:ptCount val="7"/>
                <c:pt idx="0">
                  <c:v>3813</c:v>
                </c:pt>
                <c:pt idx="1">
                  <c:v>5086</c:v>
                </c:pt>
                <c:pt idx="2">
                  <c:v>5493</c:v>
                </c:pt>
                <c:pt idx="3">
                  <c:v>4918</c:v>
                </c:pt>
                <c:pt idx="4">
                  <c:v>5370</c:v>
                </c:pt>
                <c:pt idx="5">
                  <c:v>5045</c:v>
                </c:pt>
                <c:pt idx="6">
                  <c:v>4173</c:v>
                </c:pt>
              </c:numCache>
            </c:numRef>
          </c:val>
          <c:extLst>
            <c:ext xmlns:c16="http://schemas.microsoft.com/office/drawing/2014/chart" uri="{C3380CC4-5D6E-409C-BE32-E72D297353CC}">
              <c16:uniqueId val="{00000000-DE28-4801-89F4-FE18002F253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[DATASET_A.xlsx]Time Slot Analysis!PivotTable11</c:name>
    <c:fmtId val="0"/>
  </c:pivotSource>
  <c:chart>
    <c:title>
      <c:tx>
        <c:rich>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Time Slot Analysis</a:t>
            </a:r>
          </a:p>
        </c:rich>
      </c:tx>
      <c:overlay val="0"/>
      <c:spPr>
        <a:solidFill>
          <a:srgbClr val="FFFF00"/>
        </a:solidFill>
        <a:ln>
          <a:noFill/>
        </a:ln>
        <a:effectLst/>
      </c:spPr>
      <c:txPr>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pivotFmt>
      <c:pivotFmt>
        <c:idx val="2"/>
        <c:spPr>
          <a:solidFill>
            <a:srgbClr val="F28B2E"/>
          </a:solidFill>
          <a:ln>
            <a:noFill/>
          </a:ln>
          <a:effectLst/>
        </c:spPr>
      </c:pivotFmt>
      <c:pivotFmt>
        <c:idx val="3"/>
        <c:spPr>
          <a:solidFill>
            <a:schemeClr val="tx2">
              <a:lumMod val="20000"/>
              <a:lumOff val="80000"/>
            </a:schemeClr>
          </a:solidFill>
          <a:ln>
            <a:noFill/>
          </a:ln>
          <a:effectLst/>
        </c:spPr>
      </c:pivotFmt>
      <c:pivotFmt>
        <c:idx val="4"/>
        <c:spPr>
          <a:solidFill>
            <a:srgbClr val="FFC000"/>
          </a:solidFill>
          <a:ln>
            <a:noFill/>
          </a:ln>
          <a:effectLst/>
        </c:spPr>
      </c:pivotFmt>
    </c:pivotFmts>
    <c:plotArea>
      <c:layout/>
      <c:barChart>
        <c:barDir val="col"/>
        <c:grouping val="clustered"/>
        <c:varyColors val="0"/>
        <c:ser>
          <c:idx val="0"/>
          <c:order val="0"/>
          <c:tx>
            <c:strRef>
              <c:f>'Time Slot Analysis'!$B$1</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5-FED9-4B44-8301-3CB54EACDE44}"/>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4-FED9-4B44-8301-3CB54EACDE44}"/>
              </c:ext>
            </c:extLst>
          </c:dPt>
          <c:dPt>
            <c:idx val="2"/>
            <c:invertIfNegative val="0"/>
            <c:bubble3D val="0"/>
            <c:spPr>
              <a:solidFill>
                <a:srgbClr val="F28B2E"/>
              </a:solidFill>
              <a:ln>
                <a:noFill/>
              </a:ln>
              <a:effectLst/>
            </c:spPr>
            <c:extLst>
              <c:ext xmlns:c16="http://schemas.microsoft.com/office/drawing/2014/chart" uri="{C3380CC4-5D6E-409C-BE32-E72D297353CC}">
                <c16:uniqueId val="{00000003-FED9-4B44-8301-3CB54EACDE44}"/>
              </c:ext>
            </c:extLst>
          </c:dPt>
          <c:dPt>
            <c:idx val="3"/>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2-FED9-4B44-8301-3CB54EACDE44}"/>
              </c:ext>
            </c:extLst>
          </c:dPt>
          <c:cat>
            <c:strRef>
              <c:f>'Time Slot Analysis'!$A$2:$A$6</c:f>
              <c:strCache>
                <c:ptCount val="4"/>
                <c:pt idx="0">
                  <c:v>Afternoon</c:v>
                </c:pt>
                <c:pt idx="1">
                  <c:v>Evening</c:v>
                </c:pt>
                <c:pt idx="2">
                  <c:v>Morning</c:v>
                </c:pt>
                <c:pt idx="3">
                  <c:v>Night</c:v>
                </c:pt>
              </c:strCache>
            </c:strRef>
          </c:cat>
          <c:val>
            <c:numRef>
              <c:f>'Time Slot Analysis'!$B$2:$B$6</c:f>
              <c:numCache>
                <c:formatCode>0</c:formatCode>
                <c:ptCount val="4"/>
                <c:pt idx="0">
                  <c:v>13462</c:v>
                </c:pt>
                <c:pt idx="1">
                  <c:v>9309</c:v>
                </c:pt>
                <c:pt idx="2">
                  <c:v>10139</c:v>
                </c:pt>
                <c:pt idx="3">
                  <c:v>988</c:v>
                </c:pt>
              </c:numCache>
            </c:numRef>
          </c:val>
          <c:extLst>
            <c:ext xmlns:c16="http://schemas.microsoft.com/office/drawing/2014/chart" uri="{C3380CC4-5D6E-409C-BE32-E72D297353CC}">
              <c16:uniqueId val="{00000000-FED9-4B44-8301-3CB54EACDE44}"/>
            </c:ext>
          </c:extLst>
        </c:ser>
        <c:dLbls>
          <c:showLegendKey val="0"/>
          <c:showVal val="0"/>
          <c:showCatName val="0"/>
          <c:showSerName val="0"/>
          <c:showPercent val="0"/>
          <c:showBubbleSize val="0"/>
        </c:dLbls>
        <c:gapWidth val="219"/>
        <c:overlap val="-27"/>
        <c:axId val="1579542768"/>
        <c:axId val="1579504848"/>
      </c:barChart>
      <c:catAx>
        <c:axId val="157954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04848"/>
        <c:crosses val="autoZero"/>
        <c:auto val="1"/>
        <c:lblAlgn val="ctr"/>
        <c:lblOffset val="100"/>
        <c:noMultiLvlLbl val="0"/>
      </c:catAx>
      <c:valAx>
        <c:axId val="157950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54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[DATASET_A.xlsx]Weather Impact on Rentals!PivotTable5</c:name>
    <c:fmtId val="0"/>
  </c:pivotSource>
  <c:chart>
    <c:title>
      <c:tx>
        <c:rich>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Weather Impact on Rentals</a:t>
            </a:r>
          </a:p>
        </c:rich>
      </c:tx>
      <c:overlay val="0"/>
      <c:spPr>
        <a:solidFill>
          <a:srgbClr val="FFFF00"/>
        </a:solidFill>
        <a:ln>
          <a:noFill/>
        </a:ln>
        <a:effectLst/>
      </c:spPr>
      <c:txPr>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8BE9E"/>
          </a:solidFill>
          <a:ln>
            <a:noFill/>
          </a:ln>
          <a:effectLst/>
        </c:spPr>
      </c:pivotFmt>
      <c:pivotFmt>
        <c:idx val="3"/>
        <c:spPr>
          <a:solidFill>
            <a:srgbClr val="00B050"/>
          </a:solidFill>
          <a:ln>
            <a:noFill/>
          </a:ln>
          <a:effectLst/>
        </c:spPr>
      </c:pivotFmt>
    </c:pivotFmts>
    <c:plotArea>
      <c:layout/>
      <c:barChart>
        <c:barDir val="col"/>
        <c:grouping val="clustered"/>
        <c:varyColors val="0"/>
        <c:ser>
          <c:idx val="0"/>
          <c:order val="0"/>
          <c:tx>
            <c:strRef>
              <c:f>'Weather Impact on Rentals'!$B$3</c:f>
              <c:strCache>
                <c:ptCount val="1"/>
                <c:pt idx="0">
                  <c:v>Total</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3854-4B98-A969-679EBE17D4C6}"/>
              </c:ext>
            </c:extLst>
          </c:dPt>
          <c:dPt>
            <c:idx val="2"/>
            <c:invertIfNegative val="0"/>
            <c:bubble3D val="0"/>
            <c:spPr>
              <a:solidFill>
                <a:srgbClr val="F8BE9E"/>
              </a:solidFill>
              <a:ln>
                <a:noFill/>
              </a:ln>
              <a:effectLst/>
            </c:spPr>
            <c:extLst>
              <c:ext xmlns:c16="http://schemas.microsoft.com/office/drawing/2014/chart" uri="{C3380CC4-5D6E-409C-BE32-E72D297353CC}">
                <c16:uniqueId val="{00000003-3854-4B98-A969-679EBE17D4C6}"/>
              </c:ext>
            </c:extLst>
          </c:dPt>
          <c:dPt>
            <c:idx val="3"/>
            <c:invertIfNegative val="0"/>
            <c:bubble3D val="0"/>
            <c:spPr>
              <a:solidFill>
                <a:srgbClr val="00B050"/>
              </a:solidFill>
              <a:ln>
                <a:noFill/>
              </a:ln>
              <a:effectLst/>
            </c:spPr>
            <c:extLst>
              <c:ext xmlns:c16="http://schemas.microsoft.com/office/drawing/2014/chart" uri="{C3380CC4-5D6E-409C-BE32-E72D297353CC}">
                <c16:uniqueId val="{00000002-3854-4B98-A969-679EBE17D4C6}"/>
              </c:ext>
            </c:extLst>
          </c:dPt>
          <c:cat>
            <c:strRef>
              <c:f>'Weather Impact on Rentals'!$A$4:$A$8</c:f>
              <c:strCache>
                <c:ptCount val="4"/>
                <c:pt idx="0">
                  <c:v>Clear</c:v>
                </c:pt>
                <c:pt idx="1">
                  <c:v>Heavy Rain/Snow</c:v>
                </c:pt>
                <c:pt idx="2">
                  <c:v>Light Snow/Rain</c:v>
                </c:pt>
                <c:pt idx="3">
                  <c:v>Mist / Cloudy</c:v>
                </c:pt>
              </c:strCache>
            </c:strRef>
          </c:cat>
          <c:val>
            <c:numRef>
              <c:f>'Weather Impact on Rentals'!$B$4:$B$8</c:f>
              <c:numCache>
                <c:formatCode>0</c:formatCode>
                <c:ptCount val="4"/>
                <c:pt idx="0">
                  <c:v>21973</c:v>
                </c:pt>
                <c:pt idx="1">
                  <c:v>36</c:v>
                </c:pt>
                <c:pt idx="2">
                  <c:v>1463</c:v>
                </c:pt>
                <c:pt idx="3">
                  <c:v>10426</c:v>
                </c:pt>
              </c:numCache>
            </c:numRef>
          </c:val>
          <c:extLst>
            <c:ext xmlns:c16="http://schemas.microsoft.com/office/drawing/2014/chart" uri="{C3380CC4-5D6E-409C-BE32-E72D297353CC}">
              <c16:uniqueId val="{00000000-3854-4B98-A969-679EBE17D4C6}"/>
            </c:ext>
          </c:extLst>
        </c:ser>
        <c:dLbls>
          <c:showLegendKey val="0"/>
          <c:showVal val="0"/>
          <c:showCatName val="0"/>
          <c:showSerName val="0"/>
          <c:showPercent val="0"/>
          <c:showBubbleSize val="0"/>
        </c:dLbls>
        <c:gapWidth val="219"/>
        <c:overlap val="-27"/>
        <c:axId val="543785776"/>
        <c:axId val="543784816"/>
      </c:barChart>
      <c:catAx>
        <c:axId val="54378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84816"/>
        <c:crosses val="autoZero"/>
        <c:auto val="1"/>
        <c:lblAlgn val="ctr"/>
        <c:lblOffset val="100"/>
        <c:noMultiLvlLbl val="0"/>
      </c:catAx>
      <c:valAx>
        <c:axId val="543784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8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22860</xdr:colOff>
      <xdr:row>14</xdr:row>
      <xdr:rowOff>0</xdr:rowOff>
    </xdr:from>
    <xdr:to>
      <xdr:col>1</xdr:col>
      <xdr:colOff>2575560</xdr:colOff>
      <xdr:row>31</xdr:row>
      <xdr:rowOff>175260</xdr:rowOff>
    </xdr:to>
    <xdr:graphicFrame macro="">
      <xdr:nvGraphicFramePr>
        <xdr:cNvPr id="2" name="Chart 1">
          <a:extLst>
            <a:ext uri="{FF2B5EF4-FFF2-40B4-BE49-F238E27FC236}">
              <a16:creationId xmlns:a16="http://schemas.microsoft.com/office/drawing/2014/main" id="{CE8C6962-2CA6-4D2A-8522-B1823B453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60960</xdr:colOff>
      <xdr:row>13</xdr:row>
      <xdr:rowOff>182880</xdr:rowOff>
    </xdr:from>
    <xdr:to>
      <xdr:col>4</xdr:col>
      <xdr:colOff>7620</xdr:colOff>
      <xdr:row>32</xdr:row>
      <xdr:rowOff>7620</xdr:rowOff>
    </xdr:to>
    <xdr:graphicFrame macro="">
      <xdr:nvGraphicFramePr>
        <xdr:cNvPr id="3" name="Chart 2">
          <a:extLst>
            <a:ext uri="{FF2B5EF4-FFF2-40B4-BE49-F238E27FC236}">
              <a16:creationId xmlns:a16="http://schemas.microsoft.com/office/drawing/2014/main" id="{A8FFE86A-7729-416C-8B7D-9EEB99072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175260</xdr:rowOff>
    </xdr:from>
    <xdr:to>
      <xdr:col>2</xdr:col>
      <xdr:colOff>30480</xdr:colOff>
      <xdr:row>48</xdr:row>
      <xdr:rowOff>160020</xdr:rowOff>
    </xdr:to>
    <xdr:graphicFrame macro="">
      <xdr:nvGraphicFramePr>
        <xdr:cNvPr id="6" name="Chart 5">
          <a:extLst>
            <a:ext uri="{FF2B5EF4-FFF2-40B4-BE49-F238E27FC236}">
              <a16:creationId xmlns:a16="http://schemas.microsoft.com/office/drawing/2014/main" id="{82C6046E-3D1B-461F-AB97-A4B58BE73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50</xdr:row>
      <xdr:rowOff>7620</xdr:rowOff>
    </xdr:from>
    <xdr:to>
      <xdr:col>1</xdr:col>
      <xdr:colOff>3261360</xdr:colOff>
      <xdr:row>67</xdr:row>
      <xdr:rowOff>220980</xdr:rowOff>
    </xdr:to>
    <xdr:graphicFrame macro="">
      <xdr:nvGraphicFramePr>
        <xdr:cNvPr id="7" name="Chart 6">
          <a:extLst>
            <a:ext uri="{FF2B5EF4-FFF2-40B4-BE49-F238E27FC236}">
              <a16:creationId xmlns:a16="http://schemas.microsoft.com/office/drawing/2014/main" id="{8E59F53A-869F-43CD-82B5-AE80E546A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68</xdr:row>
      <xdr:rowOff>175260</xdr:rowOff>
    </xdr:from>
    <xdr:to>
      <xdr:col>1</xdr:col>
      <xdr:colOff>3253740</xdr:colOff>
      <xdr:row>86</xdr:row>
      <xdr:rowOff>167640</xdr:rowOff>
    </xdr:to>
    <xdr:graphicFrame macro="">
      <xdr:nvGraphicFramePr>
        <xdr:cNvPr id="8" name="Chart 7">
          <a:extLst>
            <a:ext uri="{FF2B5EF4-FFF2-40B4-BE49-F238E27FC236}">
              <a16:creationId xmlns:a16="http://schemas.microsoft.com/office/drawing/2014/main" id="{6B719392-D653-4350-BE49-06892B704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76200</xdr:colOff>
      <xdr:row>50</xdr:row>
      <xdr:rowOff>30480</xdr:rowOff>
    </xdr:from>
    <xdr:to>
      <xdr:col>3</xdr:col>
      <xdr:colOff>3040380</xdr:colOff>
      <xdr:row>67</xdr:row>
      <xdr:rowOff>198120</xdr:rowOff>
    </xdr:to>
    <xdr:graphicFrame macro="">
      <xdr:nvGraphicFramePr>
        <xdr:cNvPr id="5" name="Chart 4">
          <a:extLst>
            <a:ext uri="{FF2B5EF4-FFF2-40B4-BE49-F238E27FC236}">
              <a16:creationId xmlns:a16="http://schemas.microsoft.com/office/drawing/2014/main" id="{637030BD-BE56-4B21-ADB6-792092D6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90115</xdr:colOff>
      <xdr:row>9</xdr:row>
      <xdr:rowOff>120925</xdr:rowOff>
    </xdr:from>
    <xdr:to>
      <xdr:col>4</xdr:col>
      <xdr:colOff>1911295</xdr:colOff>
      <xdr:row>13</xdr:row>
      <xdr:rowOff>27167</xdr:rowOff>
    </xdr:to>
    <mc:AlternateContent xmlns:mc="http://schemas.openxmlformats.org/markup-compatibility/2006" xmlns:a14="http://schemas.microsoft.com/office/drawing/2010/main">
      <mc:Choice Requires="a14">
        <xdr:graphicFrame macro="">
          <xdr:nvGraphicFramePr>
            <xdr:cNvPr id="18" name="Time Slot">
              <a:extLst>
                <a:ext uri="{FF2B5EF4-FFF2-40B4-BE49-F238E27FC236}">
                  <a16:creationId xmlns:a16="http://schemas.microsoft.com/office/drawing/2014/main" id="{4423E32C-1B3D-B594-844C-20386ECC5139}"/>
                </a:ext>
              </a:extLst>
            </xdr:cNvPr>
            <xdr:cNvGraphicFramePr/>
          </xdr:nvGraphicFramePr>
          <xdr:xfrm>
            <a:off x="0" y="0"/>
            <a:ext cx="0" cy="0"/>
          </xdr:xfrm>
          <a:graphic>
            <a:graphicData uri="http://schemas.microsoft.com/office/drawing/2010/slicer">
              <sle:slicer xmlns:sle="http://schemas.microsoft.com/office/drawing/2010/slicer" name="Time Slot"/>
            </a:graphicData>
          </a:graphic>
        </xdr:graphicFrame>
      </mc:Choice>
      <mc:Fallback xmlns="">
        <xdr:sp macro="" textlink="">
          <xdr:nvSpPr>
            <xdr:cNvPr id="0" name=""/>
            <xdr:cNvSpPr>
              <a:spLocks noTextEdit="1"/>
            </xdr:cNvSpPr>
          </xdr:nvSpPr>
          <xdr:spPr>
            <a:xfrm>
              <a:off x="11078155" y="3077485"/>
              <a:ext cx="1821180" cy="1437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97735</xdr:colOff>
      <xdr:row>13</xdr:row>
      <xdr:rowOff>43734</xdr:rowOff>
    </xdr:from>
    <xdr:to>
      <xdr:col>4</xdr:col>
      <xdr:colOff>1926535</xdr:colOff>
      <xdr:row>17</xdr:row>
      <xdr:rowOff>140805</xdr:rowOff>
    </xdr:to>
    <mc:AlternateContent xmlns:mc="http://schemas.openxmlformats.org/markup-compatibility/2006" xmlns:a14="http://schemas.microsoft.com/office/drawing/2010/main">
      <mc:Choice Requires="a14">
        <xdr:graphicFrame macro="">
          <xdr:nvGraphicFramePr>
            <xdr:cNvPr id="19" name="Holiday">
              <a:extLst>
                <a:ext uri="{FF2B5EF4-FFF2-40B4-BE49-F238E27FC236}">
                  <a16:creationId xmlns:a16="http://schemas.microsoft.com/office/drawing/2014/main" id="{58468C17-C15B-BD03-9A8A-E57E80BA9F27}"/>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11085775" y="4531914"/>
              <a:ext cx="1828800" cy="843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110987</xdr:colOff>
      <xdr:row>1</xdr:row>
      <xdr:rowOff>89122</xdr:rowOff>
    </xdr:from>
    <xdr:to>
      <xdr:col>4</xdr:col>
      <xdr:colOff>1939787</xdr:colOff>
      <xdr:row>9</xdr:row>
      <xdr:rowOff>72224</xdr:rowOff>
    </xdr:to>
    <mc:AlternateContent xmlns:mc="http://schemas.openxmlformats.org/markup-compatibility/2006" xmlns:a14="http://schemas.microsoft.com/office/drawing/2010/main">
      <mc:Choice Requires="a14">
        <xdr:graphicFrame macro="">
          <xdr:nvGraphicFramePr>
            <xdr:cNvPr id="20" name="Weekday">
              <a:extLst>
                <a:ext uri="{FF2B5EF4-FFF2-40B4-BE49-F238E27FC236}">
                  <a16:creationId xmlns:a16="http://schemas.microsoft.com/office/drawing/2014/main" id="{AA7FFC87-E553-13E9-2B46-0D4BA27A5BC6}"/>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1099027" y="1079722"/>
              <a:ext cx="1828800" cy="1949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18</xdr:row>
      <xdr:rowOff>12589</xdr:rowOff>
    </xdr:from>
    <xdr:to>
      <xdr:col>4</xdr:col>
      <xdr:colOff>1920240</xdr:colOff>
      <xdr:row>22</xdr:row>
      <xdr:rowOff>20540</xdr:rowOff>
    </xdr:to>
    <mc:AlternateContent xmlns:mc="http://schemas.openxmlformats.org/markup-compatibility/2006" xmlns:a14="http://schemas.microsoft.com/office/drawing/2010/main">
      <mc:Choice Requires="a14">
        <xdr:graphicFrame macro="">
          <xdr:nvGraphicFramePr>
            <xdr:cNvPr id="21" name="Weekend vs Weekday">
              <a:extLst>
                <a:ext uri="{FF2B5EF4-FFF2-40B4-BE49-F238E27FC236}">
                  <a16:creationId xmlns:a16="http://schemas.microsoft.com/office/drawing/2014/main" id="{69163ECD-A557-7550-B058-B1E14A2D9622}"/>
                </a:ext>
              </a:extLst>
            </xdr:cNvPr>
            <xdr:cNvGraphicFramePr/>
          </xdr:nvGraphicFramePr>
          <xdr:xfrm>
            <a:off x="0" y="0"/>
            <a:ext cx="0" cy="0"/>
          </xdr:xfrm>
          <a:graphic>
            <a:graphicData uri="http://schemas.microsoft.com/office/drawing/2010/slicer">
              <sle:slicer xmlns:sle="http://schemas.microsoft.com/office/drawing/2010/slicer" name="Weekend vs Weekday"/>
            </a:graphicData>
          </a:graphic>
        </xdr:graphicFrame>
      </mc:Choice>
      <mc:Fallback xmlns="">
        <xdr:sp macro="" textlink="">
          <xdr:nvSpPr>
            <xdr:cNvPr id="0" name=""/>
            <xdr:cNvSpPr>
              <a:spLocks noTextEdit="1"/>
            </xdr:cNvSpPr>
          </xdr:nvSpPr>
          <xdr:spPr>
            <a:xfrm>
              <a:off x="11064240" y="5430409"/>
              <a:ext cx="1844040" cy="907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99060</xdr:colOff>
      <xdr:row>32</xdr:row>
      <xdr:rowOff>198120</xdr:rowOff>
    </xdr:from>
    <xdr:to>
      <xdr:col>4</xdr:col>
      <xdr:colOff>7620</xdr:colOff>
      <xdr:row>48</xdr:row>
      <xdr:rowOff>167640</xdr:rowOff>
    </xdr:to>
    <xdr:graphicFrame macro="">
      <xdr:nvGraphicFramePr>
        <xdr:cNvPr id="23" name="Chart 22">
          <a:extLst>
            <a:ext uri="{FF2B5EF4-FFF2-40B4-BE49-F238E27FC236}">
              <a16:creationId xmlns:a16="http://schemas.microsoft.com/office/drawing/2014/main" id="{22A1E215-B103-4DD5-AEFC-4A2ADC240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99060</xdr:colOff>
      <xdr:row>68</xdr:row>
      <xdr:rowOff>182880</xdr:rowOff>
    </xdr:from>
    <xdr:to>
      <xdr:col>4</xdr:col>
      <xdr:colOff>7620</xdr:colOff>
      <xdr:row>86</xdr:row>
      <xdr:rowOff>175260</xdr:rowOff>
    </xdr:to>
    <xdr:graphicFrame macro="">
      <xdr:nvGraphicFramePr>
        <xdr:cNvPr id="11" name="Chart 10">
          <a:extLst>
            <a:ext uri="{FF2B5EF4-FFF2-40B4-BE49-F238E27FC236}">
              <a16:creationId xmlns:a16="http://schemas.microsoft.com/office/drawing/2014/main" id="{A948A00F-E0E1-438F-B1C1-447735A12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83820</xdr:colOff>
      <xdr:row>22</xdr:row>
      <xdr:rowOff>45721</xdr:rowOff>
    </xdr:from>
    <xdr:to>
      <xdr:col>4</xdr:col>
      <xdr:colOff>1912620</xdr:colOff>
      <xdr:row>30</xdr:row>
      <xdr:rowOff>22860</xdr:rowOff>
    </xdr:to>
    <mc:AlternateContent xmlns:mc="http://schemas.openxmlformats.org/markup-compatibility/2006" xmlns:a14="http://schemas.microsoft.com/office/drawing/2010/main">
      <mc:Choice Requires="a14">
        <xdr:graphicFrame macro="">
          <xdr:nvGraphicFramePr>
            <xdr:cNvPr id="12" name="Weather Situation">
              <a:extLst>
                <a:ext uri="{FF2B5EF4-FFF2-40B4-BE49-F238E27FC236}">
                  <a16:creationId xmlns:a16="http://schemas.microsoft.com/office/drawing/2014/main" id="{DEDBCE92-C6C0-4979-D613-53D3C423CE3B}"/>
                </a:ext>
              </a:extLst>
            </xdr:cNvPr>
            <xdr:cNvGraphicFramePr/>
          </xdr:nvGraphicFramePr>
          <xdr:xfrm>
            <a:off x="0" y="0"/>
            <a:ext cx="0" cy="0"/>
          </xdr:xfrm>
          <a:graphic>
            <a:graphicData uri="http://schemas.microsoft.com/office/drawing/2010/slicer">
              <sle:slicer xmlns:sle="http://schemas.microsoft.com/office/drawing/2010/slicer" name="Weather Situation"/>
            </a:graphicData>
          </a:graphic>
        </xdr:graphicFrame>
      </mc:Choice>
      <mc:Fallback xmlns="">
        <xdr:sp macro="" textlink="">
          <xdr:nvSpPr>
            <xdr:cNvPr id="0" name=""/>
            <xdr:cNvSpPr>
              <a:spLocks noTextEdit="1"/>
            </xdr:cNvSpPr>
          </xdr:nvSpPr>
          <xdr:spPr>
            <a:xfrm>
              <a:off x="11071860" y="6362701"/>
              <a:ext cx="18288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99060</xdr:rowOff>
    </xdr:from>
    <xdr:to>
      <xdr:col>15</xdr:col>
      <xdr:colOff>228600</xdr:colOff>
      <xdr:row>24</xdr:row>
      <xdr:rowOff>83820</xdr:rowOff>
    </xdr:to>
    <xdr:graphicFrame macro="">
      <xdr:nvGraphicFramePr>
        <xdr:cNvPr id="2" name="Chart 1">
          <a:extLst>
            <a:ext uri="{FF2B5EF4-FFF2-40B4-BE49-F238E27FC236}">
              <a16:creationId xmlns:a16="http://schemas.microsoft.com/office/drawing/2014/main" id="{CDFC4CCF-5AA6-EC98-01AD-3701D1B7A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472440</xdr:colOff>
      <xdr:row>2</xdr:row>
      <xdr:rowOff>175260</xdr:rowOff>
    </xdr:from>
    <xdr:to>
      <xdr:col>14</xdr:col>
      <xdr:colOff>464820</xdr:colOff>
      <xdr:row>24</xdr:row>
      <xdr:rowOff>137160</xdr:rowOff>
    </xdr:to>
    <xdr:graphicFrame macro="">
      <xdr:nvGraphicFramePr>
        <xdr:cNvPr id="2" name="Chart 1">
          <a:extLst>
            <a:ext uri="{FF2B5EF4-FFF2-40B4-BE49-F238E27FC236}">
              <a16:creationId xmlns:a16="http://schemas.microsoft.com/office/drawing/2014/main" id="{7C655167-DFEE-1410-04F7-0A3151D21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91440</xdr:colOff>
      <xdr:row>2</xdr:row>
      <xdr:rowOff>7620</xdr:rowOff>
    </xdr:from>
    <xdr:to>
      <xdr:col>16</xdr:col>
      <xdr:colOff>464820</xdr:colOff>
      <xdr:row>28</xdr:row>
      <xdr:rowOff>175260</xdr:rowOff>
    </xdr:to>
    <xdr:graphicFrame macro="">
      <xdr:nvGraphicFramePr>
        <xdr:cNvPr id="2" name="Chart 1">
          <a:extLst>
            <a:ext uri="{FF2B5EF4-FFF2-40B4-BE49-F238E27FC236}">
              <a16:creationId xmlns:a16="http://schemas.microsoft.com/office/drawing/2014/main" id="{AB27B250-7498-A6C0-BE84-24A4AC0CE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502920</xdr:colOff>
      <xdr:row>3</xdr:row>
      <xdr:rowOff>129540</xdr:rowOff>
    </xdr:from>
    <xdr:to>
      <xdr:col>15</xdr:col>
      <xdr:colOff>228600</xdr:colOff>
      <xdr:row>22</xdr:row>
      <xdr:rowOff>175260</xdr:rowOff>
    </xdr:to>
    <xdr:graphicFrame macro="">
      <xdr:nvGraphicFramePr>
        <xdr:cNvPr id="2" name="Chart 1">
          <a:extLst>
            <a:ext uri="{FF2B5EF4-FFF2-40B4-BE49-F238E27FC236}">
              <a16:creationId xmlns:a16="http://schemas.microsoft.com/office/drawing/2014/main" id="{48E7778A-A644-123B-CADE-11DDC9AE3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457200</xdr:colOff>
      <xdr:row>1</xdr:row>
      <xdr:rowOff>91440</xdr:rowOff>
    </xdr:from>
    <xdr:to>
      <xdr:col>15</xdr:col>
      <xdr:colOff>601980</xdr:colOff>
      <xdr:row>22</xdr:row>
      <xdr:rowOff>121920</xdr:rowOff>
    </xdr:to>
    <xdr:graphicFrame macro="">
      <xdr:nvGraphicFramePr>
        <xdr:cNvPr id="2" name="Chart 1">
          <a:extLst>
            <a:ext uri="{FF2B5EF4-FFF2-40B4-BE49-F238E27FC236}">
              <a16:creationId xmlns:a16="http://schemas.microsoft.com/office/drawing/2014/main" id="{242593F8-7790-75B8-2596-7B63172AD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129540</xdr:colOff>
      <xdr:row>2</xdr:row>
      <xdr:rowOff>152400</xdr:rowOff>
    </xdr:from>
    <xdr:to>
      <xdr:col>12</xdr:col>
      <xdr:colOff>480060</xdr:colOff>
      <xdr:row>24</xdr:row>
      <xdr:rowOff>106680</xdr:rowOff>
    </xdr:to>
    <xdr:graphicFrame macro="">
      <xdr:nvGraphicFramePr>
        <xdr:cNvPr id="2" name="Chart 1">
          <a:extLst>
            <a:ext uri="{FF2B5EF4-FFF2-40B4-BE49-F238E27FC236}">
              <a16:creationId xmlns:a16="http://schemas.microsoft.com/office/drawing/2014/main" id="{21D60496-7B4A-BE69-728A-E67A0DF4A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548640</xdr:colOff>
      <xdr:row>2</xdr:row>
      <xdr:rowOff>60960</xdr:rowOff>
    </xdr:from>
    <xdr:to>
      <xdr:col>14</xdr:col>
      <xdr:colOff>182880</xdr:colOff>
      <xdr:row>22</xdr:row>
      <xdr:rowOff>76200</xdr:rowOff>
    </xdr:to>
    <xdr:graphicFrame macro="">
      <xdr:nvGraphicFramePr>
        <xdr:cNvPr id="2" name="Chart 1">
          <a:extLst>
            <a:ext uri="{FF2B5EF4-FFF2-40B4-BE49-F238E27FC236}">
              <a16:creationId xmlns:a16="http://schemas.microsoft.com/office/drawing/2014/main" id="{5F3CB3AF-32E2-967D-8F59-F3AFE2396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480060</xdr:colOff>
      <xdr:row>3</xdr:row>
      <xdr:rowOff>26670</xdr:rowOff>
    </xdr:from>
    <xdr:to>
      <xdr:col>14</xdr:col>
      <xdr:colOff>502920</xdr:colOff>
      <xdr:row>22</xdr:row>
      <xdr:rowOff>83820</xdr:rowOff>
    </xdr:to>
    <xdr:graphicFrame macro="">
      <xdr:nvGraphicFramePr>
        <xdr:cNvPr id="2" name="Chart 1">
          <a:extLst>
            <a:ext uri="{FF2B5EF4-FFF2-40B4-BE49-F238E27FC236}">
              <a16:creationId xmlns:a16="http://schemas.microsoft.com/office/drawing/2014/main" id="{40E88635-96AF-E16B-D9CA-CE92A8DAE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nal Modi" refreshedDate="46154.830109374998" createdVersion="8" refreshedVersion="8" minRefreshableVersion="3" recordCount="610" xr:uid="{33188196-6221-4418-A2E7-A0C0EA7269CC}">
  <cacheSource type="worksheet">
    <worksheetSource ref="A1:S611" sheet="Dataset_AFinal"/>
  </cacheSource>
  <cacheFields count="20">
    <cacheField name="Instant" numFmtId="0">
      <sharedItems containsSemiMixedTypes="0" containsString="0" containsNumber="1" containsInteger="1" minValue="1" maxValue="610"/>
    </cacheField>
    <cacheField name="Day" numFmtId="2">
      <sharedItems count="28">
        <s v="01"/>
        <s v="02"/>
        <s v="03"/>
        <s v="04"/>
        <s v="05"/>
        <s v="06"/>
        <s v="07"/>
        <s v="08"/>
        <s v="09"/>
        <s v="10"/>
        <s v="11"/>
        <s v="12"/>
        <s v="13"/>
        <s v="14"/>
        <s v="15"/>
        <s v="16"/>
        <s v="17"/>
        <s v="18"/>
        <s v="19"/>
        <s v="20"/>
        <s v="21"/>
        <s v="22"/>
        <s v="23"/>
        <s v="24"/>
        <s v="25"/>
        <s v="26"/>
        <s v="27"/>
        <s v="28"/>
      </sharedItems>
    </cacheField>
    <cacheField name="Month" numFmtId="0">
      <sharedItems count="1">
        <s v="01"/>
      </sharedItems>
    </cacheField>
    <cacheField name="Year" numFmtId="0">
      <sharedItems count="1">
        <s v="2011"/>
      </sharedItems>
    </cacheField>
    <cacheField name="Season" numFmtId="0">
      <sharedItems count="1">
        <s v="Spring"/>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Slot" numFmtId="165">
      <sharedItems count="4">
        <s v="Night"/>
        <s v="Morning"/>
        <s v="Afternoon"/>
        <s v="Evening"/>
      </sharedItems>
    </cacheField>
    <cacheField name="Holiday" numFmtId="0">
      <sharedItems count="2">
        <b v="0"/>
        <b v="1"/>
      </sharedItems>
    </cacheField>
    <cacheField name="Weekday" numFmtId="0">
      <sharedItems count="7">
        <s v="Sat"/>
        <s v="Sun"/>
        <s v="Mon"/>
        <s v="Tue"/>
        <s v="Wed"/>
        <s v="Thu"/>
        <s v="Fri"/>
      </sharedItems>
    </cacheField>
    <cacheField name="Weekend vs Weekday" numFmtId="0">
      <sharedItems count="2">
        <s v="Weekend"/>
        <s v="Weekday"/>
      </sharedItems>
    </cacheField>
    <cacheField name="Weather Situation" numFmtId="0">
      <sharedItems count="4">
        <s v="Clear"/>
        <s v="Mist / Cloudy"/>
        <s v="Light Snow/Rain"/>
        <s v="Heavy Rain/Snow"/>
      </sharedItems>
    </cacheField>
    <cacheField name="Temp" numFmtId="0">
      <sharedItems containsSemiMixedTypes="0" containsString="0" containsNumber="1" minValue="0.02" maxValue="0.46"/>
    </cacheField>
    <cacheField name="Temp_2" numFmtId="0">
      <sharedItems count="5">
        <s v="Cool"/>
        <s v="Moderate"/>
        <s v="Sweltering"/>
        <s v="Extremely hot"/>
        <s v="Icy"/>
      </sharedItems>
    </cacheField>
    <cacheField name="Atemp" numFmtId="2">
      <sharedItems containsSemiMixedTypes="0" containsString="0" containsNumber="1" minValue="0" maxValue="0.45450000000000002"/>
    </cacheField>
    <cacheField name="Humidity" numFmtId="9">
      <sharedItems containsSemiMixedTypes="0" containsString="0" containsNumber="1" minValue="0.21" maxValue="1"/>
    </cacheField>
    <cacheField name="Windspeed" numFmtId="2">
      <sharedItems containsSemiMixedTypes="0" containsString="0" containsNumber="1" minValue="0" maxValue="0.58209999999999995"/>
    </cacheField>
    <cacheField name="Casual_user" numFmtId="1">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_user" numFmtId="1">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Total Rental_user" numFmtId="1">
      <sharedItems containsSemiMixedTypes="0" containsString="0" containsNumber="1" containsInteger="1" minValue="1" maxValue="249" count="165">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haredItems>
    </cacheField>
    <cacheField name="Average" numFmtId="0" formula="AVERAGE(&quot;Day&quot;)" databaseField="0"/>
  </cacheFields>
  <extLst>
    <ext xmlns:x14="http://schemas.microsoft.com/office/spreadsheetml/2009/9/main" uri="{725AE2AE-9491-48be-B2B4-4EB974FC3084}">
      <x14:pivotCacheDefinition pivotCacheId="2046179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x v="0"/>
    <x v="0"/>
    <x v="0"/>
    <x v="0"/>
    <x v="0"/>
    <x v="0"/>
    <x v="0"/>
    <x v="0"/>
    <x v="0"/>
    <n v="0.24"/>
    <x v="0"/>
    <n v="0.28789999999999999"/>
    <n v="0.81"/>
    <n v="0"/>
    <x v="0"/>
    <x v="0"/>
    <x v="0"/>
  </r>
  <r>
    <n v="2"/>
    <x v="0"/>
    <x v="0"/>
    <x v="0"/>
    <x v="0"/>
    <x v="1"/>
    <x v="0"/>
    <x v="0"/>
    <x v="0"/>
    <x v="0"/>
    <x v="0"/>
    <n v="0.22"/>
    <x v="0"/>
    <n v="0.2727"/>
    <n v="0.8"/>
    <n v="0"/>
    <x v="1"/>
    <x v="1"/>
    <x v="1"/>
  </r>
  <r>
    <n v="3"/>
    <x v="0"/>
    <x v="0"/>
    <x v="0"/>
    <x v="0"/>
    <x v="2"/>
    <x v="0"/>
    <x v="0"/>
    <x v="0"/>
    <x v="0"/>
    <x v="0"/>
    <n v="0.22"/>
    <x v="0"/>
    <n v="0.2727"/>
    <n v="0.8"/>
    <n v="0"/>
    <x v="2"/>
    <x v="2"/>
    <x v="2"/>
  </r>
  <r>
    <n v="4"/>
    <x v="0"/>
    <x v="0"/>
    <x v="0"/>
    <x v="0"/>
    <x v="3"/>
    <x v="0"/>
    <x v="0"/>
    <x v="0"/>
    <x v="0"/>
    <x v="0"/>
    <n v="0.24"/>
    <x v="0"/>
    <n v="0.28789999999999999"/>
    <n v="0.75"/>
    <n v="0"/>
    <x v="0"/>
    <x v="3"/>
    <x v="3"/>
  </r>
  <r>
    <n v="5"/>
    <x v="0"/>
    <x v="0"/>
    <x v="0"/>
    <x v="0"/>
    <x v="4"/>
    <x v="0"/>
    <x v="0"/>
    <x v="0"/>
    <x v="0"/>
    <x v="0"/>
    <n v="0.24"/>
    <x v="0"/>
    <n v="0.28789999999999999"/>
    <n v="0.75"/>
    <n v="0"/>
    <x v="3"/>
    <x v="4"/>
    <x v="4"/>
  </r>
  <r>
    <n v="6"/>
    <x v="0"/>
    <x v="0"/>
    <x v="0"/>
    <x v="0"/>
    <x v="5"/>
    <x v="0"/>
    <x v="0"/>
    <x v="0"/>
    <x v="0"/>
    <x v="1"/>
    <n v="0.24"/>
    <x v="0"/>
    <n v="0.2576"/>
    <n v="0.75"/>
    <n v="8.9599999999999999E-2"/>
    <x v="3"/>
    <x v="4"/>
    <x v="4"/>
  </r>
  <r>
    <n v="7"/>
    <x v="0"/>
    <x v="0"/>
    <x v="0"/>
    <x v="0"/>
    <x v="6"/>
    <x v="1"/>
    <x v="0"/>
    <x v="0"/>
    <x v="0"/>
    <x v="0"/>
    <n v="0.22"/>
    <x v="0"/>
    <n v="0.2727"/>
    <n v="0.8"/>
    <n v="0"/>
    <x v="4"/>
    <x v="5"/>
    <x v="5"/>
  </r>
  <r>
    <n v="8"/>
    <x v="0"/>
    <x v="0"/>
    <x v="0"/>
    <x v="0"/>
    <x v="7"/>
    <x v="1"/>
    <x v="0"/>
    <x v="0"/>
    <x v="0"/>
    <x v="0"/>
    <n v="0.2"/>
    <x v="0"/>
    <n v="0.2576"/>
    <n v="0.86"/>
    <n v="0"/>
    <x v="5"/>
    <x v="6"/>
    <x v="6"/>
  </r>
  <r>
    <n v="9"/>
    <x v="0"/>
    <x v="0"/>
    <x v="0"/>
    <x v="0"/>
    <x v="8"/>
    <x v="1"/>
    <x v="0"/>
    <x v="0"/>
    <x v="0"/>
    <x v="0"/>
    <n v="0.24"/>
    <x v="0"/>
    <n v="0.2"/>
    <n v="0.75"/>
    <n v="0"/>
    <x v="5"/>
    <x v="7"/>
    <x v="7"/>
  </r>
  <r>
    <n v="10"/>
    <x v="0"/>
    <x v="0"/>
    <x v="0"/>
    <x v="0"/>
    <x v="9"/>
    <x v="1"/>
    <x v="0"/>
    <x v="0"/>
    <x v="0"/>
    <x v="0"/>
    <n v="0.32"/>
    <x v="1"/>
    <n v="0.34849999999999998"/>
    <n v="0.76"/>
    <n v="0"/>
    <x v="1"/>
    <x v="8"/>
    <x v="8"/>
  </r>
  <r>
    <n v="11"/>
    <x v="0"/>
    <x v="0"/>
    <x v="0"/>
    <x v="0"/>
    <x v="10"/>
    <x v="1"/>
    <x v="0"/>
    <x v="0"/>
    <x v="0"/>
    <x v="0"/>
    <n v="0.38"/>
    <x v="2"/>
    <n v="0.39389999999999997"/>
    <n v="0.76"/>
    <n v="0.25369999999999998"/>
    <x v="6"/>
    <x v="9"/>
    <x v="9"/>
  </r>
  <r>
    <n v="12"/>
    <x v="0"/>
    <x v="0"/>
    <x v="0"/>
    <x v="0"/>
    <x v="11"/>
    <x v="1"/>
    <x v="0"/>
    <x v="0"/>
    <x v="0"/>
    <x v="0"/>
    <n v="0.36"/>
    <x v="2"/>
    <n v="0.33329999999999999"/>
    <n v="0.81"/>
    <n v="0.28360000000000002"/>
    <x v="7"/>
    <x v="10"/>
    <x v="10"/>
  </r>
  <r>
    <n v="13"/>
    <x v="0"/>
    <x v="0"/>
    <x v="0"/>
    <x v="0"/>
    <x v="12"/>
    <x v="2"/>
    <x v="0"/>
    <x v="0"/>
    <x v="0"/>
    <x v="0"/>
    <n v="0.42"/>
    <x v="3"/>
    <n v="0.42420000000000002"/>
    <n v="0.77"/>
    <n v="0.28360000000000002"/>
    <x v="8"/>
    <x v="11"/>
    <x v="11"/>
  </r>
  <r>
    <n v="14"/>
    <x v="0"/>
    <x v="0"/>
    <x v="0"/>
    <x v="0"/>
    <x v="13"/>
    <x v="2"/>
    <x v="0"/>
    <x v="0"/>
    <x v="0"/>
    <x v="1"/>
    <n v="0.46"/>
    <x v="3"/>
    <n v="0.45450000000000002"/>
    <n v="0.72"/>
    <n v="0.29849999999999999"/>
    <x v="9"/>
    <x v="12"/>
    <x v="12"/>
  </r>
  <r>
    <n v="15"/>
    <x v="0"/>
    <x v="0"/>
    <x v="0"/>
    <x v="0"/>
    <x v="14"/>
    <x v="2"/>
    <x v="0"/>
    <x v="0"/>
    <x v="0"/>
    <x v="1"/>
    <n v="0.46"/>
    <x v="3"/>
    <n v="0.45450000000000002"/>
    <n v="0.72"/>
    <n v="0.28360000000000002"/>
    <x v="10"/>
    <x v="13"/>
    <x v="13"/>
  </r>
  <r>
    <n v="16"/>
    <x v="0"/>
    <x v="0"/>
    <x v="0"/>
    <x v="0"/>
    <x v="15"/>
    <x v="2"/>
    <x v="0"/>
    <x v="0"/>
    <x v="0"/>
    <x v="1"/>
    <n v="0.44"/>
    <x v="3"/>
    <n v="0.43940000000000001"/>
    <n v="0.77"/>
    <n v="0.29849999999999999"/>
    <x v="11"/>
    <x v="14"/>
    <x v="14"/>
  </r>
  <r>
    <n v="17"/>
    <x v="0"/>
    <x v="0"/>
    <x v="0"/>
    <x v="0"/>
    <x v="16"/>
    <x v="2"/>
    <x v="0"/>
    <x v="0"/>
    <x v="0"/>
    <x v="1"/>
    <n v="0.42"/>
    <x v="3"/>
    <n v="0.42420000000000002"/>
    <n v="0.82"/>
    <n v="0.29849999999999999"/>
    <x v="12"/>
    <x v="15"/>
    <x v="15"/>
  </r>
  <r>
    <n v="18"/>
    <x v="0"/>
    <x v="0"/>
    <x v="0"/>
    <x v="0"/>
    <x v="17"/>
    <x v="2"/>
    <x v="0"/>
    <x v="0"/>
    <x v="0"/>
    <x v="1"/>
    <n v="0.44"/>
    <x v="3"/>
    <n v="0.2"/>
    <n v="0.82"/>
    <n v="0.28360000000000002"/>
    <x v="13"/>
    <x v="15"/>
    <x v="16"/>
  </r>
  <r>
    <n v="19"/>
    <x v="0"/>
    <x v="0"/>
    <x v="0"/>
    <x v="0"/>
    <x v="18"/>
    <x v="3"/>
    <x v="0"/>
    <x v="0"/>
    <x v="0"/>
    <x v="2"/>
    <n v="0.42"/>
    <x v="3"/>
    <n v="0.42420000000000002"/>
    <n v="0.88"/>
    <n v="0.25369999999999998"/>
    <x v="14"/>
    <x v="16"/>
    <x v="17"/>
  </r>
  <r>
    <n v="20"/>
    <x v="0"/>
    <x v="0"/>
    <x v="0"/>
    <x v="0"/>
    <x v="19"/>
    <x v="3"/>
    <x v="0"/>
    <x v="0"/>
    <x v="0"/>
    <x v="2"/>
    <n v="0.42"/>
    <x v="3"/>
    <n v="0.42420000000000002"/>
    <n v="0.88"/>
    <n v="0.25369999999999998"/>
    <x v="15"/>
    <x v="17"/>
    <x v="18"/>
  </r>
  <r>
    <n v="21"/>
    <x v="0"/>
    <x v="0"/>
    <x v="0"/>
    <x v="0"/>
    <x v="20"/>
    <x v="3"/>
    <x v="0"/>
    <x v="0"/>
    <x v="0"/>
    <x v="1"/>
    <n v="0.4"/>
    <x v="2"/>
    <n v="0.40910000000000002"/>
    <n v="0.87"/>
    <n v="0.25369999999999998"/>
    <x v="16"/>
    <x v="18"/>
    <x v="9"/>
  </r>
  <r>
    <n v="22"/>
    <x v="0"/>
    <x v="0"/>
    <x v="0"/>
    <x v="0"/>
    <x v="21"/>
    <x v="3"/>
    <x v="0"/>
    <x v="0"/>
    <x v="0"/>
    <x v="1"/>
    <n v="0.4"/>
    <x v="2"/>
    <n v="0.40910000000000002"/>
    <n v="0.87"/>
    <n v="0.19400000000000001"/>
    <x v="0"/>
    <x v="17"/>
    <x v="19"/>
  </r>
  <r>
    <n v="23"/>
    <x v="0"/>
    <x v="0"/>
    <x v="0"/>
    <x v="0"/>
    <x v="22"/>
    <x v="3"/>
    <x v="0"/>
    <x v="0"/>
    <x v="0"/>
    <x v="1"/>
    <n v="0.4"/>
    <x v="2"/>
    <n v="0.40910000000000002"/>
    <n v="0.94"/>
    <n v="0.22389999999999999"/>
    <x v="16"/>
    <x v="19"/>
    <x v="20"/>
  </r>
  <r>
    <n v="24"/>
    <x v="0"/>
    <x v="0"/>
    <x v="0"/>
    <x v="0"/>
    <x v="23"/>
    <x v="3"/>
    <x v="0"/>
    <x v="0"/>
    <x v="0"/>
    <x v="1"/>
    <n v="0.46"/>
    <x v="3"/>
    <n v="0.2"/>
    <n v="0.88"/>
    <n v="0.29849999999999999"/>
    <x v="13"/>
    <x v="9"/>
    <x v="21"/>
  </r>
  <r>
    <n v="25"/>
    <x v="1"/>
    <x v="0"/>
    <x v="0"/>
    <x v="0"/>
    <x v="0"/>
    <x v="0"/>
    <x v="0"/>
    <x v="1"/>
    <x v="0"/>
    <x v="1"/>
    <n v="0.46"/>
    <x v="3"/>
    <n v="0.45450000000000002"/>
    <n v="0.88"/>
    <n v="0.29849999999999999"/>
    <x v="17"/>
    <x v="0"/>
    <x v="22"/>
  </r>
  <r>
    <n v="26"/>
    <x v="1"/>
    <x v="0"/>
    <x v="0"/>
    <x v="0"/>
    <x v="1"/>
    <x v="0"/>
    <x v="0"/>
    <x v="1"/>
    <x v="0"/>
    <x v="1"/>
    <n v="0.44"/>
    <x v="3"/>
    <n v="0.43940000000000001"/>
    <n v="0.94"/>
    <n v="0.25369999999999998"/>
    <x v="5"/>
    <x v="20"/>
    <x v="22"/>
  </r>
  <r>
    <n v="27"/>
    <x v="1"/>
    <x v="0"/>
    <x v="0"/>
    <x v="0"/>
    <x v="2"/>
    <x v="0"/>
    <x v="0"/>
    <x v="1"/>
    <x v="0"/>
    <x v="1"/>
    <n v="0.42"/>
    <x v="3"/>
    <n v="0.42420000000000002"/>
    <n v="1"/>
    <n v="0.28360000000000002"/>
    <x v="5"/>
    <x v="21"/>
    <x v="23"/>
  </r>
  <r>
    <n v="28"/>
    <x v="1"/>
    <x v="0"/>
    <x v="0"/>
    <x v="0"/>
    <x v="3"/>
    <x v="0"/>
    <x v="0"/>
    <x v="1"/>
    <x v="0"/>
    <x v="1"/>
    <n v="0.46"/>
    <x v="3"/>
    <n v="0.45450000000000002"/>
    <n v="0.94"/>
    <n v="0.19400000000000001"/>
    <x v="4"/>
    <x v="22"/>
    <x v="24"/>
  </r>
  <r>
    <n v="29"/>
    <x v="1"/>
    <x v="0"/>
    <x v="0"/>
    <x v="0"/>
    <x v="4"/>
    <x v="0"/>
    <x v="0"/>
    <x v="1"/>
    <x v="0"/>
    <x v="1"/>
    <n v="0.46"/>
    <x v="3"/>
    <n v="0.2"/>
    <n v="0.94"/>
    <n v="0.19400000000000001"/>
    <x v="4"/>
    <x v="4"/>
    <x v="6"/>
  </r>
  <r>
    <n v="30"/>
    <x v="1"/>
    <x v="0"/>
    <x v="0"/>
    <x v="0"/>
    <x v="6"/>
    <x v="1"/>
    <x v="0"/>
    <x v="1"/>
    <x v="0"/>
    <x v="2"/>
    <n v="0.42"/>
    <x v="3"/>
    <n v="0.42420000000000002"/>
    <n v="0.77"/>
    <n v="0.29849999999999999"/>
    <x v="3"/>
    <x v="6"/>
    <x v="5"/>
  </r>
  <r>
    <n v="31"/>
    <x v="1"/>
    <x v="0"/>
    <x v="0"/>
    <x v="0"/>
    <x v="7"/>
    <x v="1"/>
    <x v="0"/>
    <x v="1"/>
    <x v="0"/>
    <x v="1"/>
    <n v="0.4"/>
    <x v="2"/>
    <n v="0.40910000000000002"/>
    <n v="0.76"/>
    <n v="0.19400000000000001"/>
    <x v="3"/>
    <x v="4"/>
    <x v="4"/>
  </r>
  <r>
    <n v="32"/>
    <x v="1"/>
    <x v="0"/>
    <x v="0"/>
    <x v="0"/>
    <x v="8"/>
    <x v="1"/>
    <x v="0"/>
    <x v="1"/>
    <x v="0"/>
    <x v="2"/>
    <n v="0.4"/>
    <x v="2"/>
    <n v="0.40910000000000002"/>
    <n v="0.71"/>
    <n v="0.22389999999999999"/>
    <x v="3"/>
    <x v="21"/>
    <x v="7"/>
  </r>
  <r>
    <n v="33"/>
    <x v="1"/>
    <x v="0"/>
    <x v="0"/>
    <x v="0"/>
    <x v="9"/>
    <x v="1"/>
    <x v="0"/>
    <x v="1"/>
    <x v="0"/>
    <x v="1"/>
    <n v="0.38"/>
    <x v="2"/>
    <n v="0.2"/>
    <n v="0.76"/>
    <n v="0.22389999999999999"/>
    <x v="5"/>
    <x v="23"/>
    <x v="25"/>
  </r>
  <r>
    <n v="34"/>
    <x v="1"/>
    <x v="0"/>
    <x v="0"/>
    <x v="0"/>
    <x v="10"/>
    <x v="1"/>
    <x v="0"/>
    <x v="1"/>
    <x v="0"/>
    <x v="1"/>
    <n v="0.36"/>
    <x v="2"/>
    <n v="0.34849999999999998"/>
    <n v="0.81"/>
    <n v="0.22389999999999999"/>
    <x v="18"/>
    <x v="24"/>
    <x v="26"/>
  </r>
  <r>
    <n v="35"/>
    <x v="1"/>
    <x v="0"/>
    <x v="0"/>
    <x v="0"/>
    <x v="11"/>
    <x v="1"/>
    <x v="0"/>
    <x v="1"/>
    <x v="0"/>
    <x v="1"/>
    <n v="0.36"/>
    <x v="2"/>
    <n v="0.33329999999999999"/>
    <n v="0.71"/>
    <n v="0.25369999999999998"/>
    <x v="19"/>
    <x v="25"/>
    <x v="27"/>
  </r>
  <r>
    <n v="36"/>
    <x v="1"/>
    <x v="0"/>
    <x v="0"/>
    <x v="0"/>
    <x v="12"/>
    <x v="2"/>
    <x v="0"/>
    <x v="1"/>
    <x v="0"/>
    <x v="1"/>
    <n v="0.36"/>
    <x v="2"/>
    <n v="0.33329999999999999"/>
    <n v="0.66"/>
    <n v="0.29849999999999999"/>
    <x v="20"/>
    <x v="26"/>
    <x v="15"/>
  </r>
  <r>
    <n v="37"/>
    <x v="1"/>
    <x v="0"/>
    <x v="0"/>
    <x v="0"/>
    <x v="13"/>
    <x v="2"/>
    <x v="0"/>
    <x v="1"/>
    <x v="0"/>
    <x v="1"/>
    <n v="0.36"/>
    <x v="2"/>
    <n v="0.34849999999999998"/>
    <n v="0.66"/>
    <n v="0.1343"/>
    <x v="16"/>
    <x v="27"/>
    <x v="28"/>
  </r>
  <r>
    <n v="38"/>
    <x v="1"/>
    <x v="0"/>
    <x v="0"/>
    <x v="0"/>
    <x v="14"/>
    <x v="2"/>
    <x v="0"/>
    <x v="1"/>
    <x v="0"/>
    <x v="2"/>
    <n v="0.36"/>
    <x v="2"/>
    <n v="0.2"/>
    <n v="0.76"/>
    <n v="0.19400000000000001"/>
    <x v="17"/>
    <x v="11"/>
    <x v="29"/>
  </r>
  <r>
    <n v="39"/>
    <x v="1"/>
    <x v="0"/>
    <x v="0"/>
    <x v="0"/>
    <x v="15"/>
    <x v="2"/>
    <x v="0"/>
    <x v="1"/>
    <x v="0"/>
    <x v="2"/>
    <n v="0.34"/>
    <x v="2"/>
    <n v="0.33329999999999999"/>
    <n v="0.81"/>
    <n v="0.16420000000000001"/>
    <x v="21"/>
    <x v="11"/>
    <x v="30"/>
  </r>
  <r>
    <n v="40"/>
    <x v="1"/>
    <x v="0"/>
    <x v="0"/>
    <x v="0"/>
    <x v="16"/>
    <x v="2"/>
    <x v="0"/>
    <x v="1"/>
    <x v="0"/>
    <x v="2"/>
    <n v="0.34"/>
    <x v="2"/>
    <n v="0.33329999999999999"/>
    <n v="0.71"/>
    <n v="0.16420000000000001"/>
    <x v="14"/>
    <x v="28"/>
    <x v="31"/>
  </r>
  <r>
    <n v="41"/>
    <x v="1"/>
    <x v="0"/>
    <x v="0"/>
    <x v="0"/>
    <x v="17"/>
    <x v="2"/>
    <x v="0"/>
    <x v="1"/>
    <x v="0"/>
    <x v="0"/>
    <n v="0.34"/>
    <x v="2"/>
    <n v="0.33329999999999999"/>
    <n v="0.56999999999999995"/>
    <n v="0.19400000000000001"/>
    <x v="18"/>
    <x v="29"/>
    <x v="32"/>
  </r>
  <r>
    <n v="42"/>
    <x v="1"/>
    <x v="0"/>
    <x v="0"/>
    <x v="0"/>
    <x v="18"/>
    <x v="3"/>
    <x v="0"/>
    <x v="1"/>
    <x v="0"/>
    <x v="1"/>
    <n v="0.36"/>
    <x v="2"/>
    <n v="0.33329999999999999"/>
    <n v="0.46"/>
    <n v="0.32840000000000003"/>
    <x v="22"/>
    <x v="30"/>
    <x v="26"/>
  </r>
  <r>
    <n v="43"/>
    <x v="1"/>
    <x v="0"/>
    <x v="0"/>
    <x v="0"/>
    <x v="19"/>
    <x v="3"/>
    <x v="0"/>
    <x v="1"/>
    <x v="0"/>
    <x v="0"/>
    <n v="0.32"/>
    <x v="1"/>
    <n v="0.28789999999999999"/>
    <n v="0.42"/>
    <n v="0.44779999999999998"/>
    <x v="5"/>
    <x v="31"/>
    <x v="33"/>
  </r>
  <r>
    <n v="44"/>
    <x v="1"/>
    <x v="0"/>
    <x v="0"/>
    <x v="0"/>
    <x v="20"/>
    <x v="3"/>
    <x v="0"/>
    <x v="1"/>
    <x v="0"/>
    <x v="0"/>
    <n v="0.3"/>
    <x v="1"/>
    <n v="0.2"/>
    <n v="0.39"/>
    <n v="0.35820000000000002"/>
    <x v="2"/>
    <x v="19"/>
    <x v="34"/>
  </r>
  <r>
    <n v="45"/>
    <x v="1"/>
    <x v="0"/>
    <x v="0"/>
    <x v="0"/>
    <x v="21"/>
    <x v="3"/>
    <x v="0"/>
    <x v="1"/>
    <x v="0"/>
    <x v="0"/>
    <n v="0.26"/>
    <x v="1"/>
    <n v="0.2273"/>
    <n v="0.44"/>
    <n v="0.32840000000000003"/>
    <x v="16"/>
    <x v="32"/>
    <x v="35"/>
  </r>
  <r>
    <n v="46"/>
    <x v="1"/>
    <x v="0"/>
    <x v="0"/>
    <x v="0"/>
    <x v="22"/>
    <x v="3"/>
    <x v="0"/>
    <x v="1"/>
    <x v="0"/>
    <x v="0"/>
    <n v="0.24"/>
    <x v="0"/>
    <n v="0.21210000000000001"/>
    <n v="0.44"/>
    <n v="0.29849999999999999"/>
    <x v="3"/>
    <x v="33"/>
    <x v="23"/>
  </r>
  <r>
    <n v="47"/>
    <x v="1"/>
    <x v="0"/>
    <x v="0"/>
    <x v="0"/>
    <x v="23"/>
    <x v="3"/>
    <x v="0"/>
    <x v="1"/>
    <x v="0"/>
    <x v="0"/>
    <n v="0.22"/>
    <x v="0"/>
    <n v="0.2273"/>
    <n v="0.47"/>
    <n v="0.16420000000000001"/>
    <x v="3"/>
    <x v="21"/>
    <x v="7"/>
  </r>
  <r>
    <n v="48"/>
    <x v="2"/>
    <x v="0"/>
    <x v="0"/>
    <x v="0"/>
    <x v="0"/>
    <x v="0"/>
    <x v="0"/>
    <x v="2"/>
    <x v="1"/>
    <x v="0"/>
    <n v="0.22"/>
    <x v="0"/>
    <n v="0.19700000000000001"/>
    <n v="0.44"/>
    <n v="0.35820000000000002"/>
    <x v="3"/>
    <x v="34"/>
    <x v="36"/>
  </r>
  <r>
    <n v="49"/>
    <x v="2"/>
    <x v="0"/>
    <x v="0"/>
    <x v="0"/>
    <x v="1"/>
    <x v="0"/>
    <x v="0"/>
    <x v="2"/>
    <x v="1"/>
    <x v="0"/>
    <n v="0.2"/>
    <x v="0"/>
    <n v="0.2"/>
    <n v="0.44"/>
    <n v="0.41789999999999999"/>
    <x v="3"/>
    <x v="6"/>
    <x v="5"/>
  </r>
  <r>
    <n v="50"/>
    <x v="2"/>
    <x v="0"/>
    <x v="0"/>
    <x v="0"/>
    <x v="4"/>
    <x v="0"/>
    <x v="0"/>
    <x v="2"/>
    <x v="1"/>
    <x v="0"/>
    <n v="0.16"/>
    <x v="0"/>
    <n v="0.13639999999999999"/>
    <n v="0.47"/>
    <n v="0.3881"/>
    <x v="3"/>
    <x v="4"/>
    <x v="4"/>
  </r>
  <r>
    <n v="51"/>
    <x v="2"/>
    <x v="0"/>
    <x v="0"/>
    <x v="0"/>
    <x v="5"/>
    <x v="0"/>
    <x v="0"/>
    <x v="2"/>
    <x v="1"/>
    <x v="0"/>
    <n v="0.16"/>
    <x v="0"/>
    <n v="0.13639999999999999"/>
    <n v="0.47"/>
    <n v="0.28360000000000002"/>
    <x v="3"/>
    <x v="35"/>
    <x v="6"/>
  </r>
  <r>
    <n v="52"/>
    <x v="2"/>
    <x v="0"/>
    <x v="0"/>
    <x v="0"/>
    <x v="6"/>
    <x v="1"/>
    <x v="0"/>
    <x v="2"/>
    <x v="1"/>
    <x v="0"/>
    <n v="0.14000000000000001"/>
    <x v="4"/>
    <n v="0.1061"/>
    <n v="0.5"/>
    <n v="0.3881"/>
    <x v="3"/>
    <x v="10"/>
    <x v="33"/>
  </r>
  <r>
    <n v="53"/>
    <x v="2"/>
    <x v="0"/>
    <x v="0"/>
    <x v="0"/>
    <x v="7"/>
    <x v="1"/>
    <x v="0"/>
    <x v="2"/>
    <x v="1"/>
    <x v="0"/>
    <n v="0.14000000000000001"/>
    <x v="4"/>
    <n v="0.13639999999999999"/>
    <n v="0.5"/>
    <n v="0.19400000000000001"/>
    <x v="5"/>
    <x v="36"/>
    <x v="37"/>
  </r>
  <r>
    <n v="54"/>
    <x v="2"/>
    <x v="0"/>
    <x v="0"/>
    <x v="0"/>
    <x v="8"/>
    <x v="1"/>
    <x v="0"/>
    <x v="2"/>
    <x v="1"/>
    <x v="0"/>
    <n v="0.14000000000000001"/>
    <x v="4"/>
    <n v="0.1212"/>
    <n v="0.5"/>
    <n v="0.28360000000000002"/>
    <x v="5"/>
    <x v="37"/>
    <x v="38"/>
  </r>
  <r>
    <n v="55"/>
    <x v="2"/>
    <x v="0"/>
    <x v="0"/>
    <x v="0"/>
    <x v="9"/>
    <x v="1"/>
    <x v="0"/>
    <x v="2"/>
    <x v="1"/>
    <x v="0"/>
    <n v="0.16"/>
    <x v="0"/>
    <n v="0.13639999999999999"/>
    <n v="0.43"/>
    <n v="0.3881"/>
    <x v="18"/>
    <x v="38"/>
    <x v="39"/>
  </r>
  <r>
    <n v="56"/>
    <x v="2"/>
    <x v="0"/>
    <x v="0"/>
    <x v="0"/>
    <x v="10"/>
    <x v="1"/>
    <x v="0"/>
    <x v="2"/>
    <x v="1"/>
    <x v="0"/>
    <n v="0.18"/>
    <x v="0"/>
    <n v="0.16669999999999999"/>
    <n v="0.43"/>
    <n v="0.25369999999999998"/>
    <x v="16"/>
    <x v="39"/>
    <x v="40"/>
  </r>
  <r>
    <n v="57"/>
    <x v="2"/>
    <x v="0"/>
    <x v="0"/>
    <x v="0"/>
    <x v="11"/>
    <x v="1"/>
    <x v="0"/>
    <x v="2"/>
    <x v="1"/>
    <x v="0"/>
    <n v="0.2"/>
    <x v="0"/>
    <n v="0.18179999999999999"/>
    <n v="0.4"/>
    <n v="0.32840000000000003"/>
    <x v="22"/>
    <x v="40"/>
    <x v="41"/>
  </r>
  <r>
    <n v="58"/>
    <x v="2"/>
    <x v="0"/>
    <x v="0"/>
    <x v="0"/>
    <x v="12"/>
    <x v="2"/>
    <x v="0"/>
    <x v="2"/>
    <x v="1"/>
    <x v="0"/>
    <n v="0.22"/>
    <x v="0"/>
    <n v="0.21210000000000001"/>
    <n v="0.35"/>
    <n v="0.29849999999999999"/>
    <x v="23"/>
    <x v="41"/>
    <x v="42"/>
  </r>
  <r>
    <n v="59"/>
    <x v="2"/>
    <x v="0"/>
    <x v="0"/>
    <x v="0"/>
    <x v="13"/>
    <x v="2"/>
    <x v="0"/>
    <x v="2"/>
    <x v="1"/>
    <x v="0"/>
    <n v="0.24"/>
    <x v="0"/>
    <n v="0.2"/>
    <n v="0.35"/>
    <n v="0.28360000000000002"/>
    <x v="1"/>
    <x v="42"/>
    <x v="42"/>
  </r>
  <r>
    <n v="60"/>
    <x v="2"/>
    <x v="0"/>
    <x v="0"/>
    <x v="0"/>
    <x v="14"/>
    <x v="2"/>
    <x v="0"/>
    <x v="2"/>
    <x v="1"/>
    <x v="0"/>
    <n v="0.26"/>
    <x v="1"/>
    <n v="0.2424"/>
    <n v="0.3"/>
    <n v="0.28360000000000002"/>
    <x v="16"/>
    <x v="43"/>
    <x v="43"/>
  </r>
  <r>
    <n v="61"/>
    <x v="2"/>
    <x v="0"/>
    <x v="0"/>
    <x v="0"/>
    <x v="15"/>
    <x v="2"/>
    <x v="0"/>
    <x v="2"/>
    <x v="1"/>
    <x v="0"/>
    <n v="0.26"/>
    <x v="1"/>
    <n v="0.2424"/>
    <n v="0.3"/>
    <n v="0.25369999999999998"/>
    <x v="24"/>
    <x v="29"/>
    <x v="44"/>
  </r>
  <r>
    <n v="62"/>
    <x v="2"/>
    <x v="0"/>
    <x v="0"/>
    <x v="0"/>
    <x v="16"/>
    <x v="2"/>
    <x v="0"/>
    <x v="2"/>
    <x v="1"/>
    <x v="0"/>
    <n v="0.26"/>
    <x v="1"/>
    <n v="0.2424"/>
    <n v="0.3"/>
    <n v="0.25369999999999998"/>
    <x v="14"/>
    <x v="28"/>
    <x v="31"/>
  </r>
  <r>
    <n v="63"/>
    <x v="2"/>
    <x v="0"/>
    <x v="0"/>
    <x v="0"/>
    <x v="17"/>
    <x v="2"/>
    <x v="0"/>
    <x v="2"/>
    <x v="1"/>
    <x v="0"/>
    <n v="0.24"/>
    <x v="0"/>
    <n v="0.2273"/>
    <n v="0.3"/>
    <n v="0.22389999999999999"/>
    <x v="16"/>
    <x v="44"/>
    <x v="45"/>
  </r>
  <r>
    <n v="64"/>
    <x v="2"/>
    <x v="0"/>
    <x v="0"/>
    <x v="0"/>
    <x v="18"/>
    <x v="3"/>
    <x v="0"/>
    <x v="2"/>
    <x v="1"/>
    <x v="0"/>
    <n v="0.24"/>
    <x v="0"/>
    <n v="0.2576"/>
    <n v="0.32"/>
    <n v="0.1045"/>
    <x v="14"/>
    <x v="45"/>
    <x v="45"/>
  </r>
  <r>
    <n v="65"/>
    <x v="2"/>
    <x v="0"/>
    <x v="0"/>
    <x v="0"/>
    <x v="19"/>
    <x v="3"/>
    <x v="0"/>
    <x v="2"/>
    <x v="1"/>
    <x v="0"/>
    <n v="0.2"/>
    <x v="0"/>
    <n v="0.2576"/>
    <n v="0.47"/>
    <n v="0"/>
    <x v="1"/>
    <x v="46"/>
    <x v="14"/>
  </r>
  <r>
    <n v="66"/>
    <x v="2"/>
    <x v="0"/>
    <x v="0"/>
    <x v="0"/>
    <x v="20"/>
    <x v="3"/>
    <x v="0"/>
    <x v="2"/>
    <x v="1"/>
    <x v="0"/>
    <n v="0.2"/>
    <x v="0"/>
    <n v="0.2"/>
    <n v="0.47"/>
    <n v="0.1045"/>
    <x v="0"/>
    <x v="47"/>
    <x v="46"/>
  </r>
  <r>
    <n v="67"/>
    <x v="2"/>
    <x v="0"/>
    <x v="0"/>
    <x v="0"/>
    <x v="21"/>
    <x v="3"/>
    <x v="0"/>
    <x v="2"/>
    <x v="1"/>
    <x v="0"/>
    <n v="0.18"/>
    <x v="0"/>
    <n v="0.19700000000000001"/>
    <n v="0.64"/>
    <n v="0.1343"/>
    <x v="0"/>
    <x v="47"/>
    <x v="46"/>
  </r>
  <r>
    <n v="68"/>
    <x v="2"/>
    <x v="0"/>
    <x v="0"/>
    <x v="0"/>
    <x v="22"/>
    <x v="3"/>
    <x v="0"/>
    <x v="2"/>
    <x v="1"/>
    <x v="0"/>
    <n v="0.14000000000000001"/>
    <x v="4"/>
    <n v="0.1515"/>
    <n v="0.69"/>
    <n v="0.1343"/>
    <x v="3"/>
    <x v="32"/>
    <x v="25"/>
  </r>
  <r>
    <n v="69"/>
    <x v="2"/>
    <x v="0"/>
    <x v="0"/>
    <x v="0"/>
    <x v="23"/>
    <x v="3"/>
    <x v="0"/>
    <x v="2"/>
    <x v="1"/>
    <x v="0"/>
    <n v="0.18"/>
    <x v="0"/>
    <n v="0.21210000000000001"/>
    <n v="0.55000000000000004"/>
    <n v="0.1045"/>
    <x v="5"/>
    <x v="48"/>
    <x v="47"/>
  </r>
  <r>
    <n v="70"/>
    <x v="3"/>
    <x v="0"/>
    <x v="0"/>
    <x v="0"/>
    <x v="0"/>
    <x v="0"/>
    <x v="0"/>
    <x v="3"/>
    <x v="1"/>
    <x v="0"/>
    <n v="0.16"/>
    <x v="0"/>
    <n v="0.2"/>
    <n v="0.55000000000000004"/>
    <n v="0.1045"/>
    <x v="3"/>
    <x v="34"/>
    <x v="36"/>
  </r>
  <r>
    <n v="71"/>
    <x v="3"/>
    <x v="0"/>
    <x v="0"/>
    <x v="0"/>
    <x v="1"/>
    <x v="0"/>
    <x v="0"/>
    <x v="3"/>
    <x v="1"/>
    <x v="0"/>
    <n v="0.16"/>
    <x v="0"/>
    <n v="0.18179999999999999"/>
    <n v="0.59"/>
    <n v="0.1045"/>
    <x v="3"/>
    <x v="6"/>
    <x v="5"/>
  </r>
  <r>
    <n v="72"/>
    <x v="3"/>
    <x v="0"/>
    <x v="0"/>
    <x v="0"/>
    <x v="2"/>
    <x v="0"/>
    <x v="0"/>
    <x v="3"/>
    <x v="1"/>
    <x v="0"/>
    <n v="0.14000000000000001"/>
    <x v="4"/>
    <n v="0.1515"/>
    <n v="0.63"/>
    <n v="0.1343"/>
    <x v="3"/>
    <x v="4"/>
    <x v="4"/>
  </r>
  <r>
    <n v="73"/>
    <x v="3"/>
    <x v="0"/>
    <x v="0"/>
    <x v="0"/>
    <x v="4"/>
    <x v="0"/>
    <x v="0"/>
    <x v="3"/>
    <x v="1"/>
    <x v="0"/>
    <n v="0.14000000000000001"/>
    <x v="4"/>
    <n v="0.18179999999999999"/>
    <n v="0.63"/>
    <n v="8.9599999999999999E-2"/>
    <x v="3"/>
    <x v="6"/>
    <x v="5"/>
  </r>
  <r>
    <n v="74"/>
    <x v="3"/>
    <x v="0"/>
    <x v="0"/>
    <x v="0"/>
    <x v="5"/>
    <x v="0"/>
    <x v="0"/>
    <x v="3"/>
    <x v="1"/>
    <x v="0"/>
    <n v="0.12"/>
    <x v="4"/>
    <n v="0.1515"/>
    <n v="0.68"/>
    <n v="0.1045"/>
    <x v="3"/>
    <x v="22"/>
    <x v="48"/>
  </r>
  <r>
    <n v="75"/>
    <x v="3"/>
    <x v="0"/>
    <x v="0"/>
    <x v="0"/>
    <x v="6"/>
    <x v="1"/>
    <x v="0"/>
    <x v="3"/>
    <x v="1"/>
    <x v="0"/>
    <n v="0.12"/>
    <x v="4"/>
    <n v="0.1515"/>
    <n v="0.74"/>
    <n v="0.1045"/>
    <x v="3"/>
    <x v="49"/>
    <x v="9"/>
  </r>
  <r>
    <n v="76"/>
    <x v="3"/>
    <x v="0"/>
    <x v="0"/>
    <x v="0"/>
    <x v="7"/>
    <x v="1"/>
    <x v="0"/>
    <x v="3"/>
    <x v="1"/>
    <x v="0"/>
    <n v="0.12"/>
    <x v="4"/>
    <n v="0.1515"/>
    <n v="0.74"/>
    <n v="0.1343"/>
    <x v="4"/>
    <x v="50"/>
    <x v="12"/>
  </r>
  <r>
    <n v="77"/>
    <x v="3"/>
    <x v="0"/>
    <x v="0"/>
    <x v="0"/>
    <x v="8"/>
    <x v="1"/>
    <x v="0"/>
    <x v="3"/>
    <x v="1"/>
    <x v="0"/>
    <n v="0.14000000000000001"/>
    <x v="4"/>
    <n v="0.1515"/>
    <n v="0.69"/>
    <n v="0.16420000000000001"/>
    <x v="4"/>
    <x v="51"/>
    <x v="49"/>
  </r>
  <r>
    <n v="78"/>
    <x v="3"/>
    <x v="0"/>
    <x v="0"/>
    <x v="0"/>
    <x v="9"/>
    <x v="1"/>
    <x v="0"/>
    <x v="3"/>
    <x v="1"/>
    <x v="0"/>
    <n v="0.16"/>
    <x v="0"/>
    <n v="0.1515"/>
    <n v="0.64"/>
    <n v="0.22389999999999999"/>
    <x v="4"/>
    <x v="52"/>
    <x v="50"/>
  </r>
  <r>
    <n v="79"/>
    <x v="3"/>
    <x v="0"/>
    <x v="0"/>
    <x v="0"/>
    <x v="10"/>
    <x v="1"/>
    <x v="0"/>
    <x v="3"/>
    <x v="1"/>
    <x v="1"/>
    <n v="0.16"/>
    <x v="0"/>
    <n v="0.13639999999999999"/>
    <n v="0.69"/>
    <n v="0.32840000000000003"/>
    <x v="2"/>
    <x v="53"/>
    <x v="51"/>
  </r>
  <r>
    <n v="80"/>
    <x v="3"/>
    <x v="0"/>
    <x v="0"/>
    <x v="0"/>
    <x v="11"/>
    <x v="1"/>
    <x v="0"/>
    <x v="3"/>
    <x v="1"/>
    <x v="0"/>
    <n v="0.22"/>
    <x v="0"/>
    <n v="0.21210000000000001"/>
    <n v="0.51"/>
    <n v="0.29849999999999999"/>
    <x v="18"/>
    <x v="54"/>
    <x v="52"/>
  </r>
  <r>
    <n v="81"/>
    <x v="3"/>
    <x v="0"/>
    <x v="0"/>
    <x v="0"/>
    <x v="12"/>
    <x v="2"/>
    <x v="0"/>
    <x v="3"/>
    <x v="1"/>
    <x v="0"/>
    <n v="0.22"/>
    <x v="0"/>
    <n v="0.2273"/>
    <n v="0.51"/>
    <n v="0.16420000000000001"/>
    <x v="6"/>
    <x v="43"/>
    <x v="53"/>
  </r>
  <r>
    <n v="82"/>
    <x v="3"/>
    <x v="0"/>
    <x v="0"/>
    <x v="0"/>
    <x v="13"/>
    <x v="2"/>
    <x v="0"/>
    <x v="3"/>
    <x v="1"/>
    <x v="0"/>
    <n v="0.24"/>
    <x v="0"/>
    <n v="0.2273"/>
    <n v="0.56000000000000005"/>
    <n v="0.19400000000000001"/>
    <x v="25"/>
    <x v="55"/>
    <x v="54"/>
  </r>
  <r>
    <n v="83"/>
    <x v="3"/>
    <x v="0"/>
    <x v="0"/>
    <x v="0"/>
    <x v="14"/>
    <x v="2"/>
    <x v="0"/>
    <x v="3"/>
    <x v="1"/>
    <x v="0"/>
    <n v="0.26"/>
    <x v="1"/>
    <n v="0.2576"/>
    <n v="0.52"/>
    <n v="0.22389999999999999"/>
    <x v="14"/>
    <x v="25"/>
    <x v="55"/>
  </r>
  <r>
    <n v="84"/>
    <x v="3"/>
    <x v="0"/>
    <x v="0"/>
    <x v="0"/>
    <x v="15"/>
    <x v="2"/>
    <x v="0"/>
    <x v="3"/>
    <x v="1"/>
    <x v="0"/>
    <n v="0.28000000000000003"/>
    <x v="1"/>
    <n v="0.2727"/>
    <n v="0.52"/>
    <n v="0.25369999999999998"/>
    <x v="26"/>
    <x v="41"/>
    <x v="32"/>
  </r>
  <r>
    <n v="85"/>
    <x v="3"/>
    <x v="0"/>
    <x v="0"/>
    <x v="0"/>
    <x v="16"/>
    <x v="2"/>
    <x v="0"/>
    <x v="3"/>
    <x v="1"/>
    <x v="0"/>
    <n v="0.3"/>
    <x v="1"/>
    <n v="0.28789999999999999"/>
    <n v="0.49"/>
    <n v="0.25369999999999998"/>
    <x v="13"/>
    <x v="56"/>
    <x v="56"/>
  </r>
  <r>
    <n v="86"/>
    <x v="3"/>
    <x v="0"/>
    <x v="0"/>
    <x v="0"/>
    <x v="17"/>
    <x v="2"/>
    <x v="0"/>
    <x v="3"/>
    <x v="1"/>
    <x v="0"/>
    <n v="0.28000000000000003"/>
    <x v="1"/>
    <n v="0.2727"/>
    <n v="0.48"/>
    <n v="0.22389999999999999"/>
    <x v="22"/>
    <x v="57"/>
    <x v="57"/>
  </r>
  <r>
    <n v="87"/>
    <x v="3"/>
    <x v="0"/>
    <x v="0"/>
    <x v="0"/>
    <x v="18"/>
    <x v="3"/>
    <x v="0"/>
    <x v="3"/>
    <x v="1"/>
    <x v="0"/>
    <n v="0.26"/>
    <x v="1"/>
    <n v="0.2576"/>
    <n v="0.48"/>
    <n v="0.19400000000000001"/>
    <x v="0"/>
    <x v="58"/>
    <x v="58"/>
  </r>
  <r>
    <n v="88"/>
    <x v="3"/>
    <x v="0"/>
    <x v="0"/>
    <x v="0"/>
    <x v="19"/>
    <x v="3"/>
    <x v="0"/>
    <x v="3"/>
    <x v="1"/>
    <x v="0"/>
    <n v="0.24"/>
    <x v="0"/>
    <n v="0.2576"/>
    <n v="0.48"/>
    <n v="0.1045"/>
    <x v="4"/>
    <x v="59"/>
    <x v="59"/>
  </r>
  <r>
    <n v="89"/>
    <x v="3"/>
    <x v="0"/>
    <x v="0"/>
    <x v="0"/>
    <x v="20"/>
    <x v="3"/>
    <x v="0"/>
    <x v="3"/>
    <x v="1"/>
    <x v="0"/>
    <n v="0.24"/>
    <x v="0"/>
    <n v="0.2576"/>
    <n v="0.48"/>
    <n v="0.1045"/>
    <x v="5"/>
    <x v="42"/>
    <x v="60"/>
  </r>
  <r>
    <n v="90"/>
    <x v="3"/>
    <x v="0"/>
    <x v="0"/>
    <x v="0"/>
    <x v="21"/>
    <x v="3"/>
    <x v="0"/>
    <x v="3"/>
    <x v="1"/>
    <x v="0"/>
    <n v="0.22"/>
    <x v="0"/>
    <n v="0.2727"/>
    <n v="0.64"/>
    <n v="0"/>
    <x v="3"/>
    <x v="41"/>
    <x v="61"/>
  </r>
  <r>
    <n v="91"/>
    <x v="3"/>
    <x v="0"/>
    <x v="0"/>
    <x v="0"/>
    <x v="22"/>
    <x v="3"/>
    <x v="0"/>
    <x v="3"/>
    <x v="1"/>
    <x v="0"/>
    <n v="0.22"/>
    <x v="0"/>
    <n v="0.2576"/>
    <n v="0.64"/>
    <n v="8.9599999999999999E-2"/>
    <x v="5"/>
    <x v="60"/>
    <x v="17"/>
  </r>
  <r>
    <n v="92"/>
    <x v="3"/>
    <x v="0"/>
    <x v="0"/>
    <x v="0"/>
    <x v="23"/>
    <x v="3"/>
    <x v="0"/>
    <x v="3"/>
    <x v="1"/>
    <x v="0"/>
    <n v="0.2"/>
    <x v="0"/>
    <n v="0.2273"/>
    <n v="0.69"/>
    <n v="8.9599999999999999E-2"/>
    <x v="4"/>
    <x v="33"/>
    <x v="62"/>
  </r>
  <r>
    <n v="93"/>
    <x v="4"/>
    <x v="0"/>
    <x v="0"/>
    <x v="0"/>
    <x v="0"/>
    <x v="0"/>
    <x v="0"/>
    <x v="4"/>
    <x v="1"/>
    <x v="0"/>
    <n v="0.2"/>
    <x v="0"/>
    <n v="0.2576"/>
    <n v="0.64"/>
    <n v="0"/>
    <x v="3"/>
    <x v="8"/>
    <x v="24"/>
  </r>
  <r>
    <n v="94"/>
    <x v="4"/>
    <x v="0"/>
    <x v="0"/>
    <x v="0"/>
    <x v="1"/>
    <x v="0"/>
    <x v="0"/>
    <x v="4"/>
    <x v="1"/>
    <x v="0"/>
    <n v="0.16"/>
    <x v="0"/>
    <n v="0.19700000000000001"/>
    <n v="0.74"/>
    <n v="8.9599999999999999E-2"/>
    <x v="3"/>
    <x v="8"/>
    <x v="24"/>
  </r>
  <r>
    <n v="95"/>
    <x v="4"/>
    <x v="0"/>
    <x v="0"/>
    <x v="0"/>
    <x v="2"/>
    <x v="0"/>
    <x v="0"/>
    <x v="4"/>
    <x v="1"/>
    <x v="0"/>
    <n v="0.16"/>
    <x v="0"/>
    <n v="0.19700000000000001"/>
    <n v="0.74"/>
    <n v="8.9599999999999999E-2"/>
    <x v="3"/>
    <x v="6"/>
    <x v="5"/>
  </r>
  <r>
    <n v="96"/>
    <x v="4"/>
    <x v="0"/>
    <x v="0"/>
    <x v="0"/>
    <x v="4"/>
    <x v="0"/>
    <x v="0"/>
    <x v="4"/>
    <x v="1"/>
    <x v="0"/>
    <n v="0.24"/>
    <x v="0"/>
    <n v="0.2273"/>
    <n v="0.48"/>
    <n v="0.22389999999999999"/>
    <x v="3"/>
    <x v="6"/>
    <x v="5"/>
  </r>
  <r>
    <n v="97"/>
    <x v="4"/>
    <x v="0"/>
    <x v="0"/>
    <x v="0"/>
    <x v="5"/>
    <x v="0"/>
    <x v="0"/>
    <x v="4"/>
    <x v="1"/>
    <x v="0"/>
    <n v="0.22"/>
    <x v="0"/>
    <n v="0.2273"/>
    <n v="0.47"/>
    <n v="0.16420000000000001"/>
    <x v="3"/>
    <x v="35"/>
    <x v="6"/>
  </r>
  <r>
    <n v="98"/>
    <x v="4"/>
    <x v="0"/>
    <x v="0"/>
    <x v="0"/>
    <x v="6"/>
    <x v="1"/>
    <x v="0"/>
    <x v="4"/>
    <x v="1"/>
    <x v="0"/>
    <n v="0.2"/>
    <x v="0"/>
    <n v="0.19700000000000001"/>
    <n v="0.47"/>
    <n v="0.22389999999999999"/>
    <x v="3"/>
    <x v="39"/>
    <x v="63"/>
  </r>
  <r>
    <n v="99"/>
    <x v="4"/>
    <x v="0"/>
    <x v="0"/>
    <x v="0"/>
    <x v="7"/>
    <x v="1"/>
    <x v="0"/>
    <x v="4"/>
    <x v="1"/>
    <x v="0"/>
    <n v="0.18"/>
    <x v="0"/>
    <n v="0.18179999999999999"/>
    <n v="0.43"/>
    <n v="0.19400000000000001"/>
    <x v="5"/>
    <x v="61"/>
    <x v="39"/>
  </r>
  <r>
    <n v="100"/>
    <x v="4"/>
    <x v="0"/>
    <x v="0"/>
    <x v="0"/>
    <x v="8"/>
    <x v="1"/>
    <x v="0"/>
    <x v="4"/>
    <x v="1"/>
    <x v="0"/>
    <n v="0.2"/>
    <x v="0"/>
    <n v="0.18179999999999999"/>
    <n v="0.4"/>
    <n v="0.29849999999999999"/>
    <x v="0"/>
    <x v="62"/>
    <x v="64"/>
  </r>
  <r>
    <n v="101"/>
    <x v="4"/>
    <x v="0"/>
    <x v="0"/>
    <x v="0"/>
    <x v="9"/>
    <x v="1"/>
    <x v="0"/>
    <x v="4"/>
    <x v="1"/>
    <x v="0"/>
    <n v="0.22"/>
    <x v="0"/>
    <n v="0.19700000000000001"/>
    <n v="0.37"/>
    <n v="0.32840000000000003"/>
    <x v="15"/>
    <x v="63"/>
    <x v="65"/>
  </r>
  <r>
    <n v="102"/>
    <x v="4"/>
    <x v="0"/>
    <x v="0"/>
    <x v="0"/>
    <x v="10"/>
    <x v="1"/>
    <x v="0"/>
    <x v="4"/>
    <x v="1"/>
    <x v="0"/>
    <n v="0.22"/>
    <x v="0"/>
    <n v="0.19700000000000001"/>
    <n v="0.37"/>
    <n v="0.32840000000000003"/>
    <x v="17"/>
    <x v="42"/>
    <x v="52"/>
  </r>
  <r>
    <n v="103"/>
    <x v="4"/>
    <x v="0"/>
    <x v="0"/>
    <x v="0"/>
    <x v="11"/>
    <x v="1"/>
    <x v="0"/>
    <x v="4"/>
    <x v="1"/>
    <x v="0"/>
    <n v="0.26"/>
    <x v="1"/>
    <n v="0.2273"/>
    <n v="0.33"/>
    <n v="0.32840000000000003"/>
    <x v="6"/>
    <x v="60"/>
    <x v="66"/>
  </r>
  <r>
    <n v="104"/>
    <x v="4"/>
    <x v="0"/>
    <x v="0"/>
    <x v="0"/>
    <x v="12"/>
    <x v="2"/>
    <x v="0"/>
    <x v="4"/>
    <x v="1"/>
    <x v="0"/>
    <n v="0.26"/>
    <x v="1"/>
    <n v="0.2273"/>
    <n v="0.33"/>
    <n v="0.32840000000000003"/>
    <x v="2"/>
    <x v="64"/>
    <x v="67"/>
  </r>
  <r>
    <n v="105"/>
    <x v="4"/>
    <x v="0"/>
    <x v="0"/>
    <x v="0"/>
    <x v="13"/>
    <x v="2"/>
    <x v="0"/>
    <x v="4"/>
    <x v="1"/>
    <x v="0"/>
    <n v="0.28000000000000003"/>
    <x v="1"/>
    <n v="0.2576"/>
    <n v="0.3"/>
    <n v="0.29849999999999999"/>
    <x v="15"/>
    <x v="65"/>
    <x v="68"/>
  </r>
  <r>
    <n v="106"/>
    <x v="4"/>
    <x v="0"/>
    <x v="0"/>
    <x v="0"/>
    <x v="14"/>
    <x v="2"/>
    <x v="0"/>
    <x v="4"/>
    <x v="1"/>
    <x v="0"/>
    <n v="0.3"/>
    <x v="1"/>
    <n v="0.28789999999999999"/>
    <n v="0.28000000000000003"/>
    <n v="0.19400000000000001"/>
    <x v="22"/>
    <x v="15"/>
    <x v="69"/>
  </r>
  <r>
    <n v="107"/>
    <x v="4"/>
    <x v="0"/>
    <x v="0"/>
    <x v="0"/>
    <x v="15"/>
    <x v="2"/>
    <x v="0"/>
    <x v="4"/>
    <x v="1"/>
    <x v="0"/>
    <n v="0.3"/>
    <x v="1"/>
    <n v="0.28789999999999999"/>
    <n v="0.28000000000000003"/>
    <n v="0.19400000000000001"/>
    <x v="18"/>
    <x v="11"/>
    <x v="69"/>
  </r>
  <r>
    <n v="108"/>
    <x v="4"/>
    <x v="0"/>
    <x v="0"/>
    <x v="0"/>
    <x v="16"/>
    <x v="2"/>
    <x v="0"/>
    <x v="4"/>
    <x v="1"/>
    <x v="0"/>
    <n v="0.3"/>
    <x v="1"/>
    <n v="0.31819999999999998"/>
    <n v="0.28000000000000003"/>
    <n v="8.9599999999999999E-2"/>
    <x v="17"/>
    <x v="66"/>
    <x v="70"/>
  </r>
  <r>
    <n v="109"/>
    <x v="4"/>
    <x v="0"/>
    <x v="0"/>
    <x v="0"/>
    <x v="17"/>
    <x v="2"/>
    <x v="0"/>
    <x v="4"/>
    <x v="1"/>
    <x v="0"/>
    <n v="0.24"/>
    <x v="0"/>
    <n v="0.2273"/>
    <n v="0.38"/>
    <n v="0.19400000000000001"/>
    <x v="17"/>
    <x v="67"/>
    <x v="71"/>
  </r>
  <r>
    <n v="110"/>
    <x v="4"/>
    <x v="0"/>
    <x v="0"/>
    <x v="0"/>
    <x v="18"/>
    <x v="3"/>
    <x v="0"/>
    <x v="4"/>
    <x v="1"/>
    <x v="0"/>
    <n v="0.24"/>
    <x v="0"/>
    <n v="0.2424"/>
    <n v="0.38"/>
    <n v="0.1343"/>
    <x v="0"/>
    <x v="68"/>
    <x v="72"/>
  </r>
  <r>
    <n v="111"/>
    <x v="4"/>
    <x v="0"/>
    <x v="0"/>
    <x v="0"/>
    <x v="19"/>
    <x v="3"/>
    <x v="0"/>
    <x v="4"/>
    <x v="1"/>
    <x v="0"/>
    <n v="0.24"/>
    <x v="0"/>
    <n v="0.2576"/>
    <n v="0.38"/>
    <n v="0.1045"/>
    <x v="2"/>
    <x v="69"/>
    <x v="73"/>
  </r>
  <r>
    <n v="112"/>
    <x v="4"/>
    <x v="0"/>
    <x v="0"/>
    <x v="0"/>
    <x v="20"/>
    <x v="3"/>
    <x v="0"/>
    <x v="4"/>
    <x v="1"/>
    <x v="0"/>
    <n v="0.22"/>
    <x v="0"/>
    <n v="0.2273"/>
    <n v="0.47"/>
    <n v="0.16420000000000001"/>
    <x v="18"/>
    <x v="70"/>
    <x v="70"/>
  </r>
  <r>
    <n v="113"/>
    <x v="4"/>
    <x v="0"/>
    <x v="0"/>
    <x v="0"/>
    <x v="21"/>
    <x v="3"/>
    <x v="0"/>
    <x v="4"/>
    <x v="1"/>
    <x v="0"/>
    <n v="0.2"/>
    <x v="0"/>
    <n v="0.19700000000000001"/>
    <n v="0.51"/>
    <n v="0.19400000000000001"/>
    <x v="0"/>
    <x v="71"/>
    <x v="74"/>
  </r>
  <r>
    <n v="114"/>
    <x v="4"/>
    <x v="0"/>
    <x v="0"/>
    <x v="0"/>
    <x v="22"/>
    <x v="3"/>
    <x v="0"/>
    <x v="4"/>
    <x v="1"/>
    <x v="0"/>
    <n v="0.18"/>
    <x v="0"/>
    <n v="0.19700000000000001"/>
    <n v="0.55000000000000004"/>
    <n v="0.1343"/>
    <x v="5"/>
    <x v="40"/>
    <x v="51"/>
  </r>
  <r>
    <n v="115"/>
    <x v="4"/>
    <x v="0"/>
    <x v="0"/>
    <x v="0"/>
    <x v="23"/>
    <x v="3"/>
    <x v="0"/>
    <x v="4"/>
    <x v="1"/>
    <x v="0"/>
    <n v="0.2"/>
    <x v="0"/>
    <n v="0.2576"/>
    <n v="0.47"/>
    <n v="0"/>
    <x v="5"/>
    <x v="72"/>
    <x v="75"/>
  </r>
  <r>
    <n v="116"/>
    <x v="5"/>
    <x v="0"/>
    <x v="0"/>
    <x v="0"/>
    <x v="0"/>
    <x v="0"/>
    <x v="0"/>
    <x v="5"/>
    <x v="1"/>
    <x v="0"/>
    <n v="0.18"/>
    <x v="0"/>
    <n v="0.2424"/>
    <n v="0.55000000000000004"/>
    <n v="0"/>
    <x v="3"/>
    <x v="48"/>
    <x v="62"/>
  </r>
  <r>
    <n v="117"/>
    <x v="5"/>
    <x v="0"/>
    <x v="0"/>
    <x v="0"/>
    <x v="1"/>
    <x v="0"/>
    <x v="0"/>
    <x v="5"/>
    <x v="1"/>
    <x v="0"/>
    <n v="0.16"/>
    <x v="0"/>
    <n v="0.2273"/>
    <n v="0.64"/>
    <n v="0"/>
    <x v="3"/>
    <x v="22"/>
    <x v="48"/>
  </r>
  <r>
    <n v="118"/>
    <x v="5"/>
    <x v="0"/>
    <x v="0"/>
    <x v="0"/>
    <x v="2"/>
    <x v="0"/>
    <x v="0"/>
    <x v="5"/>
    <x v="1"/>
    <x v="0"/>
    <n v="0.16"/>
    <x v="0"/>
    <n v="0.2273"/>
    <n v="0.64"/>
    <n v="0"/>
    <x v="3"/>
    <x v="6"/>
    <x v="5"/>
  </r>
  <r>
    <n v="119"/>
    <x v="5"/>
    <x v="0"/>
    <x v="0"/>
    <x v="0"/>
    <x v="4"/>
    <x v="0"/>
    <x v="0"/>
    <x v="5"/>
    <x v="1"/>
    <x v="1"/>
    <n v="0.16"/>
    <x v="0"/>
    <n v="0.19700000000000001"/>
    <n v="0.64"/>
    <n v="8.9599999999999999E-2"/>
    <x v="3"/>
    <x v="4"/>
    <x v="4"/>
  </r>
  <r>
    <n v="120"/>
    <x v="5"/>
    <x v="0"/>
    <x v="0"/>
    <x v="0"/>
    <x v="5"/>
    <x v="0"/>
    <x v="0"/>
    <x v="5"/>
    <x v="1"/>
    <x v="1"/>
    <n v="0.14000000000000001"/>
    <x v="4"/>
    <n v="0.18179999999999999"/>
    <n v="0.69"/>
    <n v="8.9599999999999999E-2"/>
    <x v="3"/>
    <x v="22"/>
    <x v="48"/>
  </r>
  <r>
    <n v="121"/>
    <x v="5"/>
    <x v="0"/>
    <x v="0"/>
    <x v="0"/>
    <x v="6"/>
    <x v="1"/>
    <x v="0"/>
    <x v="5"/>
    <x v="1"/>
    <x v="1"/>
    <n v="0.14000000000000001"/>
    <x v="4"/>
    <n v="0.16669999999999999"/>
    <n v="0.63"/>
    <n v="0.1045"/>
    <x v="3"/>
    <x v="49"/>
    <x v="9"/>
  </r>
  <r>
    <n v="122"/>
    <x v="5"/>
    <x v="0"/>
    <x v="0"/>
    <x v="0"/>
    <x v="7"/>
    <x v="1"/>
    <x v="0"/>
    <x v="5"/>
    <x v="1"/>
    <x v="1"/>
    <n v="0.16"/>
    <x v="0"/>
    <n v="0.2273"/>
    <n v="0.59"/>
    <n v="0"/>
    <x v="3"/>
    <x v="73"/>
    <x v="76"/>
  </r>
  <r>
    <n v="123"/>
    <x v="5"/>
    <x v="0"/>
    <x v="0"/>
    <x v="0"/>
    <x v="8"/>
    <x v="1"/>
    <x v="0"/>
    <x v="5"/>
    <x v="1"/>
    <x v="0"/>
    <n v="0.16"/>
    <x v="0"/>
    <n v="0.2273"/>
    <n v="0.59"/>
    <n v="0"/>
    <x v="0"/>
    <x v="74"/>
    <x v="77"/>
  </r>
  <r>
    <n v="124"/>
    <x v="5"/>
    <x v="0"/>
    <x v="0"/>
    <x v="0"/>
    <x v="9"/>
    <x v="1"/>
    <x v="0"/>
    <x v="5"/>
    <x v="1"/>
    <x v="1"/>
    <n v="0.18"/>
    <x v="0"/>
    <n v="0.2424"/>
    <n v="0.51"/>
    <n v="0"/>
    <x v="15"/>
    <x v="75"/>
    <x v="78"/>
  </r>
  <r>
    <n v="125"/>
    <x v="5"/>
    <x v="0"/>
    <x v="0"/>
    <x v="0"/>
    <x v="10"/>
    <x v="1"/>
    <x v="0"/>
    <x v="5"/>
    <x v="1"/>
    <x v="0"/>
    <n v="0.2"/>
    <x v="0"/>
    <n v="0.2576"/>
    <n v="0.47"/>
    <n v="0"/>
    <x v="0"/>
    <x v="76"/>
    <x v="79"/>
  </r>
  <r>
    <n v="126"/>
    <x v="5"/>
    <x v="0"/>
    <x v="0"/>
    <x v="0"/>
    <x v="11"/>
    <x v="1"/>
    <x v="0"/>
    <x v="5"/>
    <x v="1"/>
    <x v="0"/>
    <n v="0.22"/>
    <x v="0"/>
    <n v="0.2576"/>
    <n v="0.44"/>
    <n v="8.9599999999999999E-2"/>
    <x v="4"/>
    <x v="77"/>
    <x v="29"/>
  </r>
  <r>
    <n v="127"/>
    <x v="5"/>
    <x v="0"/>
    <x v="0"/>
    <x v="0"/>
    <x v="12"/>
    <x v="2"/>
    <x v="0"/>
    <x v="5"/>
    <x v="1"/>
    <x v="0"/>
    <n v="0.26"/>
    <x v="1"/>
    <n v="0.28789999999999999"/>
    <n v="0.35"/>
    <n v="0"/>
    <x v="15"/>
    <x v="78"/>
    <x v="11"/>
  </r>
  <r>
    <n v="128"/>
    <x v="5"/>
    <x v="0"/>
    <x v="0"/>
    <x v="0"/>
    <x v="13"/>
    <x v="2"/>
    <x v="0"/>
    <x v="5"/>
    <x v="1"/>
    <x v="0"/>
    <n v="0.26"/>
    <x v="1"/>
    <n v="0.2727"/>
    <n v="0.35"/>
    <n v="0.1045"/>
    <x v="6"/>
    <x v="11"/>
    <x v="16"/>
  </r>
  <r>
    <n v="129"/>
    <x v="5"/>
    <x v="0"/>
    <x v="0"/>
    <x v="0"/>
    <x v="14"/>
    <x v="2"/>
    <x v="0"/>
    <x v="5"/>
    <x v="1"/>
    <x v="0"/>
    <n v="0.28000000000000003"/>
    <x v="1"/>
    <n v="0.2727"/>
    <n v="0.36"/>
    <n v="0.16420000000000001"/>
    <x v="16"/>
    <x v="79"/>
    <x v="27"/>
  </r>
  <r>
    <n v="130"/>
    <x v="5"/>
    <x v="0"/>
    <x v="0"/>
    <x v="0"/>
    <x v="15"/>
    <x v="2"/>
    <x v="0"/>
    <x v="5"/>
    <x v="1"/>
    <x v="0"/>
    <n v="0.28000000000000003"/>
    <x v="1"/>
    <n v="0.2727"/>
    <n v="0.36"/>
    <n v="0"/>
    <x v="1"/>
    <x v="25"/>
    <x v="69"/>
  </r>
  <r>
    <n v="131"/>
    <x v="5"/>
    <x v="0"/>
    <x v="0"/>
    <x v="0"/>
    <x v="16"/>
    <x v="2"/>
    <x v="0"/>
    <x v="5"/>
    <x v="1"/>
    <x v="0"/>
    <n v="0.26"/>
    <x v="1"/>
    <n v="0.2576"/>
    <n v="0.38"/>
    <n v="0.16420000000000001"/>
    <x v="6"/>
    <x v="64"/>
    <x v="80"/>
  </r>
  <r>
    <n v="132"/>
    <x v="5"/>
    <x v="0"/>
    <x v="0"/>
    <x v="0"/>
    <x v="17"/>
    <x v="2"/>
    <x v="0"/>
    <x v="5"/>
    <x v="1"/>
    <x v="0"/>
    <n v="0.22"/>
    <x v="0"/>
    <n v="0.2273"/>
    <n v="0.51"/>
    <n v="0.16420000000000001"/>
    <x v="14"/>
    <x v="80"/>
    <x v="81"/>
  </r>
  <r>
    <n v="133"/>
    <x v="5"/>
    <x v="0"/>
    <x v="0"/>
    <x v="0"/>
    <x v="18"/>
    <x v="3"/>
    <x v="0"/>
    <x v="5"/>
    <x v="1"/>
    <x v="0"/>
    <n v="0.22"/>
    <x v="0"/>
    <n v="0.2273"/>
    <n v="0.51"/>
    <n v="0.1343"/>
    <x v="2"/>
    <x v="81"/>
    <x v="82"/>
  </r>
  <r>
    <n v="134"/>
    <x v="5"/>
    <x v="0"/>
    <x v="0"/>
    <x v="0"/>
    <x v="19"/>
    <x v="3"/>
    <x v="0"/>
    <x v="5"/>
    <x v="1"/>
    <x v="0"/>
    <n v="0.22"/>
    <x v="0"/>
    <n v="0.2576"/>
    <n v="0.55000000000000004"/>
    <n v="8.9599999999999999E-2"/>
    <x v="0"/>
    <x v="63"/>
    <x v="59"/>
  </r>
  <r>
    <n v="135"/>
    <x v="5"/>
    <x v="0"/>
    <x v="0"/>
    <x v="0"/>
    <x v="20"/>
    <x v="3"/>
    <x v="0"/>
    <x v="5"/>
    <x v="1"/>
    <x v="0"/>
    <n v="0.2"/>
    <x v="0"/>
    <n v="0.21210000000000001"/>
    <n v="0.51"/>
    <n v="0.16420000000000001"/>
    <x v="0"/>
    <x v="43"/>
    <x v="83"/>
  </r>
  <r>
    <n v="136"/>
    <x v="5"/>
    <x v="0"/>
    <x v="0"/>
    <x v="0"/>
    <x v="21"/>
    <x v="3"/>
    <x v="0"/>
    <x v="5"/>
    <x v="1"/>
    <x v="1"/>
    <n v="0.22"/>
    <x v="0"/>
    <n v="0.21210000000000001"/>
    <n v="0.55000000000000004"/>
    <n v="0.22389999999999999"/>
    <x v="3"/>
    <x v="41"/>
    <x v="61"/>
  </r>
  <r>
    <n v="137"/>
    <x v="5"/>
    <x v="0"/>
    <x v="0"/>
    <x v="0"/>
    <x v="22"/>
    <x v="3"/>
    <x v="0"/>
    <x v="5"/>
    <x v="1"/>
    <x v="1"/>
    <n v="0.22"/>
    <x v="0"/>
    <n v="0.21210000000000001"/>
    <n v="0.51"/>
    <n v="0.28360000000000002"/>
    <x v="5"/>
    <x v="82"/>
    <x v="46"/>
  </r>
  <r>
    <n v="138"/>
    <x v="5"/>
    <x v="0"/>
    <x v="0"/>
    <x v="0"/>
    <x v="23"/>
    <x v="3"/>
    <x v="0"/>
    <x v="5"/>
    <x v="1"/>
    <x v="1"/>
    <n v="0.2"/>
    <x v="0"/>
    <n v="0.19700000000000001"/>
    <n v="0.59"/>
    <n v="0.19400000000000001"/>
    <x v="17"/>
    <x v="23"/>
    <x v="84"/>
  </r>
  <r>
    <n v="139"/>
    <x v="6"/>
    <x v="0"/>
    <x v="0"/>
    <x v="0"/>
    <x v="0"/>
    <x v="0"/>
    <x v="0"/>
    <x v="6"/>
    <x v="1"/>
    <x v="1"/>
    <n v="0.2"/>
    <x v="0"/>
    <n v="0.19700000000000001"/>
    <n v="0.64"/>
    <n v="0.19400000000000001"/>
    <x v="17"/>
    <x v="0"/>
    <x v="22"/>
  </r>
  <r>
    <n v="140"/>
    <x v="6"/>
    <x v="0"/>
    <x v="0"/>
    <x v="0"/>
    <x v="1"/>
    <x v="0"/>
    <x v="0"/>
    <x v="6"/>
    <x v="1"/>
    <x v="1"/>
    <n v="0.2"/>
    <x v="0"/>
    <n v="0.19700000000000001"/>
    <n v="0.69"/>
    <n v="0.22389999999999999"/>
    <x v="4"/>
    <x v="34"/>
    <x v="85"/>
  </r>
  <r>
    <n v="141"/>
    <x v="6"/>
    <x v="0"/>
    <x v="0"/>
    <x v="0"/>
    <x v="2"/>
    <x v="0"/>
    <x v="0"/>
    <x v="6"/>
    <x v="1"/>
    <x v="1"/>
    <n v="0.2"/>
    <x v="0"/>
    <n v="0.19700000000000001"/>
    <n v="0.69"/>
    <n v="0.22389999999999999"/>
    <x v="3"/>
    <x v="4"/>
    <x v="4"/>
  </r>
  <r>
    <n v="142"/>
    <x v="6"/>
    <x v="0"/>
    <x v="0"/>
    <x v="0"/>
    <x v="4"/>
    <x v="0"/>
    <x v="0"/>
    <x v="6"/>
    <x v="1"/>
    <x v="1"/>
    <n v="0.2"/>
    <x v="0"/>
    <n v="0.21210000000000001"/>
    <n v="0.69"/>
    <n v="0.1343"/>
    <x v="3"/>
    <x v="4"/>
    <x v="4"/>
  </r>
  <r>
    <n v="143"/>
    <x v="6"/>
    <x v="0"/>
    <x v="0"/>
    <x v="0"/>
    <x v="5"/>
    <x v="0"/>
    <x v="0"/>
    <x v="6"/>
    <x v="1"/>
    <x v="2"/>
    <n v="0.22"/>
    <x v="0"/>
    <n v="0.2727"/>
    <n v="0.55000000000000004"/>
    <n v="0"/>
    <x v="3"/>
    <x v="34"/>
    <x v="36"/>
  </r>
  <r>
    <n v="144"/>
    <x v="6"/>
    <x v="0"/>
    <x v="0"/>
    <x v="0"/>
    <x v="6"/>
    <x v="1"/>
    <x v="0"/>
    <x v="6"/>
    <x v="1"/>
    <x v="1"/>
    <n v="0.2"/>
    <x v="0"/>
    <n v="0.2576"/>
    <n v="0.69"/>
    <n v="0"/>
    <x v="1"/>
    <x v="16"/>
    <x v="19"/>
  </r>
  <r>
    <n v="145"/>
    <x v="6"/>
    <x v="0"/>
    <x v="0"/>
    <x v="0"/>
    <x v="7"/>
    <x v="1"/>
    <x v="0"/>
    <x v="6"/>
    <x v="1"/>
    <x v="0"/>
    <n v="0.2"/>
    <x v="0"/>
    <n v="0.21210000000000001"/>
    <n v="0.69"/>
    <n v="0.1343"/>
    <x v="1"/>
    <x v="83"/>
    <x v="11"/>
  </r>
  <r>
    <n v="146"/>
    <x v="6"/>
    <x v="0"/>
    <x v="0"/>
    <x v="0"/>
    <x v="8"/>
    <x v="1"/>
    <x v="0"/>
    <x v="6"/>
    <x v="1"/>
    <x v="0"/>
    <n v="0.2"/>
    <x v="0"/>
    <n v="0.19700000000000001"/>
    <n v="0.51"/>
    <n v="0.25369999999999998"/>
    <x v="20"/>
    <x v="84"/>
    <x v="86"/>
  </r>
  <r>
    <n v="147"/>
    <x v="6"/>
    <x v="0"/>
    <x v="0"/>
    <x v="0"/>
    <x v="9"/>
    <x v="1"/>
    <x v="0"/>
    <x v="6"/>
    <x v="1"/>
    <x v="0"/>
    <n v="0.2"/>
    <x v="0"/>
    <n v="0.18179999999999999"/>
    <n v="0.47"/>
    <n v="0.29849999999999999"/>
    <x v="14"/>
    <x v="85"/>
    <x v="87"/>
  </r>
  <r>
    <n v="148"/>
    <x v="6"/>
    <x v="0"/>
    <x v="0"/>
    <x v="0"/>
    <x v="10"/>
    <x v="1"/>
    <x v="0"/>
    <x v="6"/>
    <x v="1"/>
    <x v="0"/>
    <n v="0.22"/>
    <x v="0"/>
    <n v="0.19700000000000001"/>
    <n v="0.37"/>
    <n v="0.32840000000000003"/>
    <x v="19"/>
    <x v="12"/>
    <x v="55"/>
  </r>
  <r>
    <n v="149"/>
    <x v="6"/>
    <x v="0"/>
    <x v="0"/>
    <x v="0"/>
    <x v="11"/>
    <x v="1"/>
    <x v="0"/>
    <x v="6"/>
    <x v="1"/>
    <x v="1"/>
    <n v="0.2"/>
    <x v="0"/>
    <n v="0.19700000000000001"/>
    <n v="0.4"/>
    <n v="0.22389999999999999"/>
    <x v="21"/>
    <x v="41"/>
    <x v="16"/>
  </r>
  <r>
    <n v="150"/>
    <x v="6"/>
    <x v="0"/>
    <x v="0"/>
    <x v="0"/>
    <x v="12"/>
    <x v="2"/>
    <x v="0"/>
    <x v="6"/>
    <x v="1"/>
    <x v="1"/>
    <n v="0.2"/>
    <x v="0"/>
    <n v="0.19700000000000001"/>
    <n v="0.37"/>
    <n v="0.25369999999999998"/>
    <x v="14"/>
    <x v="54"/>
    <x v="29"/>
  </r>
  <r>
    <n v="151"/>
    <x v="6"/>
    <x v="0"/>
    <x v="0"/>
    <x v="0"/>
    <x v="13"/>
    <x v="2"/>
    <x v="0"/>
    <x v="6"/>
    <x v="1"/>
    <x v="1"/>
    <n v="0.2"/>
    <x v="0"/>
    <n v="0.18179999999999999"/>
    <n v="0.37"/>
    <n v="0.28360000000000002"/>
    <x v="14"/>
    <x v="27"/>
    <x v="88"/>
  </r>
  <r>
    <n v="152"/>
    <x v="6"/>
    <x v="0"/>
    <x v="0"/>
    <x v="0"/>
    <x v="14"/>
    <x v="2"/>
    <x v="0"/>
    <x v="6"/>
    <x v="1"/>
    <x v="1"/>
    <n v="0.2"/>
    <x v="0"/>
    <n v="0.19700000000000001"/>
    <n v="0.4"/>
    <n v="0.25369999999999998"/>
    <x v="18"/>
    <x v="30"/>
    <x v="89"/>
  </r>
  <r>
    <n v="153"/>
    <x v="6"/>
    <x v="0"/>
    <x v="0"/>
    <x v="0"/>
    <x v="15"/>
    <x v="2"/>
    <x v="0"/>
    <x v="6"/>
    <x v="1"/>
    <x v="1"/>
    <n v="0.2"/>
    <x v="0"/>
    <n v="0.21210000000000001"/>
    <n v="0.37"/>
    <n v="0.16420000000000001"/>
    <x v="14"/>
    <x v="36"/>
    <x v="44"/>
  </r>
  <r>
    <n v="154"/>
    <x v="6"/>
    <x v="0"/>
    <x v="0"/>
    <x v="0"/>
    <x v="16"/>
    <x v="2"/>
    <x v="0"/>
    <x v="6"/>
    <x v="1"/>
    <x v="1"/>
    <n v="0.2"/>
    <x v="0"/>
    <n v="0.21210000000000001"/>
    <n v="0.37"/>
    <n v="0.16420000000000001"/>
    <x v="2"/>
    <x v="70"/>
    <x v="90"/>
  </r>
  <r>
    <n v="155"/>
    <x v="6"/>
    <x v="0"/>
    <x v="0"/>
    <x v="0"/>
    <x v="17"/>
    <x v="2"/>
    <x v="0"/>
    <x v="6"/>
    <x v="1"/>
    <x v="1"/>
    <n v="0.2"/>
    <x v="0"/>
    <n v="0.2576"/>
    <n v="0.37"/>
    <n v="0"/>
    <x v="14"/>
    <x v="86"/>
    <x v="91"/>
  </r>
  <r>
    <n v="156"/>
    <x v="6"/>
    <x v="0"/>
    <x v="0"/>
    <x v="0"/>
    <x v="18"/>
    <x v="3"/>
    <x v="0"/>
    <x v="6"/>
    <x v="1"/>
    <x v="0"/>
    <n v="0.2"/>
    <x v="0"/>
    <n v="0.2273"/>
    <n v="0.4"/>
    <n v="8.9599999999999999E-2"/>
    <x v="18"/>
    <x v="75"/>
    <x v="92"/>
  </r>
  <r>
    <n v="157"/>
    <x v="6"/>
    <x v="0"/>
    <x v="0"/>
    <x v="0"/>
    <x v="19"/>
    <x v="3"/>
    <x v="0"/>
    <x v="6"/>
    <x v="1"/>
    <x v="0"/>
    <n v="0.16"/>
    <x v="0"/>
    <n v="0.19700000000000001"/>
    <n v="0.55000000000000004"/>
    <n v="8.9599999999999999E-2"/>
    <x v="0"/>
    <x v="50"/>
    <x v="76"/>
  </r>
  <r>
    <n v="158"/>
    <x v="6"/>
    <x v="0"/>
    <x v="0"/>
    <x v="0"/>
    <x v="20"/>
    <x v="3"/>
    <x v="0"/>
    <x v="6"/>
    <x v="1"/>
    <x v="0"/>
    <n v="0.18"/>
    <x v="0"/>
    <n v="0.21210000000000001"/>
    <n v="0.47"/>
    <n v="0.1045"/>
    <x v="5"/>
    <x v="54"/>
    <x v="41"/>
  </r>
  <r>
    <n v="159"/>
    <x v="6"/>
    <x v="0"/>
    <x v="0"/>
    <x v="0"/>
    <x v="21"/>
    <x v="3"/>
    <x v="0"/>
    <x v="6"/>
    <x v="1"/>
    <x v="0"/>
    <n v="0.18"/>
    <x v="0"/>
    <n v="0.19700000000000001"/>
    <n v="0.47"/>
    <n v="0.1343"/>
    <x v="3"/>
    <x v="87"/>
    <x v="21"/>
  </r>
  <r>
    <n v="160"/>
    <x v="6"/>
    <x v="0"/>
    <x v="0"/>
    <x v="0"/>
    <x v="22"/>
    <x v="3"/>
    <x v="0"/>
    <x v="6"/>
    <x v="1"/>
    <x v="1"/>
    <n v="0.18"/>
    <x v="0"/>
    <n v="0.19700000000000001"/>
    <n v="0.43"/>
    <n v="0.16420000000000001"/>
    <x v="4"/>
    <x v="60"/>
    <x v="9"/>
  </r>
  <r>
    <n v="161"/>
    <x v="6"/>
    <x v="0"/>
    <x v="0"/>
    <x v="0"/>
    <x v="23"/>
    <x v="3"/>
    <x v="0"/>
    <x v="6"/>
    <x v="1"/>
    <x v="1"/>
    <n v="0.18"/>
    <x v="0"/>
    <n v="0.19700000000000001"/>
    <n v="0.51"/>
    <n v="0.16420000000000001"/>
    <x v="5"/>
    <x v="88"/>
    <x v="93"/>
  </r>
  <r>
    <n v="162"/>
    <x v="7"/>
    <x v="0"/>
    <x v="0"/>
    <x v="0"/>
    <x v="0"/>
    <x v="0"/>
    <x v="0"/>
    <x v="0"/>
    <x v="0"/>
    <x v="1"/>
    <n v="0.18"/>
    <x v="0"/>
    <n v="0.19700000000000001"/>
    <n v="0.51"/>
    <n v="0.16420000000000001"/>
    <x v="5"/>
    <x v="9"/>
    <x v="94"/>
  </r>
  <r>
    <n v="163"/>
    <x v="7"/>
    <x v="0"/>
    <x v="0"/>
    <x v="0"/>
    <x v="1"/>
    <x v="0"/>
    <x v="0"/>
    <x v="0"/>
    <x v="0"/>
    <x v="1"/>
    <n v="0.18"/>
    <x v="0"/>
    <n v="0.21210000000000001"/>
    <n v="0.55000000000000004"/>
    <n v="8.9599999999999999E-2"/>
    <x v="5"/>
    <x v="89"/>
    <x v="0"/>
  </r>
  <r>
    <n v="164"/>
    <x v="7"/>
    <x v="0"/>
    <x v="0"/>
    <x v="0"/>
    <x v="2"/>
    <x v="0"/>
    <x v="0"/>
    <x v="0"/>
    <x v="0"/>
    <x v="1"/>
    <n v="0.18"/>
    <x v="0"/>
    <n v="0.2424"/>
    <n v="0.55000000000000004"/>
    <n v="0"/>
    <x v="0"/>
    <x v="0"/>
    <x v="0"/>
  </r>
  <r>
    <n v="165"/>
    <x v="7"/>
    <x v="0"/>
    <x v="0"/>
    <x v="0"/>
    <x v="3"/>
    <x v="0"/>
    <x v="0"/>
    <x v="0"/>
    <x v="0"/>
    <x v="2"/>
    <n v="0.18"/>
    <x v="0"/>
    <n v="0.19700000000000001"/>
    <n v="0.55000000000000004"/>
    <n v="0.16420000000000001"/>
    <x v="3"/>
    <x v="7"/>
    <x v="85"/>
  </r>
  <r>
    <n v="166"/>
    <x v="7"/>
    <x v="0"/>
    <x v="0"/>
    <x v="0"/>
    <x v="4"/>
    <x v="0"/>
    <x v="0"/>
    <x v="0"/>
    <x v="0"/>
    <x v="2"/>
    <n v="0.18"/>
    <x v="0"/>
    <n v="0.19700000000000001"/>
    <n v="0.55000000000000004"/>
    <n v="0.16420000000000001"/>
    <x v="3"/>
    <x v="4"/>
    <x v="4"/>
  </r>
  <r>
    <n v="167"/>
    <x v="7"/>
    <x v="0"/>
    <x v="0"/>
    <x v="0"/>
    <x v="5"/>
    <x v="0"/>
    <x v="0"/>
    <x v="0"/>
    <x v="0"/>
    <x v="1"/>
    <n v="0.16"/>
    <x v="0"/>
    <n v="0.16669999999999999"/>
    <n v="0.74"/>
    <n v="0.16420000000000001"/>
    <x v="3"/>
    <x v="34"/>
    <x v="36"/>
  </r>
  <r>
    <n v="168"/>
    <x v="7"/>
    <x v="0"/>
    <x v="0"/>
    <x v="0"/>
    <x v="6"/>
    <x v="1"/>
    <x v="0"/>
    <x v="0"/>
    <x v="0"/>
    <x v="1"/>
    <n v="0.16"/>
    <x v="0"/>
    <n v="0.16669999999999999"/>
    <n v="0.74"/>
    <n v="0.16420000000000001"/>
    <x v="3"/>
    <x v="6"/>
    <x v="5"/>
  </r>
  <r>
    <n v="169"/>
    <x v="7"/>
    <x v="0"/>
    <x v="0"/>
    <x v="0"/>
    <x v="7"/>
    <x v="1"/>
    <x v="0"/>
    <x v="0"/>
    <x v="0"/>
    <x v="1"/>
    <n v="0.16"/>
    <x v="0"/>
    <n v="0.18179999999999999"/>
    <n v="0.74"/>
    <n v="0.1045"/>
    <x v="5"/>
    <x v="21"/>
    <x v="23"/>
  </r>
  <r>
    <n v="170"/>
    <x v="7"/>
    <x v="0"/>
    <x v="0"/>
    <x v="0"/>
    <x v="8"/>
    <x v="1"/>
    <x v="0"/>
    <x v="0"/>
    <x v="0"/>
    <x v="2"/>
    <n v="0.16"/>
    <x v="0"/>
    <n v="0.18179999999999999"/>
    <n v="0.93"/>
    <n v="0.1045"/>
    <x v="3"/>
    <x v="89"/>
    <x v="93"/>
  </r>
  <r>
    <n v="171"/>
    <x v="7"/>
    <x v="0"/>
    <x v="0"/>
    <x v="0"/>
    <x v="9"/>
    <x v="1"/>
    <x v="0"/>
    <x v="0"/>
    <x v="0"/>
    <x v="2"/>
    <n v="0.16"/>
    <x v="0"/>
    <n v="0.18179999999999999"/>
    <n v="0.93"/>
    <n v="0.1045"/>
    <x v="3"/>
    <x v="32"/>
    <x v="25"/>
  </r>
  <r>
    <n v="172"/>
    <x v="7"/>
    <x v="0"/>
    <x v="0"/>
    <x v="0"/>
    <x v="10"/>
    <x v="1"/>
    <x v="0"/>
    <x v="0"/>
    <x v="0"/>
    <x v="1"/>
    <n v="0.18"/>
    <x v="0"/>
    <n v="0.19700000000000001"/>
    <n v="0.8"/>
    <n v="0.16420000000000001"/>
    <x v="2"/>
    <x v="90"/>
    <x v="42"/>
  </r>
  <r>
    <n v="173"/>
    <x v="7"/>
    <x v="0"/>
    <x v="0"/>
    <x v="0"/>
    <x v="11"/>
    <x v="1"/>
    <x v="0"/>
    <x v="0"/>
    <x v="0"/>
    <x v="1"/>
    <n v="0.2"/>
    <x v="0"/>
    <n v="0.18179999999999999"/>
    <n v="0.69"/>
    <n v="0.3881"/>
    <x v="4"/>
    <x v="91"/>
    <x v="69"/>
  </r>
  <r>
    <n v="174"/>
    <x v="7"/>
    <x v="0"/>
    <x v="0"/>
    <x v="0"/>
    <x v="12"/>
    <x v="2"/>
    <x v="0"/>
    <x v="0"/>
    <x v="0"/>
    <x v="1"/>
    <n v="0.2"/>
    <x v="0"/>
    <n v="0.18179999999999999"/>
    <n v="0.59"/>
    <n v="0.35820000000000002"/>
    <x v="1"/>
    <x v="92"/>
    <x v="95"/>
  </r>
  <r>
    <n v="175"/>
    <x v="7"/>
    <x v="0"/>
    <x v="0"/>
    <x v="0"/>
    <x v="13"/>
    <x v="2"/>
    <x v="0"/>
    <x v="0"/>
    <x v="0"/>
    <x v="0"/>
    <n v="0.2"/>
    <x v="0"/>
    <n v="0.18179999999999999"/>
    <n v="0.44"/>
    <n v="0.32840000000000003"/>
    <x v="18"/>
    <x v="73"/>
    <x v="96"/>
  </r>
  <r>
    <n v="176"/>
    <x v="7"/>
    <x v="0"/>
    <x v="0"/>
    <x v="0"/>
    <x v="14"/>
    <x v="2"/>
    <x v="0"/>
    <x v="0"/>
    <x v="0"/>
    <x v="0"/>
    <n v="0.2"/>
    <x v="0"/>
    <n v="0.16669999999999999"/>
    <n v="0.32"/>
    <n v="0.49249999999999999"/>
    <x v="6"/>
    <x v="93"/>
    <x v="76"/>
  </r>
  <r>
    <n v="177"/>
    <x v="7"/>
    <x v="0"/>
    <x v="0"/>
    <x v="0"/>
    <x v="15"/>
    <x v="2"/>
    <x v="0"/>
    <x v="0"/>
    <x v="0"/>
    <x v="0"/>
    <n v="0.2"/>
    <x v="0"/>
    <n v="0.16669999999999999"/>
    <n v="0.32"/>
    <n v="0.44779999999999998"/>
    <x v="2"/>
    <x v="94"/>
    <x v="30"/>
  </r>
  <r>
    <n v="178"/>
    <x v="7"/>
    <x v="0"/>
    <x v="0"/>
    <x v="0"/>
    <x v="16"/>
    <x v="2"/>
    <x v="0"/>
    <x v="0"/>
    <x v="0"/>
    <x v="0"/>
    <n v="0.18"/>
    <x v="0"/>
    <n v="0.13639999999999999"/>
    <n v="0.28999999999999998"/>
    <n v="0.44779999999999998"/>
    <x v="1"/>
    <x v="56"/>
    <x v="31"/>
  </r>
  <r>
    <n v="179"/>
    <x v="7"/>
    <x v="0"/>
    <x v="0"/>
    <x v="0"/>
    <x v="17"/>
    <x v="2"/>
    <x v="0"/>
    <x v="0"/>
    <x v="0"/>
    <x v="0"/>
    <n v="0.16"/>
    <x v="0"/>
    <n v="0.1212"/>
    <n v="0.37"/>
    <n v="0.55220000000000002"/>
    <x v="2"/>
    <x v="27"/>
    <x v="83"/>
  </r>
  <r>
    <n v="180"/>
    <x v="7"/>
    <x v="0"/>
    <x v="0"/>
    <x v="0"/>
    <x v="18"/>
    <x v="3"/>
    <x v="0"/>
    <x v="0"/>
    <x v="0"/>
    <x v="0"/>
    <n v="0.14000000000000001"/>
    <x v="4"/>
    <n v="0.1212"/>
    <n v="0.39"/>
    <n v="0.29849999999999999"/>
    <x v="0"/>
    <x v="15"/>
    <x v="97"/>
  </r>
  <r>
    <n v="181"/>
    <x v="7"/>
    <x v="0"/>
    <x v="0"/>
    <x v="0"/>
    <x v="19"/>
    <x v="3"/>
    <x v="0"/>
    <x v="0"/>
    <x v="0"/>
    <x v="0"/>
    <n v="0.14000000000000001"/>
    <x v="4"/>
    <n v="0.1212"/>
    <n v="0.36"/>
    <n v="0.25369999999999998"/>
    <x v="17"/>
    <x v="16"/>
    <x v="33"/>
  </r>
  <r>
    <n v="182"/>
    <x v="7"/>
    <x v="0"/>
    <x v="0"/>
    <x v="0"/>
    <x v="20"/>
    <x v="3"/>
    <x v="0"/>
    <x v="0"/>
    <x v="0"/>
    <x v="0"/>
    <n v="0.12"/>
    <x v="4"/>
    <n v="0.1212"/>
    <n v="0.36"/>
    <n v="0.25369999999999998"/>
    <x v="3"/>
    <x v="95"/>
    <x v="20"/>
  </r>
  <r>
    <n v="183"/>
    <x v="7"/>
    <x v="0"/>
    <x v="0"/>
    <x v="0"/>
    <x v="21"/>
    <x v="3"/>
    <x v="0"/>
    <x v="0"/>
    <x v="0"/>
    <x v="0"/>
    <n v="0.12"/>
    <x v="4"/>
    <n v="0.1061"/>
    <n v="0.39"/>
    <n v="0.35820000000000002"/>
    <x v="4"/>
    <x v="96"/>
    <x v="18"/>
  </r>
  <r>
    <n v="184"/>
    <x v="7"/>
    <x v="0"/>
    <x v="0"/>
    <x v="0"/>
    <x v="22"/>
    <x v="3"/>
    <x v="0"/>
    <x v="0"/>
    <x v="0"/>
    <x v="0"/>
    <n v="0.12"/>
    <x v="4"/>
    <n v="0.1061"/>
    <n v="0.36"/>
    <n v="0.3881"/>
    <x v="5"/>
    <x v="39"/>
    <x v="19"/>
  </r>
  <r>
    <n v="185"/>
    <x v="7"/>
    <x v="0"/>
    <x v="0"/>
    <x v="0"/>
    <x v="23"/>
    <x v="3"/>
    <x v="0"/>
    <x v="0"/>
    <x v="0"/>
    <x v="0"/>
    <n v="0.1"/>
    <x v="4"/>
    <n v="6.0600000000000001E-2"/>
    <n v="0.39"/>
    <n v="0.44779999999999998"/>
    <x v="3"/>
    <x v="97"/>
    <x v="34"/>
  </r>
  <r>
    <n v="186"/>
    <x v="8"/>
    <x v="0"/>
    <x v="0"/>
    <x v="0"/>
    <x v="0"/>
    <x v="0"/>
    <x v="0"/>
    <x v="1"/>
    <x v="0"/>
    <x v="0"/>
    <n v="0.1"/>
    <x v="4"/>
    <n v="7.5800000000000006E-2"/>
    <n v="0.42"/>
    <n v="0.3881"/>
    <x v="5"/>
    <x v="9"/>
    <x v="94"/>
  </r>
  <r>
    <n v="187"/>
    <x v="8"/>
    <x v="0"/>
    <x v="0"/>
    <x v="0"/>
    <x v="1"/>
    <x v="0"/>
    <x v="0"/>
    <x v="1"/>
    <x v="0"/>
    <x v="0"/>
    <n v="0.1"/>
    <x v="4"/>
    <n v="6.0600000000000001E-2"/>
    <n v="0.42"/>
    <n v="0.4627"/>
    <x v="3"/>
    <x v="98"/>
    <x v="47"/>
  </r>
  <r>
    <n v="188"/>
    <x v="8"/>
    <x v="0"/>
    <x v="0"/>
    <x v="0"/>
    <x v="2"/>
    <x v="0"/>
    <x v="0"/>
    <x v="1"/>
    <x v="0"/>
    <x v="0"/>
    <n v="0.1"/>
    <x v="4"/>
    <n v="6.0600000000000001E-2"/>
    <n v="0.46"/>
    <n v="0.4627"/>
    <x v="3"/>
    <x v="48"/>
    <x v="62"/>
  </r>
  <r>
    <n v="189"/>
    <x v="8"/>
    <x v="0"/>
    <x v="0"/>
    <x v="0"/>
    <x v="3"/>
    <x v="0"/>
    <x v="0"/>
    <x v="1"/>
    <x v="0"/>
    <x v="0"/>
    <n v="0.1"/>
    <x v="4"/>
    <n v="7.5800000000000006E-2"/>
    <n v="0.46"/>
    <n v="0.41789999999999999"/>
    <x v="3"/>
    <x v="22"/>
    <x v="48"/>
  </r>
  <r>
    <n v="190"/>
    <x v="8"/>
    <x v="0"/>
    <x v="0"/>
    <x v="0"/>
    <x v="4"/>
    <x v="0"/>
    <x v="0"/>
    <x v="1"/>
    <x v="0"/>
    <x v="0"/>
    <n v="0.08"/>
    <x v="4"/>
    <n v="9.0899999999999995E-2"/>
    <n v="0.53"/>
    <n v="0.19400000000000001"/>
    <x v="3"/>
    <x v="4"/>
    <x v="4"/>
  </r>
  <r>
    <n v="191"/>
    <x v="8"/>
    <x v="0"/>
    <x v="0"/>
    <x v="0"/>
    <x v="5"/>
    <x v="0"/>
    <x v="0"/>
    <x v="1"/>
    <x v="0"/>
    <x v="0"/>
    <n v="0.08"/>
    <x v="4"/>
    <n v="9.0899999999999995E-2"/>
    <n v="0.53"/>
    <n v="0.19400000000000001"/>
    <x v="3"/>
    <x v="4"/>
    <x v="4"/>
  </r>
  <r>
    <n v="192"/>
    <x v="8"/>
    <x v="0"/>
    <x v="0"/>
    <x v="0"/>
    <x v="6"/>
    <x v="1"/>
    <x v="0"/>
    <x v="1"/>
    <x v="0"/>
    <x v="0"/>
    <n v="0.1"/>
    <x v="4"/>
    <n v="9.0899999999999995E-2"/>
    <n v="0.49"/>
    <n v="0.28360000000000002"/>
    <x v="3"/>
    <x v="4"/>
    <x v="4"/>
  </r>
  <r>
    <n v="193"/>
    <x v="8"/>
    <x v="0"/>
    <x v="0"/>
    <x v="0"/>
    <x v="7"/>
    <x v="1"/>
    <x v="0"/>
    <x v="1"/>
    <x v="0"/>
    <x v="0"/>
    <n v="0.08"/>
    <x v="4"/>
    <n v="9.0899999999999995E-2"/>
    <n v="0.53"/>
    <n v="0.19400000000000001"/>
    <x v="5"/>
    <x v="34"/>
    <x v="24"/>
  </r>
  <r>
    <n v="194"/>
    <x v="8"/>
    <x v="0"/>
    <x v="0"/>
    <x v="0"/>
    <x v="8"/>
    <x v="1"/>
    <x v="0"/>
    <x v="1"/>
    <x v="0"/>
    <x v="0"/>
    <n v="0.1"/>
    <x v="4"/>
    <n v="9.0899999999999995E-2"/>
    <n v="0.49"/>
    <n v="0.28360000000000002"/>
    <x v="3"/>
    <x v="3"/>
    <x v="98"/>
  </r>
  <r>
    <n v="195"/>
    <x v="8"/>
    <x v="0"/>
    <x v="0"/>
    <x v="0"/>
    <x v="9"/>
    <x v="1"/>
    <x v="0"/>
    <x v="1"/>
    <x v="0"/>
    <x v="0"/>
    <n v="0.12"/>
    <x v="4"/>
    <n v="7.5800000000000006E-2"/>
    <n v="0.46"/>
    <n v="0.52239999999999998"/>
    <x v="3"/>
    <x v="23"/>
    <x v="75"/>
  </r>
  <r>
    <n v="196"/>
    <x v="8"/>
    <x v="0"/>
    <x v="0"/>
    <x v="0"/>
    <x v="10"/>
    <x v="1"/>
    <x v="0"/>
    <x v="1"/>
    <x v="0"/>
    <x v="0"/>
    <n v="0.14000000000000001"/>
    <x v="4"/>
    <n v="0.1061"/>
    <n v="0.43"/>
    <n v="0.3881"/>
    <x v="3"/>
    <x v="47"/>
    <x v="99"/>
  </r>
  <r>
    <n v="197"/>
    <x v="8"/>
    <x v="0"/>
    <x v="0"/>
    <x v="0"/>
    <x v="11"/>
    <x v="1"/>
    <x v="0"/>
    <x v="1"/>
    <x v="0"/>
    <x v="0"/>
    <n v="0.16"/>
    <x v="0"/>
    <n v="0.1212"/>
    <n v="0.4"/>
    <n v="0.52239999999999998"/>
    <x v="4"/>
    <x v="12"/>
    <x v="99"/>
  </r>
  <r>
    <n v="198"/>
    <x v="8"/>
    <x v="0"/>
    <x v="0"/>
    <x v="0"/>
    <x v="12"/>
    <x v="2"/>
    <x v="0"/>
    <x v="1"/>
    <x v="0"/>
    <x v="0"/>
    <n v="0.18"/>
    <x v="0"/>
    <n v="0.13639999999999999"/>
    <n v="0.37"/>
    <n v="0.44779999999999998"/>
    <x v="17"/>
    <x v="55"/>
    <x v="56"/>
  </r>
  <r>
    <n v="199"/>
    <x v="8"/>
    <x v="0"/>
    <x v="0"/>
    <x v="0"/>
    <x v="13"/>
    <x v="2"/>
    <x v="0"/>
    <x v="1"/>
    <x v="0"/>
    <x v="0"/>
    <n v="0.2"/>
    <x v="0"/>
    <n v="0.16669999999999999"/>
    <n v="0.34"/>
    <n v="0.44779999999999998"/>
    <x v="15"/>
    <x v="94"/>
    <x v="28"/>
  </r>
  <r>
    <n v="200"/>
    <x v="8"/>
    <x v="0"/>
    <x v="0"/>
    <x v="0"/>
    <x v="14"/>
    <x v="2"/>
    <x v="0"/>
    <x v="1"/>
    <x v="0"/>
    <x v="0"/>
    <n v="0.22"/>
    <x v="0"/>
    <n v="0.18179999999999999"/>
    <n v="0.32"/>
    <n v="0.4627"/>
    <x v="1"/>
    <x v="27"/>
    <x v="44"/>
  </r>
  <r>
    <n v="201"/>
    <x v="8"/>
    <x v="0"/>
    <x v="0"/>
    <x v="0"/>
    <x v="15"/>
    <x v="2"/>
    <x v="0"/>
    <x v="1"/>
    <x v="0"/>
    <x v="0"/>
    <n v="0.22"/>
    <x v="0"/>
    <n v="0.19700000000000001"/>
    <n v="0.35"/>
    <n v="0.35820000000000002"/>
    <x v="2"/>
    <x v="99"/>
    <x v="100"/>
  </r>
  <r>
    <n v="202"/>
    <x v="8"/>
    <x v="0"/>
    <x v="0"/>
    <x v="0"/>
    <x v="16"/>
    <x v="2"/>
    <x v="0"/>
    <x v="1"/>
    <x v="0"/>
    <x v="0"/>
    <n v="0.2"/>
    <x v="0"/>
    <n v="0.16669999999999999"/>
    <n v="0.34"/>
    <n v="0.44779999999999998"/>
    <x v="23"/>
    <x v="55"/>
    <x v="101"/>
  </r>
  <r>
    <n v="203"/>
    <x v="8"/>
    <x v="0"/>
    <x v="0"/>
    <x v="0"/>
    <x v="17"/>
    <x v="2"/>
    <x v="0"/>
    <x v="1"/>
    <x v="0"/>
    <x v="0"/>
    <n v="0.18"/>
    <x v="0"/>
    <n v="0.1515"/>
    <n v="0.37"/>
    <n v="0.3881"/>
    <x v="0"/>
    <x v="79"/>
    <x v="69"/>
  </r>
  <r>
    <n v="204"/>
    <x v="8"/>
    <x v="0"/>
    <x v="0"/>
    <x v="0"/>
    <x v="18"/>
    <x v="3"/>
    <x v="0"/>
    <x v="1"/>
    <x v="0"/>
    <x v="0"/>
    <n v="0.16"/>
    <x v="0"/>
    <n v="0.13639999999999999"/>
    <n v="0.4"/>
    <n v="0.32840000000000003"/>
    <x v="17"/>
    <x v="100"/>
    <x v="61"/>
  </r>
  <r>
    <n v="205"/>
    <x v="8"/>
    <x v="0"/>
    <x v="0"/>
    <x v="0"/>
    <x v="19"/>
    <x v="3"/>
    <x v="0"/>
    <x v="1"/>
    <x v="0"/>
    <x v="0"/>
    <n v="0.16"/>
    <x v="0"/>
    <n v="0.13639999999999999"/>
    <n v="0.43"/>
    <n v="0.32840000000000003"/>
    <x v="5"/>
    <x v="71"/>
    <x v="102"/>
  </r>
  <r>
    <n v="206"/>
    <x v="8"/>
    <x v="0"/>
    <x v="0"/>
    <x v="0"/>
    <x v="20"/>
    <x v="3"/>
    <x v="0"/>
    <x v="1"/>
    <x v="0"/>
    <x v="0"/>
    <n v="0.14000000000000001"/>
    <x v="4"/>
    <n v="0.1212"/>
    <n v="0.46"/>
    <n v="0.25369999999999998"/>
    <x v="3"/>
    <x v="101"/>
    <x v="103"/>
  </r>
  <r>
    <n v="207"/>
    <x v="8"/>
    <x v="0"/>
    <x v="0"/>
    <x v="0"/>
    <x v="21"/>
    <x v="3"/>
    <x v="0"/>
    <x v="1"/>
    <x v="0"/>
    <x v="0"/>
    <n v="0.14000000000000001"/>
    <x v="4"/>
    <n v="0.1061"/>
    <n v="0.46"/>
    <n v="0.41789999999999999"/>
    <x v="5"/>
    <x v="23"/>
    <x v="25"/>
  </r>
  <r>
    <n v="208"/>
    <x v="8"/>
    <x v="0"/>
    <x v="0"/>
    <x v="0"/>
    <x v="22"/>
    <x v="3"/>
    <x v="0"/>
    <x v="1"/>
    <x v="0"/>
    <x v="0"/>
    <n v="0.14000000000000001"/>
    <x v="4"/>
    <n v="0.1212"/>
    <n v="0.46"/>
    <n v="0.29849999999999999"/>
    <x v="2"/>
    <x v="3"/>
    <x v="93"/>
  </r>
  <r>
    <n v="209"/>
    <x v="8"/>
    <x v="0"/>
    <x v="0"/>
    <x v="0"/>
    <x v="23"/>
    <x v="3"/>
    <x v="0"/>
    <x v="1"/>
    <x v="0"/>
    <x v="0"/>
    <n v="0.12"/>
    <x v="4"/>
    <n v="0.13639999999999999"/>
    <n v="0.5"/>
    <n v="0.19400000000000001"/>
    <x v="3"/>
    <x v="8"/>
    <x v="24"/>
  </r>
  <r>
    <n v="210"/>
    <x v="9"/>
    <x v="0"/>
    <x v="0"/>
    <x v="0"/>
    <x v="0"/>
    <x v="0"/>
    <x v="0"/>
    <x v="2"/>
    <x v="1"/>
    <x v="0"/>
    <n v="0.12"/>
    <x v="4"/>
    <n v="0.1212"/>
    <n v="0.5"/>
    <n v="0.28360000000000002"/>
    <x v="4"/>
    <x v="35"/>
    <x v="36"/>
  </r>
  <r>
    <n v="211"/>
    <x v="9"/>
    <x v="0"/>
    <x v="0"/>
    <x v="0"/>
    <x v="1"/>
    <x v="0"/>
    <x v="0"/>
    <x v="2"/>
    <x v="1"/>
    <x v="0"/>
    <n v="0.12"/>
    <x v="4"/>
    <n v="0.1212"/>
    <n v="0.5"/>
    <n v="0.28360000000000002"/>
    <x v="5"/>
    <x v="5"/>
    <x v="4"/>
  </r>
  <r>
    <n v="212"/>
    <x v="9"/>
    <x v="0"/>
    <x v="0"/>
    <x v="0"/>
    <x v="2"/>
    <x v="0"/>
    <x v="0"/>
    <x v="2"/>
    <x v="1"/>
    <x v="0"/>
    <n v="0.12"/>
    <x v="4"/>
    <n v="0.1212"/>
    <n v="0.5"/>
    <n v="0.22389999999999999"/>
    <x v="3"/>
    <x v="35"/>
    <x v="6"/>
  </r>
  <r>
    <n v="213"/>
    <x v="9"/>
    <x v="0"/>
    <x v="0"/>
    <x v="0"/>
    <x v="3"/>
    <x v="0"/>
    <x v="0"/>
    <x v="2"/>
    <x v="1"/>
    <x v="0"/>
    <n v="0.12"/>
    <x v="4"/>
    <n v="0.1212"/>
    <n v="0.5"/>
    <n v="0.22389999999999999"/>
    <x v="3"/>
    <x v="4"/>
    <x v="4"/>
  </r>
  <r>
    <n v="214"/>
    <x v="9"/>
    <x v="0"/>
    <x v="0"/>
    <x v="0"/>
    <x v="4"/>
    <x v="0"/>
    <x v="0"/>
    <x v="2"/>
    <x v="1"/>
    <x v="0"/>
    <n v="0.1"/>
    <x v="4"/>
    <n v="0.1212"/>
    <n v="0.54"/>
    <n v="0.1343"/>
    <x v="5"/>
    <x v="6"/>
    <x v="6"/>
  </r>
  <r>
    <n v="215"/>
    <x v="9"/>
    <x v="0"/>
    <x v="0"/>
    <x v="0"/>
    <x v="5"/>
    <x v="0"/>
    <x v="0"/>
    <x v="2"/>
    <x v="1"/>
    <x v="0"/>
    <n v="0.1"/>
    <x v="4"/>
    <n v="0.1061"/>
    <n v="0.54"/>
    <n v="0.25369999999999998"/>
    <x v="3"/>
    <x v="35"/>
    <x v="6"/>
  </r>
  <r>
    <n v="216"/>
    <x v="9"/>
    <x v="0"/>
    <x v="0"/>
    <x v="0"/>
    <x v="6"/>
    <x v="1"/>
    <x v="0"/>
    <x v="2"/>
    <x v="1"/>
    <x v="0"/>
    <n v="0.12"/>
    <x v="4"/>
    <n v="0.1212"/>
    <n v="0.5"/>
    <n v="0.28360000000000002"/>
    <x v="3"/>
    <x v="17"/>
    <x v="35"/>
  </r>
  <r>
    <n v="217"/>
    <x v="9"/>
    <x v="0"/>
    <x v="0"/>
    <x v="0"/>
    <x v="7"/>
    <x v="1"/>
    <x v="0"/>
    <x v="2"/>
    <x v="1"/>
    <x v="0"/>
    <n v="0.12"/>
    <x v="4"/>
    <n v="0.1212"/>
    <n v="0.5"/>
    <n v="0.22389999999999999"/>
    <x v="4"/>
    <x v="102"/>
    <x v="43"/>
  </r>
  <r>
    <n v="218"/>
    <x v="9"/>
    <x v="0"/>
    <x v="0"/>
    <x v="0"/>
    <x v="8"/>
    <x v="1"/>
    <x v="0"/>
    <x v="2"/>
    <x v="1"/>
    <x v="1"/>
    <n v="0.12"/>
    <x v="4"/>
    <n v="0.1212"/>
    <n v="0.5"/>
    <n v="0.28360000000000002"/>
    <x v="17"/>
    <x v="103"/>
    <x v="104"/>
  </r>
  <r>
    <n v="219"/>
    <x v="9"/>
    <x v="0"/>
    <x v="0"/>
    <x v="0"/>
    <x v="9"/>
    <x v="1"/>
    <x v="0"/>
    <x v="2"/>
    <x v="1"/>
    <x v="1"/>
    <n v="0.14000000000000001"/>
    <x v="4"/>
    <n v="0.1212"/>
    <n v="0.5"/>
    <n v="0.25369999999999998"/>
    <x v="4"/>
    <x v="50"/>
    <x v="12"/>
  </r>
  <r>
    <n v="220"/>
    <x v="9"/>
    <x v="0"/>
    <x v="0"/>
    <x v="0"/>
    <x v="10"/>
    <x v="1"/>
    <x v="0"/>
    <x v="2"/>
    <x v="1"/>
    <x v="1"/>
    <n v="0.14000000000000001"/>
    <x v="4"/>
    <n v="0.1212"/>
    <n v="0.5"/>
    <n v="0.29849999999999999"/>
    <x v="3"/>
    <x v="17"/>
    <x v="35"/>
  </r>
  <r>
    <n v="221"/>
    <x v="9"/>
    <x v="0"/>
    <x v="0"/>
    <x v="0"/>
    <x v="11"/>
    <x v="1"/>
    <x v="0"/>
    <x v="2"/>
    <x v="1"/>
    <x v="1"/>
    <n v="0.16"/>
    <x v="0"/>
    <n v="0.13639999999999999"/>
    <n v="0.47"/>
    <n v="0.28360000000000002"/>
    <x v="4"/>
    <x v="95"/>
    <x v="33"/>
  </r>
  <r>
    <n v="222"/>
    <x v="9"/>
    <x v="0"/>
    <x v="0"/>
    <x v="0"/>
    <x v="12"/>
    <x v="2"/>
    <x v="0"/>
    <x v="2"/>
    <x v="1"/>
    <x v="1"/>
    <n v="0.2"/>
    <x v="0"/>
    <n v="0.18179999999999999"/>
    <n v="0.4"/>
    <n v="0.28360000000000002"/>
    <x v="2"/>
    <x v="12"/>
    <x v="46"/>
  </r>
  <r>
    <n v="223"/>
    <x v="9"/>
    <x v="0"/>
    <x v="0"/>
    <x v="0"/>
    <x v="13"/>
    <x v="2"/>
    <x v="0"/>
    <x v="2"/>
    <x v="1"/>
    <x v="1"/>
    <n v="0.2"/>
    <x v="0"/>
    <n v="0.18179999999999999"/>
    <n v="0.4"/>
    <n v="0.28360000000000002"/>
    <x v="17"/>
    <x v="54"/>
    <x v="60"/>
  </r>
  <r>
    <n v="224"/>
    <x v="9"/>
    <x v="0"/>
    <x v="0"/>
    <x v="0"/>
    <x v="14"/>
    <x v="2"/>
    <x v="0"/>
    <x v="2"/>
    <x v="1"/>
    <x v="1"/>
    <n v="0.2"/>
    <x v="0"/>
    <n v="0.19700000000000001"/>
    <n v="0.4"/>
    <n v="0.22389999999999999"/>
    <x v="3"/>
    <x v="12"/>
    <x v="105"/>
  </r>
  <r>
    <n v="225"/>
    <x v="9"/>
    <x v="0"/>
    <x v="0"/>
    <x v="0"/>
    <x v="15"/>
    <x v="2"/>
    <x v="0"/>
    <x v="2"/>
    <x v="1"/>
    <x v="1"/>
    <n v="0.2"/>
    <x v="0"/>
    <n v="0.19700000000000001"/>
    <n v="0.4"/>
    <n v="0.22389999999999999"/>
    <x v="4"/>
    <x v="30"/>
    <x v="79"/>
  </r>
  <r>
    <n v="226"/>
    <x v="9"/>
    <x v="0"/>
    <x v="0"/>
    <x v="0"/>
    <x v="16"/>
    <x v="2"/>
    <x v="0"/>
    <x v="2"/>
    <x v="1"/>
    <x v="0"/>
    <n v="0.2"/>
    <x v="0"/>
    <n v="0.21210000000000001"/>
    <n v="0.4"/>
    <n v="0.1343"/>
    <x v="17"/>
    <x v="14"/>
    <x v="30"/>
  </r>
  <r>
    <n v="227"/>
    <x v="9"/>
    <x v="0"/>
    <x v="0"/>
    <x v="0"/>
    <x v="17"/>
    <x v="2"/>
    <x v="0"/>
    <x v="2"/>
    <x v="1"/>
    <x v="0"/>
    <n v="0.2"/>
    <x v="0"/>
    <n v="0.2273"/>
    <n v="0.4"/>
    <n v="0.1045"/>
    <x v="17"/>
    <x v="104"/>
    <x v="106"/>
  </r>
  <r>
    <n v="228"/>
    <x v="9"/>
    <x v="0"/>
    <x v="0"/>
    <x v="0"/>
    <x v="18"/>
    <x v="3"/>
    <x v="0"/>
    <x v="2"/>
    <x v="1"/>
    <x v="0"/>
    <n v="0.2"/>
    <x v="0"/>
    <n v="0.19700000000000001"/>
    <n v="0.4"/>
    <n v="0.22389999999999999"/>
    <x v="5"/>
    <x v="105"/>
    <x v="107"/>
  </r>
  <r>
    <n v="229"/>
    <x v="9"/>
    <x v="0"/>
    <x v="0"/>
    <x v="0"/>
    <x v="19"/>
    <x v="3"/>
    <x v="0"/>
    <x v="2"/>
    <x v="1"/>
    <x v="0"/>
    <n v="0.16"/>
    <x v="0"/>
    <n v="0.16669999999999999"/>
    <n v="0.47"/>
    <n v="0.16420000000000001"/>
    <x v="0"/>
    <x v="50"/>
    <x v="76"/>
  </r>
  <r>
    <n v="230"/>
    <x v="9"/>
    <x v="0"/>
    <x v="0"/>
    <x v="0"/>
    <x v="20"/>
    <x v="3"/>
    <x v="0"/>
    <x v="2"/>
    <x v="1"/>
    <x v="0"/>
    <n v="0.16"/>
    <x v="0"/>
    <n v="0.16669999999999999"/>
    <n v="0.5"/>
    <n v="0.16420000000000001"/>
    <x v="5"/>
    <x v="26"/>
    <x v="30"/>
  </r>
  <r>
    <n v="231"/>
    <x v="9"/>
    <x v="0"/>
    <x v="0"/>
    <x v="0"/>
    <x v="21"/>
    <x v="3"/>
    <x v="0"/>
    <x v="2"/>
    <x v="1"/>
    <x v="0"/>
    <n v="0.14000000000000001"/>
    <x v="4"/>
    <n v="0.13639999999999999"/>
    <n v="0.59"/>
    <n v="0.19400000000000001"/>
    <x v="5"/>
    <x v="53"/>
    <x v="103"/>
  </r>
  <r>
    <n v="232"/>
    <x v="9"/>
    <x v="0"/>
    <x v="0"/>
    <x v="0"/>
    <x v="22"/>
    <x v="3"/>
    <x v="0"/>
    <x v="2"/>
    <x v="1"/>
    <x v="0"/>
    <n v="0.14000000000000001"/>
    <x v="4"/>
    <n v="0.1515"/>
    <n v="0.59"/>
    <n v="0.16420000000000001"/>
    <x v="4"/>
    <x v="97"/>
    <x v="108"/>
  </r>
  <r>
    <n v="233"/>
    <x v="9"/>
    <x v="0"/>
    <x v="0"/>
    <x v="0"/>
    <x v="23"/>
    <x v="3"/>
    <x v="0"/>
    <x v="2"/>
    <x v="1"/>
    <x v="0"/>
    <n v="0.14000000000000001"/>
    <x v="4"/>
    <n v="0.1515"/>
    <n v="0.59"/>
    <n v="0.16420000000000001"/>
    <x v="3"/>
    <x v="72"/>
    <x v="109"/>
  </r>
  <r>
    <n v="234"/>
    <x v="10"/>
    <x v="0"/>
    <x v="0"/>
    <x v="0"/>
    <x v="0"/>
    <x v="0"/>
    <x v="0"/>
    <x v="3"/>
    <x v="1"/>
    <x v="0"/>
    <n v="0.14000000000000001"/>
    <x v="4"/>
    <n v="0.16669999999999999"/>
    <n v="0.59"/>
    <n v="0.1045"/>
    <x v="4"/>
    <x v="3"/>
    <x v="47"/>
  </r>
  <r>
    <n v="235"/>
    <x v="10"/>
    <x v="0"/>
    <x v="0"/>
    <x v="0"/>
    <x v="1"/>
    <x v="0"/>
    <x v="0"/>
    <x v="3"/>
    <x v="1"/>
    <x v="0"/>
    <n v="0.14000000000000001"/>
    <x v="4"/>
    <n v="0.1515"/>
    <n v="0.59"/>
    <n v="0.16420000000000001"/>
    <x v="3"/>
    <x v="35"/>
    <x v="6"/>
  </r>
  <r>
    <n v="236"/>
    <x v="10"/>
    <x v="0"/>
    <x v="0"/>
    <x v="0"/>
    <x v="2"/>
    <x v="0"/>
    <x v="0"/>
    <x v="3"/>
    <x v="1"/>
    <x v="1"/>
    <n v="0.16"/>
    <x v="0"/>
    <n v="0.1515"/>
    <n v="0.55000000000000004"/>
    <n v="0.19400000000000001"/>
    <x v="3"/>
    <x v="35"/>
    <x v="6"/>
  </r>
  <r>
    <n v="237"/>
    <x v="10"/>
    <x v="0"/>
    <x v="0"/>
    <x v="0"/>
    <x v="5"/>
    <x v="0"/>
    <x v="0"/>
    <x v="3"/>
    <x v="1"/>
    <x v="1"/>
    <n v="0.16"/>
    <x v="0"/>
    <n v="0.18179999999999999"/>
    <n v="0.55000000000000004"/>
    <n v="0.1343"/>
    <x v="3"/>
    <x v="8"/>
    <x v="24"/>
  </r>
  <r>
    <n v="238"/>
    <x v="10"/>
    <x v="0"/>
    <x v="0"/>
    <x v="0"/>
    <x v="6"/>
    <x v="1"/>
    <x v="0"/>
    <x v="3"/>
    <x v="1"/>
    <x v="1"/>
    <n v="0.16"/>
    <x v="0"/>
    <n v="0.18179999999999999"/>
    <n v="0.55000000000000004"/>
    <n v="0.1343"/>
    <x v="3"/>
    <x v="2"/>
    <x v="110"/>
  </r>
  <r>
    <n v="239"/>
    <x v="10"/>
    <x v="0"/>
    <x v="0"/>
    <x v="0"/>
    <x v="7"/>
    <x v="1"/>
    <x v="0"/>
    <x v="3"/>
    <x v="1"/>
    <x v="1"/>
    <n v="0.16"/>
    <x v="0"/>
    <n v="0.2273"/>
    <n v="0.55000000000000004"/>
    <n v="0"/>
    <x v="4"/>
    <x v="106"/>
    <x v="111"/>
  </r>
  <r>
    <n v="240"/>
    <x v="10"/>
    <x v="0"/>
    <x v="0"/>
    <x v="0"/>
    <x v="8"/>
    <x v="1"/>
    <x v="0"/>
    <x v="3"/>
    <x v="1"/>
    <x v="1"/>
    <n v="0.18"/>
    <x v="0"/>
    <n v="0.21210000000000001"/>
    <n v="0.51"/>
    <n v="8.9599999999999999E-2"/>
    <x v="0"/>
    <x v="107"/>
    <x v="112"/>
  </r>
  <r>
    <n v="241"/>
    <x v="10"/>
    <x v="0"/>
    <x v="0"/>
    <x v="0"/>
    <x v="9"/>
    <x v="1"/>
    <x v="0"/>
    <x v="3"/>
    <x v="1"/>
    <x v="1"/>
    <n v="0.18"/>
    <x v="0"/>
    <n v="0.19700000000000001"/>
    <n v="0.51"/>
    <n v="0.16420000000000001"/>
    <x v="0"/>
    <x v="69"/>
    <x v="113"/>
  </r>
  <r>
    <n v="242"/>
    <x v="10"/>
    <x v="0"/>
    <x v="0"/>
    <x v="0"/>
    <x v="10"/>
    <x v="1"/>
    <x v="0"/>
    <x v="3"/>
    <x v="1"/>
    <x v="1"/>
    <n v="0.2"/>
    <x v="0"/>
    <n v="0.21210000000000001"/>
    <n v="0.51"/>
    <n v="0.16420000000000001"/>
    <x v="0"/>
    <x v="82"/>
    <x v="60"/>
  </r>
  <r>
    <n v="243"/>
    <x v="10"/>
    <x v="0"/>
    <x v="0"/>
    <x v="0"/>
    <x v="11"/>
    <x v="1"/>
    <x v="0"/>
    <x v="3"/>
    <x v="1"/>
    <x v="1"/>
    <n v="0.2"/>
    <x v="0"/>
    <n v="0.21210000000000001"/>
    <n v="0.47"/>
    <n v="0.1343"/>
    <x v="17"/>
    <x v="17"/>
    <x v="17"/>
  </r>
  <r>
    <n v="244"/>
    <x v="10"/>
    <x v="0"/>
    <x v="0"/>
    <x v="0"/>
    <x v="12"/>
    <x v="2"/>
    <x v="0"/>
    <x v="3"/>
    <x v="1"/>
    <x v="1"/>
    <n v="0.2"/>
    <x v="0"/>
    <n v="0.2273"/>
    <n v="0.51"/>
    <n v="0.1045"/>
    <x v="4"/>
    <x v="11"/>
    <x v="52"/>
  </r>
  <r>
    <n v="245"/>
    <x v="10"/>
    <x v="0"/>
    <x v="0"/>
    <x v="0"/>
    <x v="13"/>
    <x v="2"/>
    <x v="0"/>
    <x v="3"/>
    <x v="1"/>
    <x v="1"/>
    <n v="0.2"/>
    <x v="0"/>
    <n v="0.2273"/>
    <n v="0.59"/>
    <n v="8.9599999999999999E-2"/>
    <x v="15"/>
    <x v="24"/>
    <x v="46"/>
  </r>
  <r>
    <n v="246"/>
    <x v="10"/>
    <x v="0"/>
    <x v="0"/>
    <x v="0"/>
    <x v="14"/>
    <x v="2"/>
    <x v="0"/>
    <x v="3"/>
    <x v="1"/>
    <x v="1"/>
    <n v="0.2"/>
    <x v="0"/>
    <n v="0.2273"/>
    <n v="0.59"/>
    <n v="8.9599999999999999E-2"/>
    <x v="0"/>
    <x v="91"/>
    <x v="55"/>
  </r>
  <r>
    <n v="247"/>
    <x v="10"/>
    <x v="0"/>
    <x v="0"/>
    <x v="0"/>
    <x v="15"/>
    <x v="2"/>
    <x v="0"/>
    <x v="3"/>
    <x v="1"/>
    <x v="1"/>
    <n v="0.16"/>
    <x v="0"/>
    <n v="0.19700000000000001"/>
    <n v="0.8"/>
    <n v="8.9599999999999999E-2"/>
    <x v="4"/>
    <x v="108"/>
    <x v="105"/>
  </r>
  <r>
    <n v="248"/>
    <x v="10"/>
    <x v="0"/>
    <x v="0"/>
    <x v="0"/>
    <x v="16"/>
    <x v="2"/>
    <x v="0"/>
    <x v="3"/>
    <x v="1"/>
    <x v="1"/>
    <n v="0.16"/>
    <x v="0"/>
    <n v="0.1515"/>
    <n v="0.86"/>
    <n v="0.22389999999999999"/>
    <x v="17"/>
    <x v="109"/>
    <x v="31"/>
  </r>
  <r>
    <n v="249"/>
    <x v="10"/>
    <x v="0"/>
    <x v="0"/>
    <x v="0"/>
    <x v="17"/>
    <x v="2"/>
    <x v="0"/>
    <x v="3"/>
    <x v="1"/>
    <x v="1"/>
    <n v="0.16"/>
    <x v="0"/>
    <n v="0.1515"/>
    <n v="0.86"/>
    <n v="0.22389999999999999"/>
    <x v="15"/>
    <x v="110"/>
    <x v="114"/>
  </r>
  <r>
    <n v="250"/>
    <x v="10"/>
    <x v="0"/>
    <x v="0"/>
    <x v="0"/>
    <x v="18"/>
    <x v="3"/>
    <x v="0"/>
    <x v="3"/>
    <x v="1"/>
    <x v="2"/>
    <n v="0.16"/>
    <x v="0"/>
    <n v="0.18179999999999999"/>
    <n v="0.93"/>
    <n v="0.1045"/>
    <x v="5"/>
    <x v="111"/>
    <x v="76"/>
  </r>
  <r>
    <n v="251"/>
    <x v="10"/>
    <x v="0"/>
    <x v="0"/>
    <x v="0"/>
    <x v="19"/>
    <x v="3"/>
    <x v="0"/>
    <x v="3"/>
    <x v="1"/>
    <x v="2"/>
    <n v="0.16"/>
    <x v="0"/>
    <n v="0.2273"/>
    <n v="0.93"/>
    <n v="0"/>
    <x v="3"/>
    <x v="82"/>
    <x v="41"/>
  </r>
  <r>
    <n v="252"/>
    <x v="10"/>
    <x v="0"/>
    <x v="0"/>
    <x v="0"/>
    <x v="20"/>
    <x v="3"/>
    <x v="0"/>
    <x v="3"/>
    <x v="1"/>
    <x v="2"/>
    <n v="0.16"/>
    <x v="0"/>
    <n v="0.1515"/>
    <n v="0.93"/>
    <n v="0.19400000000000001"/>
    <x v="3"/>
    <x v="1"/>
    <x v="2"/>
  </r>
  <r>
    <n v="253"/>
    <x v="10"/>
    <x v="0"/>
    <x v="0"/>
    <x v="0"/>
    <x v="21"/>
    <x v="3"/>
    <x v="0"/>
    <x v="3"/>
    <x v="1"/>
    <x v="2"/>
    <n v="0.16"/>
    <x v="0"/>
    <n v="0.19700000000000001"/>
    <n v="0.86"/>
    <n v="8.9599999999999999E-2"/>
    <x v="3"/>
    <x v="32"/>
    <x v="25"/>
  </r>
  <r>
    <n v="254"/>
    <x v="10"/>
    <x v="0"/>
    <x v="0"/>
    <x v="0"/>
    <x v="22"/>
    <x v="3"/>
    <x v="0"/>
    <x v="3"/>
    <x v="1"/>
    <x v="2"/>
    <n v="0.16"/>
    <x v="0"/>
    <n v="0.18179999999999999"/>
    <n v="0.93"/>
    <n v="0.1045"/>
    <x v="5"/>
    <x v="95"/>
    <x v="115"/>
  </r>
  <r>
    <n v="255"/>
    <x v="10"/>
    <x v="0"/>
    <x v="0"/>
    <x v="0"/>
    <x v="23"/>
    <x v="3"/>
    <x v="0"/>
    <x v="3"/>
    <x v="1"/>
    <x v="2"/>
    <n v="0.16"/>
    <x v="0"/>
    <n v="0.19700000000000001"/>
    <n v="0.93"/>
    <n v="8.9599999999999999E-2"/>
    <x v="5"/>
    <x v="72"/>
    <x v="75"/>
  </r>
  <r>
    <n v="256"/>
    <x v="11"/>
    <x v="0"/>
    <x v="0"/>
    <x v="0"/>
    <x v="0"/>
    <x v="0"/>
    <x v="0"/>
    <x v="4"/>
    <x v="1"/>
    <x v="1"/>
    <n v="0.16"/>
    <x v="0"/>
    <n v="0.19700000000000001"/>
    <n v="0.86"/>
    <n v="8.9599999999999999E-2"/>
    <x v="3"/>
    <x v="7"/>
    <x v="85"/>
  </r>
  <r>
    <n v="257"/>
    <x v="11"/>
    <x v="0"/>
    <x v="0"/>
    <x v="0"/>
    <x v="1"/>
    <x v="0"/>
    <x v="0"/>
    <x v="4"/>
    <x v="1"/>
    <x v="1"/>
    <n v="0.16"/>
    <x v="0"/>
    <n v="0.18179999999999999"/>
    <n v="0.86"/>
    <n v="0.1045"/>
    <x v="3"/>
    <x v="8"/>
    <x v="24"/>
  </r>
  <r>
    <n v="258"/>
    <x v="11"/>
    <x v="0"/>
    <x v="0"/>
    <x v="0"/>
    <x v="2"/>
    <x v="0"/>
    <x v="0"/>
    <x v="4"/>
    <x v="1"/>
    <x v="0"/>
    <n v="0.14000000000000001"/>
    <x v="4"/>
    <n v="0.1515"/>
    <n v="0.86"/>
    <n v="0.1343"/>
    <x v="3"/>
    <x v="4"/>
    <x v="4"/>
  </r>
  <r>
    <n v="259"/>
    <x v="11"/>
    <x v="0"/>
    <x v="0"/>
    <x v="0"/>
    <x v="5"/>
    <x v="0"/>
    <x v="0"/>
    <x v="4"/>
    <x v="1"/>
    <x v="0"/>
    <n v="0.14000000000000001"/>
    <x v="4"/>
    <n v="0.1515"/>
    <n v="0.86"/>
    <n v="0.16420000000000001"/>
    <x v="3"/>
    <x v="34"/>
    <x v="36"/>
  </r>
  <r>
    <n v="260"/>
    <x v="11"/>
    <x v="0"/>
    <x v="0"/>
    <x v="0"/>
    <x v="6"/>
    <x v="1"/>
    <x v="0"/>
    <x v="4"/>
    <x v="1"/>
    <x v="0"/>
    <n v="0.12"/>
    <x v="4"/>
    <n v="0.1515"/>
    <n v="0.93"/>
    <n v="0.1343"/>
    <x v="3"/>
    <x v="20"/>
    <x v="0"/>
  </r>
  <r>
    <n v="261"/>
    <x v="11"/>
    <x v="0"/>
    <x v="0"/>
    <x v="0"/>
    <x v="7"/>
    <x v="1"/>
    <x v="0"/>
    <x v="4"/>
    <x v="1"/>
    <x v="0"/>
    <n v="0.14000000000000001"/>
    <x v="4"/>
    <n v="0.1515"/>
    <n v="0.69"/>
    <n v="0.1343"/>
    <x v="3"/>
    <x v="25"/>
    <x v="60"/>
  </r>
  <r>
    <n v="262"/>
    <x v="11"/>
    <x v="0"/>
    <x v="0"/>
    <x v="0"/>
    <x v="8"/>
    <x v="1"/>
    <x v="0"/>
    <x v="4"/>
    <x v="1"/>
    <x v="0"/>
    <n v="0.16"/>
    <x v="0"/>
    <n v="0.16669999999999999"/>
    <n v="0.59"/>
    <n v="0.16420000000000001"/>
    <x v="0"/>
    <x v="85"/>
    <x v="116"/>
  </r>
  <r>
    <n v="263"/>
    <x v="11"/>
    <x v="0"/>
    <x v="0"/>
    <x v="0"/>
    <x v="9"/>
    <x v="1"/>
    <x v="0"/>
    <x v="4"/>
    <x v="1"/>
    <x v="0"/>
    <n v="0.16"/>
    <x v="0"/>
    <n v="0.13639999999999999"/>
    <n v="0.59"/>
    <n v="0.32840000000000003"/>
    <x v="0"/>
    <x v="78"/>
    <x v="117"/>
  </r>
  <r>
    <n v="264"/>
    <x v="11"/>
    <x v="0"/>
    <x v="0"/>
    <x v="0"/>
    <x v="10"/>
    <x v="1"/>
    <x v="0"/>
    <x v="4"/>
    <x v="1"/>
    <x v="0"/>
    <n v="0.18"/>
    <x v="0"/>
    <n v="0.18179999999999999"/>
    <n v="0.55000000000000004"/>
    <n v="0.22389999999999999"/>
    <x v="3"/>
    <x v="87"/>
    <x v="21"/>
  </r>
  <r>
    <n v="265"/>
    <x v="11"/>
    <x v="0"/>
    <x v="0"/>
    <x v="0"/>
    <x v="11"/>
    <x v="1"/>
    <x v="0"/>
    <x v="4"/>
    <x v="1"/>
    <x v="0"/>
    <n v="0.2"/>
    <x v="0"/>
    <n v="0.18179999999999999"/>
    <n v="0.51"/>
    <n v="0.3881"/>
    <x v="0"/>
    <x v="1"/>
    <x v="17"/>
  </r>
  <r>
    <n v="266"/>
    <x v="11"/>
    <x v="0"/>
    <x v="0"/>
    <x v="0"/>
    <x v="12"/>
    <x v="2"/>
    <x v="0"/>
    <x v="4"/>
    <x v="1"/>
    <x v="0"/>
    <n v="0.2"/>
    <x v="0"/>
    <n v="0.1515"/>
    <n v="0.47"/>
    <n v="0.58209999999999995"/>
    <x v="0"/>
    <x v="15"/>
    <x v="97"/>
  </r>
  <r>
    <n v="267"/>
    <x v="11"/>
    <x v="0"/>
    <x v="0"/>
    <x v="0"/>
    <x v="13"/>
    <x v="2"/>
    <x v="0"/>
    <x v="4"/>
    <x v="1"/>
    <x v="0"/>
    <n v="0.22"/>
    <x v="0"/>
    <n v="0.19700000000000001"/>
    <n v="0.44"/>
    <n v="0.35820000000000002"/>
    <x v="3"/>
    <x v="47"/>
    <x v="99"/>
  </r>
  <r>
    <n v="268"/>
    <x v="11"/>
    <x v="0"/>
    <x v="0"/>
    <x v="0"/>
    <x v="14"/>
    <x v="2"/>
    <x v="0"/>
    <x v="4"/>
    <x v="1"/>
    <x v="0"/>
    <n v="0.2"/>
    <x v="0"/>
    <n v="0.18179999999999999"/>
    <n v="0.47"/>
    <n v="0.32840000000000003"/>
    <x v="3"/>
    <x v="100"/>
    <x v="40"/>
  </r>
  <r>
    <n v="269"/>
    <x v="11"/>
    <x v="0"/>
    <x v="0"/>
    <x v="0"/>
    <x v="15"/>
    <x v="2"/>
    <x v="0"/>
    <x v="4"/>
    <x v="1"/>
    <x v="0"/>
    <n v="0.2"/>
    <x v="0"/>
    <n v="0.16669999999999999"/>
    <n v="0.47"/>
    <n v="0.41789999999999999"/>
    <x v="5"/>
    <x v="41"/>
    <x v="99"/>
  </r>
  <r>
    <n v="270"/>
    <x v="11"/>
    <x v="0"/>
    <x v="0"/>
    <x v="0"/>
    <x v="16"/>
    <x v="2"/>
    <x v="0"/>
    <x v="4"/>
    <x v="1"/>
    <x v="0"/>
    <n v="0.22"/>
    <x v="0"/>
    <n v="0.19700000000000001"/>
    <n v="0.44"/>
    <n v="0.32840000000000003"/>
    <x v="2"/>
    <x v="36"/>
    <x v="118"/>
  </r>
  <r>
    <n v="271"/>
    <x v="11"/>
    <x v="0"/>
    <x v="0"/>
    <x v="0"/>
    <x v="17"/>
    <x v="2"/>
    <x v="0"/>
    <x v="4"/>
    <x v="1"/>
    <x v="0"/>
    <n v="0.2"/>
    <x v="0"/>
    <n v="0.18179999999999999"/>
    <n v="0.47"/>
    <n v="0.35820000000000002"/>
    <x v="3"/>
    <x v="112"/>
    <x v="119"/>
  </r>
  <r>
    <n v="272"/>
    <x v="11"/>
    <x v="0"/>
    <x v="0"/>
    <x v="0"/>
    <x v="18"/>
    <x v="3"/>
    <x v="0"/>
    <x v="4"/>
    <x v="1"/>
    <x v="0"/>
    <n v="0.2"/>
    <x v="0"/>
    <n v="0.1515"/>
    <n v="0.47"/>
    <n v="0.52239999999999998"/>
    <x v="4"/>
    <x v="113"/>
    <x v="120"/>
  </r>
  <r>
    <n v="273"/>
    <x v="11"/>
    <x v="0"/>
    <x v="0"/>
    <x v="0"/>
    <x v="19"/>
    <x v="3"/>
    <x v="0"/>
    <x v="4"/>
    <x v="1"/>
    <x v="0"/>
    <n v="0.18"/>
    <x v="0"/>
    <n v="0.1515"/>
    <n v="0.47"/>
    <n v="0.41789999999999999"/>
    <x v="5"/>
    <x v="70"/>
    <x v="56"/>
  </r>
  <r>
    <n v="274"/>
    <x v="11"/>
    <x v="0"/>
    <x v="0"/>
    <x v="0"/>
    <x v="20"/>
    <x v="3"/>
    <x v="0"/>
    <x v="4"/>
    <x v="1"/>
    <x v="0"/>
    <n v="0.16"/>
    <x v="0"/>
    <n v="0.13639999999999999"/>
    <n v="0.5"/>
    <n v="0.32840000000000003"/>
    <x v="4"/>
    <x v="25"/>
    <x v="10"/>
  </r>
  <r>
    <n v="275"/>
    <x v="11"/>
    <x v="0"/>
    <x v="0"/>
    <x v="0"/>
    <x v="21"/>
    <x v="3"/>
    <x v="0"/>
    <x v="4"/>
    <x v="1"/>
    <x v="0"/>
    <n v="0.16"/>
    <x v="0"/>
    <n v="0.13639999999999999"/>
    <n v="0.55000000000000004"/>
    <n v="0.32840000000000003"/>
    <x v="3"/>
    <x v="77"/>
    <x v="52"/>
  </r>
  <r>
    <n v="276"/>
    <x v="11"/>
    <x v="0"/>
    <x v="0"/>
    <x v="0"/>
    <x v="22"/>
    <x v="3"/>
    <x v="0"/>
    <x v="4"/>
    <x v="1"/>
    <x v="0"/>
    <n v="0.16"/>
    <x v="0"/>
    <n v="0.1212"/>
    <n v="0.55000000000000004"/>
    <n v="0.44779999999999998"/>
    <x v="5"/>
    <x v="1"/>
    <x v="63"/>
  </r>
  <r>
    <n v="277"/>
    <x v="11"/>
    <x v="0"/>
    <x v="0"/>
    <x v="0"/>
    <x v="23"/>
    <x v="3"/>
    <x v="0"/>
    <x v="4"/>
    <x v="1"/>
    <x v="0"/>
    <n v="0.14000000000000001"/>
    <x v="4"/>
    <n v="0.1061"/>
    <n v="0.59"/>
    <n v="0.41789999999999999"/>
    <x v="5"/>
    <x v="23"/>
    <x v="25"/>
  </r>
  <r>
    <n v="278"/>
    <x v="12"/>
    <x v="0"/>
    <x v="0"/>
    <x v="0"/>
    <x v="0"/>
    <x v="0"/>
    <x v="0"/>
    <x v="5"/>
    <x v="1"/>
    <x v="0"/>
    <n v="0.14000000000000001"/>
    <x v="4"/>
    <n v="0.1212"/>
    <n v="0.59"/>
    <n v="0.28360000000000002"/>
    <x v="5"/>
    <x v="8"/>
    <x v="85"/>
  </r>
  <r>
    <n v="279"/>
    <x v="12"/>
    <x v="0"/>
    <x v="0"/>
    <x v="0"/>
    <x v="1"/>
    <x v="0"/>
    <x v="0"/>
    <x v="5"/>
    <x v="1"/>
    <x v="0"/>
    <n v="0.14000000000000001"/>
    <x v="4"/>
    <n v="0.1212"/>
    <n v="0.5"/>
    <n v="0.28360000000000002"/>
    <x v="3"/>
    <x v="6"/>
    <x v="5"/>
  </r>
  <r>
    <n v="280"/>
    <x v="12"/>
    <x v="0"/>
    <x v="0"/>
    <x v="0"/>
    <x v="2"/>
    <x v="0"/>
    <x v="0"/>
    <x v="5"/>
    <x v="1"/>
    <x v="0"/>
    <n v="0.14000000000000001"/>
    <x v="4"/>
    <n v="0.1212"/>
    <n v="0.5"/>
    <n v="0.35820000000000002"/>
    <x v="3"/>
    <x v="6"/>
    <x v="5"/>
  </r>
  <r>
    <n v="281"/>
    <x v="12"/>
    <x v="0"/>
    <x v="0"/>
    <x v="0"/>
    <x v="3"/>
    <x v="0"/>
    <x v="0"/>
    <x v="5"/>
    <x v="1"/>
    <x v="0"/>
    <n v="0.14000000000000001"/>
    <x v="4"/>
    <n v="0.1212"/>
    <n v="0.5"/>
    <n v="0.32840000000000003"/>
    <x v="3"/>
    <x v="35"/>
    <x v="6"/>
  </r>
  <r>
    <n v="282"/>
    <x v="12"/>
    <x v="0"/>
    <x v="0"/>
    <x v="0"/>
    <x v="4"/>
    <x v="0"/>
    <x v="0"/>
    <x v="5"/>
    <x v="1"/>
    <x v="0"/>
    <n v="0.14000000000000001"/>
    <x v="4"/>
    <n v="0.1212"/>
    <n v="0.5"/>
    <n v="0.25369999999999998"/>
    <x v="3"/>
    <x v="22"/>
    <x v="48"/>
  </r>
  <r>
    <n v="283"/>
    <x v="12"/>
    <x v="0"/>
    <x v="0"/>
    <x v="0"/>
    <x v="5"/>
    <x v="0"/>
    <x v="0"/>
    <x v="5"/>
    <x v="1"/>
    <x v="0"/>
    <n v="0.14000000000000001"/>
    <x v="4"/>
    <n v="0.1212"/>
    <n v="0.5"/>
    <n v="0.29849999999999999"/>
    <x v="3"/>
    <x v="35"/>
    <x v="6"/>
  </r>
  <r>
    <n v="284"/>
    <x v="12"/>
    <x v="0"/>
    <x v="0"/>
    <x v="0"/>
    <x v="6"/>
    <x v="1"/>
    <x v="0"/>
    <x v="5"/>
    <x v="1"/>
    <x v="0"/>
    <n v="0.12"/>
    <x v="4"/>
    <n v="0.1515"/>
    <n v="0.54"/>
    <n v="0.1343"/>
    <x v="3"/>
    <x v="95"/>
    <x v="20"/>
  </r>
  <r>
    <n v="285"/>
    <x v="12"/>
    <x v="0"/>
    <x v="0"/>
    <x v="0"/>
    <x v="7"/>
    <x v="1"/>
    <x v="0"/>
    <x v="5"/>
    <x v="1"/>
    <x v="0"/>
    <n v="0.12"/>
    <x v="4"/>
    <n v="0.1515"/>
    <n v="0.54"/>
    <n v="0.1343"/>
    <x v="3"/>
    <x v="109"/>
    <x v="44"/>
  </r>
  <r>
    <n v="286"/>
    <x v="12"/>
    <x v="0"/>
    <x v="0"/>
    <x v="0"/>
    <x v="8"/>
    <x v="1"/>
    <x v="0"/>
    <x v="5"/>
    <x v="1"/>
    <x v="0"/>
    <n v="0.14000000000000001"/>
    <x v="4"/>
    <n v="0.13639999999999999"/>
    <n v="0.5"/>
    <n v="0.19400000000000001"/>
    <x v="2"/>
    <x v="114"/>
    <x v="121"/>
  </r>
  <r>
    <n v="287"/>
    <x v="12"/>
    <x v="0"/>
    <x v="0"/>
    <x v="0"/>
    <x v="9"/>
    <x v="1"/>
    <x v="0"/>
    <x v="5"/>
    <x v="1"/>
    <x v="0"/>
    <n v="0.14000000000000001"/>
    <x v="4"/>
    <n v="0.1212"/>
    <n v="0.5"/>
    <n v="0.32840000000000003"/>
    <x v="4"/>
    <x v="115"/>
    <x v="119"/>
  </r>
  <r>
    <n v="288"/>
    <x v="12"/>
    <x v="0"/>
    <x v="0"/>
    <x v="0"/>
    <x v="10"/>
    <x v="1"/>
    <x v="0"/>
    <x v="5"/>
    <x v="1"/>
    <x v="1"/>
    <n v="0.16"/>
    <x v="0"/>
    <n v="0.13639999999999999"/>
    <n v="0.5"/>
    <n v="0.35820000000000002"/>
    <x v="4"/>
    <x v="49"/>
    <x v="103"/>
  </r>
  <r>
    <n v="289"/>
    <x v="12"/>
    <x v="0"/>
    <x v="0"/>
    <x v="0"/>
    <x v="11"/>
    <x v="1"/>
    <x v="0"/>
    <x v="5"/>
    <x v="1"/>
    <x v="1"/>
    <n v="0.2"/>
    <x v="0"/>
    <n v="0.16669999999999999"/>
    <n v="0.44"/>
    <n v="0.44779999999999998"/>
    <x v="17"/>
    <x v="39"/>
    <x v="18"/>
  </r>
  <r>
    <n v="290"/>
    <x v="12"/>
    <x v="0"/>
    <x v="0"/>
    <x v="0"/>
    <x v="12"/>
    <x v="2"/>
    <x v="0"/>
    <x v="5"/>
    <x v="1"/>
    <x v="0"/>
    <n v="0.2"/>
    <x v="0"/>
    <n v="0.16669999999999999"/>
    <n v="0.44"/>
    <n v="0.41789999999999999"/>
    <x v="0"/>
    <x v="47"/>
    <x v="46"/>
  </r>
  <r>
    <n v="291"/>
    <x v="12"/>
    <x v="0"/>
    <x v="0"/>
    <x v="0"/>
    <x v="13"/>
    <x v="2"/>
    <x v="0"/>
    <x v="5"/>
    <x v="1"/>
    <x v="0"/>
    <n v="0.22"/>
    <x v="0"/>
    <n v="0.19700000000000001"/>
    <n v="0.41"/>
    <n v="0.44779999999999998"/>
    <x v="4"/>
    <x v="38"/>
    <x v="56"/>
  </r>
  <r>
    <n v="292"/>
    <x v="12"/>
    <x v="0"/>
    <x v="0"/>
    <x v="0"/>
    <x v="14"/>
    <x v="2"/>
    <x v="0"/>
    <x v="5"/>
    <x v="1"/>
    <x v="0"/>
    <n v="0.22"/>
    <x v="0"/>
    <n v="0.19700000000000001"/>
    <n v="0.41"/>
    <n v="0.3881"/>
    <x v="0"/>
    <x v="87"/>
    <x v="51"/>
  </r>
  <r>
    <n v="293"/>
    <x v="12"/>
    <x v="0"/>
    <x v="0"/>
    <x v="0"/>
    <x v="15"/>
    <x v="2"/>
    <x v="0"/>
    <x v="5"/>
    <x v="1"/>
    <x v="0"/>
    <n v="0.24"/>
    <x v="0"/>
    <n v="0.21210000000000001"/>
    <n v="0.38"/>
    <n v="0.29849999999999999"/>
    <x v="2"/>
    <x v="11"/>
    <x v="122"/>
  </r>
  <r>
    <n v="294"/>
    <x v="12"/>
    <x v="0"/>
    <x v="0"/>
    <x v="0"/>
    <x v="16"/>
    <x v="2"/>
    <x v="0"/>
    <x v="5"/>
    <x v="1"/>
    <x v="0"/>
    <n v="0.24"/>
    <x v="0"/>
    <n v="0.21210000000000001"/>
    <n v="0.38"/>
    <n v="0.35820000000000002"/>
    <x v="4"/>
    <x v="83"/>
    <x v="53"/>
  </r>
  <r>
    <n v="295"/>
    <x v="12"/>
    <x v="0"/>
    <x v="0"/>
    <x v="0"/>
    <x v="17"/>
    <x v="2"/>
    <x v="0"/>
    <x v="5"/>
    <x v="1"/>
    <x v="0"/>
    <n v="0.2"/>
    <x v="0"/>
    <n v="0.18179999999999999"/>
    <n v="0.4"/>
    <n v="0.28360000000000002"/>
    <x v="17"/>
    <x v="81"/>
    <x v="123"/>
  </r>
  <r>
    <n v="296"/>
    <x v="12"/>
    <x v="0"/>
    <x v="0"/>
    <x v="0"/>
    <x v="18"/>
    <x v="3"/>
    <x v="0"/>
    <x v="5"/>
    <x v="1"/>
    <x v="0"/>
    <n v="0.2"/>
    <x v="0"/>
    <n v="0.18179999999999999"/>
    <n v="0.4"/>
    <n v="0.32840000000000003"/>
    <x v="0"/>
    <x v="116"/>
    <x v="124"/>
  </r>
  <r>
    <n v="297"/>
    <x v="12"/>
    <x v="0"/>
    <x v="0"/>
    <x v="0"/>
    <x v="19"/>
    <x v="3"/>
    <x v="0"/>
    <x v="5"/>
    <x v="1"/>
    <x v="0"/>
    <n v="0.16"/>
    <x v="0"/>
    <n v="0.1515"/>
    <n v="0.47"/>
    <n v="0.25369999999999998"/>
    <x v="5"/>
    <x v="52"/>
    <x v="111"/>
  </r>
  <r>
    <n v="298"/>
    <x v="12"/>
    <x v="0"/>
    <x v="0"/>
    <x v="0"/>
    <x v="20"/>
    <x v="3"/>
    <x v="0"/>
    <x v="5"/>
    <x v="1"/>
    <x v="0"/>
    <n v="0.16"/>
    <x v="0"/>
    <n v="0.1515"/>
    <n v="0.47"/>
    <n v="0.22389999999999999"/>
    <x v="3"/>
    <x v="27"/>
    <x v="37"/>
  </r>
  <r>
    <n v="299"/>
    <x v="12"/>
    <x v="0"/>
    <x v="0"/>
    <x v="0"/>
    <x v="21"/>
    <x v="3"/>
    <x v="0"/>
    <x v="5"/>
    <x v="1"/>
    <x v="0"/>
    <n v="0.14000000000000001"/>
    <x v="4"/>
    <n v="0.1212"/>
    <n v="0.46"/>
    <n v="0.29849999999999999"/>
    <x v="3"/>
    <x v="71"/>
    <x v="1"/>
  </r>
  <r>
    <n v="300"/>
    <x v="12"/>
    <x v="0"/>
    <x v="0"/>
    <x v="0"/>
    <x v="22"/>
    <x v="3"/>
    <x v="0"/>
    <x v="5"/>
    <x v="1"/>
    <x v="0"/>
    <n v="0.14000000000000001"/>
    <x v="4"/>
    <n v="0.1212"/>
    <n v="0.46"/>
    <n v="0.32840000000000003"/>
    <x v="3"/>
    <x v="10"/>
    <x v="33"/>
  </r>
  <r>
    <n v="301"/>
    <x v="12"/>
    <x v="0"/>
    <x v="0"/>
    <x v="0"/>
    <x v="23"/>
    <x v="3"/>
    <x v="0"/>
    <x v="5"/>
    <x v="1"/>
    <x v="0"/>
    <n v="0.12"/>
    <x v="4"/>
    <n v="0.13639999999999999"/>
    <n v="0.5"/>
    <n v="0.19400000000000001"/>
    <x v="5"/>
    <x v="88"/>
    <x v="93"/>
  </r>
  <r>
    <n v="302"/>
    <x v="13"/>
    <x v="0"/>
    <x v="0"/>
    <x v="0"/>
    <x v="0"/>
    <x v="0"/>
    <x v="0"/>
    <x v="6"/>
    <x v="1"/>
    <x v="0"/>
    <n v="0.12"/>
    <x v="4"/>
    <n v="0.13639999999999999"/>
    <n v="0.5"/>
    <n v="0.19400000000000001"/>
    <x v="3"/>
    <x v="88"/>
    <x v="8"/>
  </r>
  <r>
    <n v="303"/>
    <x v="13"/>
    <x v="0"/>
    <x v="0"/>
    <x v="0"/>
    <x v="1"/>
    <x v="0"/>
    <x v="0"/>
    <x v="6"/>
    <x v="1"/>
    <x v="0"/>
    <n v="0.1"/>
    <x v="4"/>
    <n v="0.1212"/>
    <n v="0.54"/>
    <n v="0.16420000000000001"/>
    <x v="3"/>
    <x v="34"/>
    <x v="36"/>
  </r>
  <r>
    <n v="304"/>
    <x v="13"/>
    <x v="0"/>
    <x v="0"/>
    <x v="0"/>
    <x v="2"/>
    <x v="0"/>
    <x v="0"/>
    <x v="6"/>
    <x v="1"/>
    <x v="0"/>
    <n v="0.1"/>
    <x v="4"/>
    <n v="0.1212"/>
    <n v="0.54"/>
    <n v="0.1343"/>
    <x v="3"/>
    <x v="4"/>
    <x v="4"/>
  </r>
  <r>
    <n v="305"/>
    <x v="13"/>
    <x v="0"/>
    <x v="0"/>
    <x v="0"/>
    <x v="3"/>
    <x v="0"/>
    <x v="0"/>
    <x v="6"/>
    <x v="1"/>
    <x v="0"/>
    <n v="0.1"/>
    <x v="4"/>
    <n v="0.13639999999999999"/>
    <n v="0.54"/>
    <n v="0.1045"/>
    <x v="3"/>
    <x v="4"/>
    <x v="4"/>
  </r>
  <r>
    <n v="306"/>
    <x v="13"/>
    <x v="0"/>
    <x v="0"/>
    <x v="0"/>
    <x v="5"/>
    <x v="0"/>
    <x v="0"/>
    <x v="6"/>
    <x v="1"/>
    <x v="0"/>
    <n v="0.1"/>
    <x v="4"/>
    <n v="0.13639999999999999"/>
    <n v="0.54"/>
    <n v="8.9599999999999999E-2"/>
    <x v="3"/>
    <x v="21"/>
    <x v="7"/>
  </r>
  <r>
    <n v="307"/>
    <x v="13"/>
    <x v="0"/>
    <x v="0"/>
    <x v="0"/>
    <x v="6"/>
    <x v="1"/>
    <x v="0"/>
    <x v="6"/>
    <x v="1"/>
    <x v="0"/>
    <n v="0.1"/>
    <x v="4"/>
    <n v="0.18179999999999999"/>
    <n v="0.54"/>
    <n v="0"/>
    <x v="3"/>
    <x v="19"/>
    <x v="22"/>
  </r>
  <r>
    <n v="308"/>
    <x v="13"/>
    <x v="0"/>
    <x v="0"/>
    <x v="0"/>
    <x v="7"/>
    <x v="1"/>
    <x v="0"/>
    <x v="6"/>
    <x v="1"/>
    <x v="0"/>
    <n v="0.1"/>
    <x v="4"/>
    <n v="0.1212"/>
    <n v="0.74"/>
    <n v="0.16420000000000001"/>
    <x v="3"/>
    <x v="14"/>
    <x v="27"/>
  </r>
  <r>
    <n v="309"/>
    <x v="13"/>
    <x v="0"/>
    <x v="0"/>
    <x v="0"/>
    <x v="8"/>
    <x v="1"/>
    <x v="0"/>
    <x v="6"/>
    <x v="1"/>
    <x v="0"/>
    <n v="0.12"/>
    <x v="4"/>
    <n v="0.16669999999999999"/>
    <n v="0.68"/>
    <n v="0"/>
    <x v="4"/>
    <x v="117"/>
    <x v="125"/>
  </r>
  <r>
    <n v="310"/>
    <x v="13"/>
    <x v="0"/>
    <x v="0"/>
    <x v="0"/>
    <x v="9"/>
    <x v="1"/>
    <x v="0"/>
    <x v="6"/>
    <x v="1"/>
    <x v="0"/>
    <n v="0.14000000000000001"/>
    <x v="4"/>
    <n v="0.1515"/>
    <n v="0.69"/>
    <n v="0.1343"/>
    <x v="3"/>
    <x v="118"/>
    <x v="126"/>
  </r>
  <r>
    <n v="311"/>
    <x v="13"/>
    <x v="0"/>
    <x v="0"/>
    <x v="0"/>
    <x v="10"/>
    <x v="1"/>
    <x v="0"/>
    <x v="6"/>
    <x v="1"/>
    <x v="0"/>
    <n v="0.18"/>
    <x v="0"/>
    <n v="0.18179999999999999"/>
    <n v="0.55000000000000004"/>
    <n v="0.19400000000000001"/>
    <x v="17"/>
    <x v="71"/>
    <x v="40"/>
  </r>
  <r>
    <n v="312"/>
    <x v="13"/>
    <x v="0"/>
    <x v="0"/>
    <x v="0"/>
    <x v="11"/>
    <x v="1"/>
    <x v="0"/>
    <x v="6"/>
    <x v="1"/>
    <x v="0"/>
    <n v="0.18"/>
    <x v="0"/>
    <n v="0.16669999999999999"/>
    <n v="0.51"/>
    <n v="0.28360000000000002"/>
    <x v="15"/>
    <x v="12"/>
    <x v="26"/>
  </r>
  <r>
    <n v="313"/>
    <x v="13"/>
    <x v="0"/>
    <x v="0"/>
    <x v="0"/>
    <x v="12"/>
    <x v="2"/>
    <x v="0"/>
    <x v="6"/>
    <x v="1"/>
    <x v="0"/>
    <n v="0.2"/>
    <x v="0"/>
    <n v="0.19700000000000001"/>
    <n v="0.44"/>
    <n v="0.25369999999999998"/>
    <x v="4"/>
    <x v="79"/>
    <x v="42"/>
  </r>
  <r>
    <n v="314"/>
    <x v="13"/>
    <x v="0"/>
    <x v="0"/>
    <x v="0"/>
    <x v="13"/>
    <x v="2"/>
    <x v="0"/>
    <x v="6"/>
    <x v="1"/>
    <x v="0"/>
    <n v="0.22"/>
    <x v="0"/>
    <n v="0.19700000000000001"/>
    <n v="0.37"/>
    <n v="0.3881"/>
    <x v="17"/>
    <x v="26"/>
    <x v="43"/>
  </r>
  <r>
    <n v="315"/>
    <x v="13"/>
    <x v="0"/>
    <x v="0"/>
    <x v="0"/>
    <x v="14"/>
    <x v="2"/>
    <x v="0"/>
    <x v="6"/>
    <x v="1"/>
    <x v="0"/>
    <n v="0.22"/>
    <x v="0"/>
    <n v="0.21210000000000001"/>
    <n v="0.41"/>
    <n v="0.28360000000000002"/>
    <x v="2"/>
    <x v="79"/>
    <x v="37"/>
  </r>
  <r>
    <n v="316"/>
    <x v="13"/>
    <x v="0"/>
    <x v="0"/>
    <x v="0"/>
    <x v="15"/>
    <x v="2"/>
    <x v="0"/>
    <x v="6"/>
    <x v="1"/>
    <x v="0"/>
    <n v="0.24"/>
    <x v="0"/>
    <n v="0.2424"/>
    <n v="0.38"/>
    <n v="0.16420000000000001"/>
    <x v="14"/>
    <x v="79"/>
    <x v="118"/>
  </r>
  <r>
    <n v="317"/>
    <x v="13"/>
    <x v="0"/>
    <x v="0"/>
    <x v="0"/>
    <x v="16"/>
    <x v="2"/>
    <x v="0"/>
    <x v="6"/>
    <x v="1"/>
    <x v="0"/>
    <n v="0.22"/>
    <x v="0"/>
    <n v="0.2424"/>
    <n v="0.41"/>
    <n v="0.1045"/>
    <x v="0"/>
    <x v="61"/>
    <x v="127"/>
  </r>
  <r>
    <n v="318"/>
    <x v="13"/>
    <x v="0"/>
    <x v="0"/>
    <x v="0"/>
    <x v="17"/>
    <x v="2"/>
    <x v="0"/>
    <x v="6"/>
    <x v="1"/>
    <x v="0"/>
    <n v="0.22"/>
    <x v="0"/>
    <n v="0.2273"/>
    <n v="0.41"/>
    <n v="0.16420000000000001"/>
    <x v="17"/>
    <x v="119"/>
    <x v="128"/>
  </r>
  <r>
    <n v="319"/>
    <x v="13"/>
    <x v="0"/>
    <x v="0"/>
    <x v="0"/>
    <x v="18"/>
    <x v="3"/>
    <x v="0"/>
    <x v="6"/>
    <x v="1"/>
    <x v="0"/>
    <n v="0.2"/>
    <x v="0"/>
    <n v="0.2576"/>
    <n v="0.47"/>
    <n v="0"/>
    <x v="2"/>
    <x v="120"/>
    <x v="119"/>
  </r>
  <r>
    <n v="320"/>
    <x v="13"/>
    <x v="0"/>
    <x v="0"/>
    <x v="0"/>
    <x v="19"/>
    <x v="3"/>
    <x v="0"/>
    <x v="6"/>
    <x v="1"/>
    <x v="0"/>
    <n v="0.16"/>
    <x v="0"/>
    <n v="0.19700000000000001"/>
    <n v="0.59"/>
    <n v="8.9599999999999999E-2"/>
    <x v="0"/>
    <x v="121"/>
    <x v="101"/>
  </r>
  <r>
    <n v="321"/>
    <x v="13"/>
    <x v="0"/>
    <x v="0"/>
    <x v="0"/>
    <x v="20"/>
    <x v="3"/>
    <x v="0"/>
    <x v="6"/>
    <x v="1"/>
    <x v="0"/>
    <n v="0.18"/>
    <x v="0"/>
    <n v="0.2424"/>
    <n v="0.59"/>
    <n v="0"/>
    <x v="3"/>
    <x v="56"/>
    <x v="118"/>
  </r>
  <r>
    <n v="322"/>
    <x v="13"/>
    <x v="0"/>
    <x v="0"/>
    <x v="0"/>
    <x v="21"/>
    <x v="3"/>
    <x v="0"/>
    <x v="6"/>
    <x v="1"/>
    <x v="0"/>
    <n v="0.16"/>
    <x v="0"/>
    <n v="0.2273"/>
    <n v="0.69"/>
    <n v="0"/>
    <x v="17"/>
    <x v="41"/>
    <x v="46"/>
  </r>
  <r>
    <n v="323"/>
    <x v="13"/>
    <x v="0"/>
    <x v="0"/>
    <x v="0"/>
    <x v="22"/>
    <x v="3"/>
    <x v="0"/>
    <x v="6"/>
    <x v="1"/>
    <x v="1"/>
    <n v="0.16"/>
    <x v="0"/>
    <n v="0.2273"/>
    <n v="0.69"/>
    <n v="0"/>
    <x v="4"/>
    <x v="60"/>
    <x v="9"/>
  </r>
  <r>
    <n v="324"/>
    <x v="13"/>
    <x v="0"/>
    <x v="0"/>
    <x v="0"/>
    <x v="23"/>
    <x v="3"/>
    <x v="0"/>
    <x v="6"/>
    <x v="1"/>
    <x v="1"/>
    <n v="0.18"/>
    <x v="0"/>
    <n v="0.2424"/>
    <n v="0.55000000000000004"/>
    <n v="0"/>
    <x v="5"/>
    <x v="16"/>
    <x v="110"/>
  </r>
  <r>
    <n v="325"/>
    <x v="14"/>
    <x v="0"/>
    <x v="0"/>
    <x v="0"/>
    <x v="0"/>
    <x v="0"/>
    <x v="0"/>
    <x v="0"/>
    <x v="0"/>
    <x v="0"/>
    <n v="0.18"/>
    <x v="0"/>
    <n v="0.2424"/>
    <n v="0.55000000000000004"/>
    <n v="0"/>
    <x v="0"/>
    <x v="18"/>
    <x v="20"/>
  </r>
  <r>
    <n v="326"/>
    <x v="14"/>
    <x v="0"/>
    <x v="0"/>
    <x v="0"/>
    <x v="1"/>
    <x v="0"/>
    <x v="0"/>
    <x v="0"/>
    <x v="0"/>
    <x v="1"/>
    <n v="0.16"/>
    <x v="0"/>
    <n v="0.19700000000000001"/>
    <n v="0.59"/>
    <n v="8.9599999999999999E-2"/>
    <x v="4"/>
    <x v="72"/>
    <x v="25"/>
  </r>
  <r>
    <n v="327"/>
    <x v="14"/>
    <x v="0"/>
    <x v="0"/>
    <x v="0"/>
    <x v="2"/>
    <x v="0"/>
    <x v="0"/>
    <x v="0"/>
    <x v="0"/>
    <x v="1"/>
    <n v="0.16"/>
    <x v="0"/>
    <n v="0.19700000000000001"/>
    <n v="0.59"/>
    <n v="8.9599999999999999E-2"/>
    <x v="3"/>
    <x v="98"/>
    <x v="47"/>
  </r>
  <r>
    <n v="328"/>
    <x v="14"/>
    <x v="0"/>
    <x v="0"/>
    <x v="0"/>
    <x v="3"/>
    <x v="0"/>
    <x v="0"/>
    <x v="0"/>
    <x v="0"/>
    <x v="1"/>
    <n v="0.16"/>
    <x v="0"/>
    <n v="0.2273"/>
    <n v="0.59"/>
    <n v="0"/>
    <x v="5"/>
    <x v="7"/>
    <x v="7"/>
  </r>
  <r>
    <n v="329"/>
    <x v="14"/>
    <x v="0"/>
    <x v="0"/>
    <x v="0"/>
    <x v="4"/>
    <x v="0"/>
    <x v="0"/>
    <x v="0"/>
    <x v="0"/>
    <x v="1"/>
    <n v="0.16"/>
    <x v="0"/>
    <n v="0.2273"/>
    <n v="0.59"/>
    <n v="0"/>
    <x v="3"/>
    <x v="34"/>
    <x v="36"/>
  </r>
  <r>
    <n v="330"/>
    <x v="14"/>
    <x v="0"/>
    <x v="0"/>
    <x v="0"/>
    <x v="5"/>
    <x v="0"/>
    <x v="0"/>
    <x v="0"/>
    <x v="0"/>
    <x v="0"/>
    <n v="0.16"/>
    <x v="0"/>
    <n v="0.2273"/>
    <n v="0.59"/>
    <n v="0"/>
    <x v="3"/>
    <x v="4"/>
    <x v="4"/>
  </r>
  <r>
    <n v="331"/>
    <x v="14"/>
    <x v="0"/>
    <x v="0"/>
    <x v="0"/>
    <x v="6"/>
    <x v="1"/>
    <x v="0"/>
    <x v="0"/>
    <x v="0"/>
    <x v="0"/>
    <n v="0.14000000000000001"/>
    <x v="4"/>
    <n v="0.16669999999999999"/>
    <n v="0.63"/>
    <n v="0.1045"/>
    <x v="5"/>
    <x v="6"/>
    <x v="6"/>
  </r>
  <r>
    <n v="332"/>
    <x v="14"/>
    <x v="0"/>
    <x v="0"/>
    <x v="0"/>
    <x v="7"/>
    <x v="1"/>
    <x v="0"/>
    <x v="0"/>
    <x v="0"/>
    <x v="0"/>
    <n v="0.14000000000000001"/>
    <x v="4"/>
    <n v="0.21210000000000001"/>
    <n v="0.63"/>
    <n v="0"/>
    <x v="5"/>
    <x v="33"/>
    <x v="98"/>
  </r>
  <r>
    <n v="333"/>
    <x v="14"/>
    <x v="0"/>
    <x v="0"/>
    <x v="0"/>
    <x v="8"/>
    <x v="1"/>
    <x v="0"/>
    <x v="0"/>
    <x v="0"/>
    <x v="0"/>
    <n v="0.14000000000000001"/>
    <x v="4"/>
    <n v="0.1515"/>
    <n v="0.63"/>
    <n v="0.1343"/>
    <x v="5"/>
    <x v="97"/>
    <x v="84"/>
  </r>
  <r>
    <n v="334"/>
    <x v="14"/>
    <x v="0"/>
    <x v="0"/>
    <x v="0"/>
    <x v="9"/>
    <x v="1"/>
    <x v="0"/>
    <x v="0"/>
    <x v="0"/>
    <x v="0"/>
    <n v="0.16"/>
    <x v="0"/>
    <n v="0.18179999999999999"/>
    <n v="0.64"/>
    <n v="0.1343"/>
    <x v="4"/>
    <x v="17"/>
    <x v="63"/>
  </r>
  <r>
    <n v="335"/>
    <x v="14"/>
    <x v="0"/>
    <x v="0"/>
    <x v="0"/>
    <x v="10"/>
    <x v="1"/>
    <x v="0"/>
    <x v="0"/>
    <x v="0"/>
    <x v="0"/>
    <n v="0.18"/>
    <x v="0"/>
    <n v="0.19700000000000001"/>
    <n v="0.59"/>
    <n v="0.16420000000000001"/>
    <x v="4"/>
    <x v="77"/>
    <x v="29"/>
  </r>
  <r>
    <n v="336"/>
    <x v="14"/>
    <x v="0"/>
    <x v="0"/>
    <x v="0"/>
    <x v="11"/>
    <x v="1"/>
    <x v="0"/>
    <x v="0"/>
    <x v="0"/>
    <x v="0"/>
    <n v="0.2"/>
    <x v="0"/>
    <n v="0.19700000000000001"/>
    <n v="0.55000000000000004"/>
    <n v="0.22389999999999999"/>
    <x v="25"/>
    <x v="25"/>
    <x v="44"/>
  </r>
  <r>
    <n v="337"/>
    <x v="14"/>
    <x v="0"/>
    <x v="0"/>
    <x v="0"/>
    <x v="12"/>
    <x v="2"/>
    <x v="0"/>
    <x v="0"/>
    <x v="0"/>
    <x v="0"/>
    <n v="0.24"/>
    <x v="0"/>
    <n v="0.2273"/>
    <n v="0.48"/>
    <n v="0.22389999999999999"/>
    <x v="13"/>
    <x v="64"/>
    <x v="70"/>
  </r>
  <r>
    <n v="338"/>
    <x v="14"/>
    <x v="0"/>
    <x v="0"/>
    <x v="0"/>
    <x v="13"/>
    <x v="2"/>
    <x v="0"/>
    <x v="0"/>
    <x v="0"/>
    <x v="0"/>
    <n v="0.28000000000000003"/>
    <x v="1"/>
    <n v="0.2576"/>
    <n v="0.38"/>
    <n v="0.29849999999999999"/>
    <x v="27"/>
    <x v="122"/>
    <x v="129"/>
  </r>
  <r>
    <n v="339"/>
    <x v="14"/>
    <x v="0"/>
    <x v="0"/>
    <x v="0"/>
    <x v="14"/>
    <x v="2"/>
    <x v="0"/>
    <x v="0"/>
    <x v="0"/>
    <x v="0"/>
    <n v="0.3"/>
    <x v="1"/>
    <n v="0.28789999999999999"/>
    <n v="0.39"/>
    <n v="0.28360000000000002"/>
    <x v="7"/>
    <x v="50"/>
    <x v="130"/>
  </r>
  <r>
    <n v="340"/>
    <x v="14"/>
    <x v="0"/>
    <x v="0"/>
    <x v="0"/>
    <x v="15"/>
    <x v="2"/>
    <x v="0"/>
    <x v="0"/>
    <x v="0"/>
    <x v="1"/>
    <n v="0.32"/>
    <x v="1"/>
    <n v="0.31819999999999998"/>
    <n v="0.36"/>
    <n v="0.19400000000000001"/>
    <x v="27"/>
    <x v="123"/>
    <x v="131"/>
  </r>
  <r>
    <n v="341"/>
    <x v="14"/>
    <x v="0"/>
    <x v="0"/>
    <x v="0"/>
    <x v="16"/>
    <x v="2"/>
    <x v="0"/>
    <x v="0"/>
    <x v="0"/>
    <x v="1"/>
    <n v="0.34"/>
    <x v="2"/>
    <n v="0.33329999999999999"/>
    <n v="0.34"/>
    <n v="0.19400000000000001"/>
    <x v="28"/>
    <x v="73"/>
    <x v="116"/>
  </r>
  <r>
    <n v="342"/>
    <x v="14"/>
    <x v="0"/>
    <x v="0"/>
    <x v="0"/>
    <x v="17"/>
    <x v="2"/>
    <x v="0"/>
    <x v="0"/>
    <x v="0"/>
    <x v="1"/>
    <n v="0.32"/>
    <x v="1"/>
    <n v="0.30299999999999999"/>
    <n v="0.36"/>
    <n v="0.28360000000000002"/>
    <x v="8"/>
    <x v="25"/>
    <x v="56"/>
  </r>
  <r>
    <n v="343"/>
    <x v="14"/>
    <x v="0"/>
    <x v="0"/>
    <x v="0"/>
    <x v="18"/>
    <x v="3"/>
    <x v="0"/>
    <x v="0"/>
    <x v="0"/>
    <x v="1"/>
    <n v="0.3"/>
    <x v="1"/>
    <n v="0.28789999999999999"/>
    <n v="0.45"/>
    <n v="0.25369999999999998"/>
    <x v="13"/>
    <x v="94"/>
    <x v="11"/>
  </r>
  <r>
    <n v="344"/>
    <x v="14"/>
    <x v="0"/>
    <x v="0"/>
    <x v="0"/>
    <x v="19"/>
    <x v="3"/>
    <x v="0"/>
    <x v="0"/>
    <x v="0"/>
    <x v="1"/>
    <n v="0.32"/>
    <x v="1"/>
    <n v="0.30299999999999999"/>
    <n v="0.39"/>
    <n v="0.25369999999999998"/>
    <x v="24"/>
    <x v="91"/>
    <x v="30"/>
  </r>
  <r>
    <n v="345"/>
    <x v="14"/>
    <x v="0"/>
    <x v="0"/>
    <x v="0"/>
    <x v="20"/>
    <x v="3"/>
    <x v="0"/>
    <x v="0"/>
    <x v="0"/>
    <x v="1"/>
    <n v="0.32"/>
    <x v="1"/>
    <n v="0.30299999999999999"/>
    <n v="0.39"/>
    <n v="0.25369999999999998"/>
    <x v="15"/>
    <x v="96"/>
    <x v="102"/>
  </r>
  <r>
    <n v="346"/>
    <x v="14"/>
    <x v="0"/>
    <x v="0"/>
    <x v="0"/>
    <x v="21"/>
    <x v="3"/>
    <x v="0"/>
    <x v="0"/>
    <x v="0"/>
    <x v="1"/>
    <n v="0.32"/>
    <x v="1"/>
    <n v="0.30299999999999999"/>
    <n v="0.39"/>
    <n v="0.22389999999999999"/>
    <x v="15"/>
    <x v="82"/>
    <x v="52"/>
  </r>
  <r>
    <n v="347"/>
    <x v="14"/>
    <x v="0"/>
    <x v="0"/>
    <x v="0"/>
    <x v="22"/>
    <x v="3"/>
    <x v="0"/>
    <x v="0"/>
    <x v="0"/>
    <x v="1"/>
    <n v="0.3"/>
    <x v="1"/>
    <n v="0.31819999999999998"/>
    <n v="0.42"/>
    <n v="0.1045"/>
    <x v="3"/>
    <x v="16"/>
    <x v="132"/>
  </r>
  <r>
    <n v="348"/>
    <x v="14"/>
    <x v="0"/>
    <x v="0"/>
    <x v="0"/>
    <x v="23"/>
    <x v="3"/>
    <x v="0"/>
    <x v="0"/>
    <x v="0"/>
    <x v="0"/>
    <n v="0.3"/>
    <x v="1"/>
    <n v="0.28789999999999999"/>
    <n v="0.45"/>
    <n v="0.28360000000000002"/>
    <x v="2"/>
    <x v="87"/>
    <x v="40"/>
  </r>
  <r>
    <n v="349"/>
    <x v="15"/>
    <x v="0"/>
    <x v="0"/>
    <x v="0"/>
    <x v="0"/>
    <x v="0"/>
    <x v="0"/>
    <x v="1"/>
    <x v="0"/>
    <x v="0"/>
    <n v="0.26"/>
    <x v="1"/>
    <n v="0.30299999999999999"/>
    <n v="0.56000000000000005"/>
    <n v="0"/>
    <x v="15"/>
    <x v="39"/>
    <x v="21"/>
  </r>
  <r>
    <n v="350"/>
    <x v="15"/>
    <x v="0"/>
    <x v="0"/>
    <x v="0"/>
    <x v="1"/>
    <x v="0"/>
    <x v="0"/>
    <x v="1"/>
    <x v="0"/>
    <x v="0"/>
    <n v="0.26"/>
    <x v="1"/>
    <n v="0.2727"/>
    <n v="0.56000000000000005"/>
    <n v="0.1343"/>
    <x v="17"/>
    <x v="23"/>
    <x v="84"/>
  </r>
  <r>
    <n v="351"/>
    <x v="15"/>
    <x v="0"/>
    <x v="0"/>
    <x v="0"/>
    <x v="2"/>
    <x v="0"/>
    <x v="0"/>
    <x v="1"/>
    <x v="0"/>
    <x v="0"/>
    <n v="0.26"/>
    <x v="1"/>
    <n v="0.28789999999999999"/>
    <n v="0.56000000000000005"/>
    <n v="8.9599999999999999E-2"/>
    <x v="0"/>
    <x v="0"/>
    <x v="0"/>
  </r>
  <r>
    <n v="352"/>
    <x v="15"/>
    <x v="0"/>
    <x v="0"/>
    <x v="0"/>
    <x v="3"/>
    <x v="0"/>
    <x v="0"/>
    <x v="1"/>
    <x v="0"/>
    <x v="0"/>
    <n v="0.22"/>
    <x v="0"/>
    <n v="0.2727"/>
    <n v="0.69"/>
    <n v="0"/>
    <x v="14"/>
    <x v="8"/>
    <x v="93"/>
  </r>
  <r>
    <n v="353"/>
    <x v="15"/>
    <x v="0"/>
    <x v="0"/>
    <x v="0"/>
    <x v="4"/>
    <x v="0"/>
    <x v="0"/>
    <x v="1"/>
    <x v="0"/>
    <x v="0"/>
    <n v="0.26"/>
    <x v="1"/>
    <n v="0.2576"/>
    <n v="0.56000000000000005"/>
    <n v="0.16420000000000001"/>
    <x v="3"/>
    <x v="4"/>
    <x v="4"/>
  </r>
  <r>
    <n v="354"/>
    <x v="15"/>
    <x v="0"/>
    <x v="0"/>
    <x v="0"/>
    <x v="5"/>
    <x v="0"/>
    <x v="0"/>
    <x v="1"/>
    <x v="0"/>
    <x v="1"/>
    <n v="0.26"/>
    <x v="1"/>
    <n v="0.2576"/>
    <n v="0.56000000000000005"/>
    <n v="0.16420000000000001"/>
    <x v="5"/>
    <x v="4"/>
    <x v="5"/>
  </r>
  <r>
    <n v="355"/>
    <x v="15"/>
    <x v="0"/>
    <x v="0"/>
    <x v="0"/>
    <x v="6"/>
    <x v="1"/>
    <x v="0"/>
    <x v="1"/>
    <x v="0"/>
    <x v="1"/>
    <n v="0.26"/>
    <x v="1"/>
    <n v="0.2576"/>
    <n v="0.56000000000000005"/>
    <n v="0.16420000000000001"/>
    <x v="3"/>
    <x v="4"/>
    <x v="4"/>
  </r>
  <r>
    <n v="356"/>
    <x v="15"/>
    <x v="0"/>
    <x v="0"/>
    <x v="0"/>
    <x v="7"/>
    <x v="1"/>
    <x v="0"/>
    <x v="1"/>
    <x v="0"/>
    <x v="1"/>
    <n v="0.24"/>
    <x v="0"/>
    <n v="0.21210000000000001"/>
    <n v="0.56000000000000005"/>
    <n v="0.29849999999999999"/>
    <x v="3"/>
    <x v="35"/>
    <x v="6"/>
  </r>
  <r>
    <n v="357"/>
    <x v="15"/>
    <x v="0"/>
    <x v="0"/>
    <x v="0"/>
    <x v="8"/>
    <x v="1"/>
    <x v="0"/>
    <x v="1"/>
    <x v="0"/>
    <x v="0"/>
    <n v="0.22"/>
    <x v="0"/>
    <n v="0.21210000000000001"/>
    <n v="0.55000000000000004"/>
    <n v="0.28360000000000002"/>
    <x v="3"/>
    <x v="72"/>
    <x v="109"/>
  </r>
  <r>
    <n v="358"/>
    <x v="15"/>
    <x v="0"/>
    <x v="0"/>
    <x v="0"/>
    <x v="9"/>
    <x v="1"/>
    <x v="0"/>
    <x v="1"/>
    <x v="0"/>
    <x v="0"/>
    <n v="0.22"/>
    <x v="0"/>
    <n v="0.21210000000000001"/>
    <n v="0.51"/>
    <n v="0.25369999999999998"/>
    <x v="0"/>
    <x v="31"/>
    <x v="2"/>
  </r>
  <r>
    <n v="359"/>
    <x v="15"/>
    <x v="0"/>
    <x v="0"/>
    <x v="0"/>
    <x v="10"/>
    <x v="1"/>
    <x v="0"/>
    <x v="1"/>
    <x v="0"/>
    <x v="0"/>
    <n v="0.22"/>
    <x v="0"/>
    <n v="0.21210000000000001"/>
    <n v="0.51"/>
    <n v="0.28360000000000002"/>
    <x v="1"/>
    <x v="13"/>
    <x v="67"/>
  </r>
  <r>
    <n v="360"/>
    <x v="15"/>
    <x v="0"/>
    <x v="0"/>
    <x v="0"/>
    <x v="11"/>
    <x v="1"/>
    <x v="0"/>
    <x v="1"/>
    <x v="0"/>
    <x v="0"/>
    <n v="0.24"/>
    <x v="0"/>
    <n v="0.2273"/>
    <n v="0.44"/>
    <n v="0.25369999999999998"/>
    <x v="29"/>
    <x v="14"/>
    <x v="15"/>
  </r>
  <r>
    <n v="361"/>
    <x v="15"/>
    <x v="0"/>
    <x v="0"/>
    <x v="0"/>
    <x v="12"/>
    <x v="2"/>
    <x v="0"/>
    <x v="1"/>
    <x v="0"/>
    <x v="0"/>
    <n v="0.24"/>
    <x v="0"/>
    <n v="0.21210000000000001"/>
    <n v="0.41"/>
    <n v="0.28360000000000002"/>
    <x v="8"/>
    <x v="102"/>
    <x v="133"/>
  </r>
  <r>
    <n v="362"/>
    <x v="15"/>
    <x v="0"/>
    <x v="0"/>
    <x v="0"/>
    <x v="13"/>
    <x v="2"/>
    <x v="0"/>
    <x v="1"/>
    <x v="0"/>
    <x v="0"/>
    <n v="0.26"/>
    <x v="1"/>
    <n v="0.2273"/>
    <n v="0.35"/>
    <n v="0.29849999999999999"/>
    <x v="29"/>
    <x v="73"/>
    <x v="130"/>
  </r>
  <r>
    <n v="363"/>
    <x v="15"/>
    <x v="0"/>
    <x v="0"/>
    <x v="0"/>
    <x v="14"/>
    <x v="2"/>
    <x v="0"/>
    <x v="1"/>
    <x v="0"/>
    <x v="0"/>
    <n v="0.28000000000000003"/>
    <x v="1"/>
    <n v="0.2727"/>
    <n v="0.36"/>
    <n v="0.25369999999999998"/>
    <x v="30"/>
    <x v="94"/>
    <x v="134"/>
  </r>
  <r>
    <n v="364"/>
    <x v="15"/>
    <x v="0"/>
    <x v="0"/>
    <x v="0"/>
    <x v="15"/>
    <x v="2"/>
    <x v="0"/>
    <x v="1"/>
    <x v="0"/>
    <x v="0"/>
    <n v="0.26"/>
    <x v="1"/>
    <n v="0.2424"/>
    <n v="0.38"/>
    <n v="0.25369999999999998"/>
    <x v="10"/>
    <x v="78"/>
    <x v="135"/>
  </r>
  <r>
    <n v="365"/>
    <x v="15"/>
    <x v="0"/>
    <x v="0"/>
    <x v="0"/>
    <x v="16"/>
    <x v="2"/>
    <x v="0"/>
    <x v="1"/>
    <x v="0"/>
    <x v="0"/>
    <n v="0.24"/>
    <x v="0"/>
    <n v="0.2273"/>
    <n v="0.38"/>
    <n v="0.22389999999999999"/>
    <x v="30"/>
    <x v="99"/>
    <x v="111"/>
  </r>
  <r>
    <n v="366"/>
    <x v="15"/>
    <x v="0"/>
    <x v="0"/>
    <x v="0"/>
    <x v="17"/>
    <x v="2"/>
    <x v="0"/>
    <x v="1"/>
    <x v="0"/>
    <x v="0"/>
    <n v="0.22"/>
    <x v="0"/>
    <n v="0.21210000000000001"/>
    <n v="0.37"/>
    <n v="0.25369999999999998"/>
    <x v="29"/>
    <x v="70"/>
    <x v="136"/>
  </r>
  <r>
    <n v="367"/>
    <x v="15"/>
    <x v="0"/>
    <x v="0"/>
    <x v="0"/>
    <x v="18"/>
    <x v="3"/>
    <x v="0"/>
    <x v="1"/>
    <x v="0"/>
    <x v="0"/>
    <n v="0.2"/>
    <x v="0"/>
    <n v="0.21210000000000001"/>
    <n v="0.4"/>
    <n v="0.16420000000000001"/>
    <x v="16"/>
    <x v="90"/>
    <x v="16"/>
  </r>
  <r>
    <n v="368"/>
    <x v="15"/>
    <x v="0"/>
    <x v="0"/>
    <x v="0"/>
    <x v="19"/>
    <x v="3"/>
    <x v="0"/>
    <x v="1"/>
    <x v="0"/>
    <x v="0"/>
    <n v="0.18"/>
    <x v="0"/>
    <n v="0.19700000000000001"/>
    <n v="0.47"/>
    <n v="0.1343"/>
    <x v="24"/>
    <x v="12"/>
    <x v="42"/>
  </r>
  <r>
    <n v="369"/>
    <x v="15"/>
    <x v="0"/>
    <x v="0"/>
    <x v="0"/>
    <x v="20"/>
    <x v="3"/>
    <x v="0"/>
    <x v="1"/>
    <x v="0"/>
    <x v="0"/>
    <n v="0.18"/>
    <x v="0"/>
    <n v="0.19700000000000001"/>
    <n v="0.47"/>
    <n v="0.16420000000000001"/>
    <x v="18"/>
    <x v="54"/>
    <x v="52"/>
  </r>
  <r>
    <n v="370"/>
    <x v="15"/>
    <x v="0"/>
    <x v="0"/>
    <x v="0"/>
    <x v="21"/>
    <x v="3"/>
    <x v="0"/>
    <x v="1"/>
    <x v="0"/>
    <x v="0"/>
    <n v="0.18"/>
    <x v="0"/>
    <n v="0.19700000000000001"/>
    <n v="0.51"/>
    <n v="0.16420000000000001"/>
    <x v="15"/>
    <x v="97"/>
    <x v="20"/>
  </r>
  <r>
    <n v="371"/>
    <x v="15"/>
    <x v="0"/>
    <x v="0"/>
    <x v="0"/>
    <x v="22"/>
    <x v="3"/>
    <x v="0"/>
    <x v="1"/>
    <x v="0"/>
    <x v="1"/>
    <n v="0.2"/>
    <x v="0"/>
    <n v="0.21210000000000001"/>
    <n v="0.49"/>
    <n v="0.1343"/>
    <x v="4"/>
    <x v="23"/>
    <x v="137"/>
  </r>
  <r>
    <n v="372"/>
    <x v="15"/>
    <x v="0"/>
    <x v="0"/>
    <x v="0"/>
    <x v="23"/>
    <x v="3"/>
    <x v="0"/>
    <x v="1"/>
    <x v="0"/>
    <x v="1"/>
    <n v="0.2"/>
    <x v="0"/>
    <n v="0.2273"/>
    <n v="0.4"/>
    <n v="0.1045"/>
    <x v="3"/>
    <x v="72"/>
    <x v="109"/>
  </r>
  <r>
    <n v="373"/>
    <x v="16"/>
    <x v="0"/>
    <x v="0"/>
    <x v="0"/>
    <x v="0"/>
    <x v="0"/>
    <x v="1"/>
    <x v="2"/>
    <x v="1"/>
    <x v="1"/>
    <n v="0.2"/>
    <x v="0"/>
    <n v="0.19700000000000001"/>
    <n v="0.47"/>
    <n v="0.22389999999999999"/>
    <x v="5"/>
    <x v="20"/>
    <x v="22"/>
  </r>
  <r>
    <n v="374"/>
    <x v="16"/>
    <x v="0"/>
    <x v="0"/>
    <x v="0"/>
    <x v="1"/>
    <x v="0"/>
    <x v="1"/>
    <x v="2"/>
    <x v="1"/>
    <x v="1"/>
    <n v="0.2"/>
    <x v="0"/>
    <n v="0.19700000000000001"/>
    <n v="0.44"/>
    <n v="0.19400000000000001"/>
    <x v="5"/>
    <x v="89"/>
    <x v="0"/>
  </r>
  <r>
    <n v="375"/>
    <x v="16"/>
    <x v="0"/>
    <x v="0"/>
    <x v="0"/>
    <x v="2"/>
    <x v="0"/>
    <x v="1"/>
    <x v="2"/>
    <x v="1"/>
    <x v="1"/>
    <n v="0.18"/>
    <x v="0"/>
    <n v="0.16669999999999999"/>
    <n v="0.43"/>
    <n v="0.25369999999999998"/>
    <x v="3"/>
    <x v="21"/>
    <x v="7"/>
  </r>
  <r>
    <n v="376"/>
    <x v="16"/>
    <x v="0"/>
    <x v="0"/>
    <x v="0"/>
    <x v="3"/>
    <x v="0"/>
    <x v="1"/>
    <x v="2"/>
    <x v="1"/>
    <x v="1"/>
    <n v="0.18"/>
    <x v="0"/>
    <n v="0.18179999999999999"/>
    <n v="0.43"/>
    <n v="0.19400000000000001"/>
    <x v="3"/>
    <x v="6"/>
    <x v="5"/>
  </r>
  <r>
    <n v="377"/>
    <x v="16"/>
    <x v="0"/>
    <x v="0"/>
    <x v="0"/>
    <x v="4"/>
    <x v="0"/>
    <x v="1"/>
    <x v="2"/>
    <x v="1"/>
    <x v="1"/>
    <n v="0.18"/>
    <x v="0"/>
    <n v="0.19700000000000001"/>
    <n v="0.43"/>
    <n v="0.1343"/>
    <x v="5"/>
    <x v="6"/>
    <x v="6"/>
  </r>
  <r>
    <n v="378"/>
    <x v="16"/>
    <x v="0"/>
    <x v="0"/>
    <x v="0"/>
    <x v="5"/>
    <x v="0"/>
    <x v="1"/>
    <x v="2"/>
    <x v="1"/>
    <x v="1"/>
    <n v="0.18"/>
    <x v="0"/>
    <n v="0.19700000000000001"/>
    <n v="0.43"/>
    <n v="0.16420000000000001"/>
    <x v="3"/>
    <x v="4"/>
    <x v="4"/>
  </r>
  <r>
    <n v="379"/>
    <x v="16"/>
    <x v="0"/>
    <x v="0"/>
    <x v="0"/>
    <x v="6"/>
    <x v="1"/>
    <x v="1"/>
    <x v="2"/>
    <x v="1"/>
    <x v="1"/>
    <n v="0.18"/>
    <x v="0"/>
    <n v="0.18179999999999999"/>
    <n v="0.43"/>
    <n v="0.19400000000000001"/>
    <x v="3"/>
    <x v="34"/>
    <x v="36"/>
  </r>
  <r>
    <n v="380"/>
    <x v="16"/>
    <x v="0"/>
    <x v="0"/>
    <x v="0"/>
    <x v="7"/>
    <x v="1"/>
    <x v="1"/>
    <x v="2"/>
    <x v="1"/>
    <x v="1"/>
    <n v="0.16"/>
    <x v="0"/>
    <n v="0.18179999999999999"/>
    <n v="0.5"/>
    <n v="0.1343"/>
    <x v="17"/>
    <x v="33"/>
    <x v="3"/>
  </r>
  <r>
    <n v="381"/>
    <x v="16"/>
    <x v="0"/>
    <x v="0"/>
    <x v="0"/>
    <x v="8"/>
    <x v="1"/>
    <x v="1"/>
    <x v="2"/>
    <x v="1"/>
    <x v="1"/>
    <n v="0.16"/>
    <x v="0"/>
    <n v="0.1515"/>
    <n v="0.47"/>
    <n v="0.22389999999999999"/>
    <x v="0"/>
    <x v="10"/>
    <x v="63"/>
  </r>
  <r>
    <n v="382"/>
    <x v="16"/>
    <x v="0"/>
    <x v="0"/>
    <x v="0"/>
    <x v="9"/>
    <x v="1"/>
    <x v="1"/>
    <x v="2"/>
    <x v="1"/>
    <x v="1"/>
    <n v="0.16"/>
    <x v="0"/>
    <n v="0.1515"/>
    <n v="0.47"/>
    <n v="0.22389999999999999"/>
    <x v="1"/>
    <x v="87"/>
    <x v="105"/>
  </r>
  <r>
    <n v="383"/>
    <x v="16"/>
    <x v="0"/>
    <x v="0"/>
    <x v="0"/>
    <x v="10"/>
    <x v="1"/>
    <x v="1"/>
    <x v="2"/>
    <x v="1"/>
    <x v="1"/>
    <n v="0.16"/>
    <x v="0"/>
    <n v="0.1515"/>
    <n v="0.5"/>
    <n v="0.25369999999999998"/>
    <x v="18"/>
    <x v="54"/>
    <x v="52"/>
  </r>
  <r>
    <n v="384"/>
    <x v="16"/>
    <x v="0"/>
    <x v="0"/>
    <x v="0"/>
    <x v="11"/>
    <x v="1"/>
    <x v="1"/>
    <x v="2"/>
    <x v="1"/>
    <x v="1"/>
    <n v="0.16"/>
    <x v="0"/>
    <n v="0.1515"/>
    <n v="0.55000000000000004"/>
    <n v="0.19400000000000001"/>
    <x v="14"/>
    <x v="11"/>
    <x v="37"/>
  </r>
  <r>
    <n v="385"/>
    <x v="16"/>
    <x v="0"/>
    <x v="0"/>
    <x v="0"/>
    <x v="12"/>
    <x v="2"/>
    <x v="1"/>
    <x v="2"/>
    <x v="1"/>
    <x v="1"/>
    <n v="0.18"/>
    <x v="0"/>
    <n v="0.19700000000000001"/>
    <n v="0.47"/>
    <n v="0.1343"/>
    <x v="22"/>
    <x v="14"/>
    <x v="138"/>
  </r>
  <r>
    <n v="386"/>
    <x v="16"/>
    <x v="0"/>
    <x v="0"/>
    <x v="0"/>
    <x v="13"/>
    <x v="2"/>
    <x v="1"/>
    <x v="2"/>
    <x v="1"/>
    <x v="1"/>
    <n v="0.18"/>
    <x v="0"/>
    <n v="0.19700000000000001"/>
    <n v="0.47"/>
    <n v="0.1343"/>
    <x v="23"/>
    <x v="122"/>
    <x v="15"/>
  </r>
  <r>
    <n v="387"/>
    <x v="16"/>
    <x v="0"/>
    <x v="0"/>
    <x v="0"/>
    <x v="14"/>
    <x v="2"/>
    <x v="1"/>
    <x v="2"/>
    <x v="1"/>
    <x v="1"/>
    <n v="0.18"/>
    <x v="0"/>
    <n v="0.21210000000000001"/>
    <n v="0.43"/>
    <n v="0.1045"/>
    <x v="6"/>
    <x v="64"/>
    <x v="80"/>
  </r>
  <r>
    <n v="388"/>
    <x v="16"/>
    <x v="0"/>
    <x v="0"/>
    <x v="0"/>
    <x v="15"/>
    <x v="2"/>
    <x v="1"/>
    <x v="2"/>
    <x v="1"/>
    <x v="1"/>
    <n v="0.2"/>
    <x v="0"/>
    <n v="0.21210000000000001"/>
    <n v="0.47"/>
    <n v="0.16420000000000001"/>
    <x v="27"/>
    <x v="109"/>
    <x v="15"/>
  </r>
  <r>
    <n v="389"/>
    <x v="16"/>
    <x v="0"/>
    <x v="0"/>
    <x v="0"/>
    <x v="16"/>
    <x v="2"/>
    <x v="1"/>
    <x v="2"/>
    <x v="1"/>
    <x v="1"/>
    <n v="0.2"/>
    <x v="0"/>
    <n v="0.21210000000000001"/>
    <n v="0.47"/>
    <n v="0.16420000000000001"/>
    <x v="15"/>
    <x v="83"/>
    <x v="100"/>
  </r>
  <r>
    <n v="390"/>
    <x v="16"/>
    <x v="0"/>
    <x v="0"/>
    <x v="0"/>
    <x v="17"/>
    <x v="2"/>
    <x v="1"/>
    <x v="2"/>
    <x v="1"/>
    <x v="0"/>
    <n v="0.2"/>
    <x v="0"/>
    <n v="0.19700000000000001"/>
    <n v="0.51"/>
    <n v="0.19400000000000001"/>
    <x v="17"/>
    <x v="28"/>
    <x v="68"/>
  </r>
  <r>
    <n v="391"/>
    <x v="16"/>
    <x v="0"/>
    <x v="0"/>
    <x v="0"/>
    <x v="18"/>
    <x v="3"/>
    <x v="1"/>
    <x v="2"/>
    <x v="1"/>
    <x v="1"/>
    <n v="0.18"/>
    <x v="0"/>
    <n v="0.16669999999999999"/>
    <n v="0.55000000000000004"/>
    <n v="0.25369999999999998"/>
    <x v="18"/>
    <x v="66"/>
    <x v="101"/>
  </r>
  <r>
    <n v="392"/>
    <x v="16"/>
    <x v="0"/>
    <x v="0"/>
    <x v="0"/>
    <x v="19"/>
    <x v="3"/>
    <x v="1"/>
    <x v="2"/>
    <x v="1"/>
    <x v="2"/>
    <n v="0.18"/>
    <x v="0"/>
    <n v="0.18179999999999999"/>
    <n v="0.59"/>
    <n v="0.19400000000000001"/>
    <x v="4"/>
    <x v="29"/>
    <x v="122"/>
  </r>
  <r>
    <n v="393"/>
    <x v="16"/>
    <x v="0"/>
    <x v="0"/>
    <x v="0"/>
    <x v="20"/>
    <x v="3"/>
    <x v="1"/>
    <x v="2"/>
    <x v="1"/>
    <x v="2"/>
    <n v="0.16"/>
    <x v="0"/>
    <n v="0.1515"/>
    <n v="0.8"/>
    <n v="0.19400000000000001"/>
    <x v="17"/>
    <x v="31"/>
    <x v="63"/>
  </r>
  <r>
    <n v="394"/>
    <x v="16"/>
    <x v="0"/>
    <x v="0"/>
    <x v="0"/>
    <x v="21"/>
    <x v="3"/>
    <x v="1"/>
    <x v="2"/>
    <x v="1"/>
    <x v="2"/>
    <n v="0.16"/>
    <x v="0"/>
    <n v="0.1515"/>
    <n v="0.8"/>
    <n v="0.19400000000000001"/>
    <x v="0"/>
    <x v="9"/>
    <x v="110"/>
  </r>
  <r>
    <n v="395"/>
    <x v="16"/>
    <x v="0"/>
    <x v="0"/>
    <x v="0"/>
    <x v="22"/>
    <x v="3"/>
    <x v="1"/>
    <x v="2"/>
    <x v="1"/>
    <x v="2"/>
    <n v="0.14000000000000001"/>
    <x v="4"/>
    <n v="0.1212"/>
    <n v="0.93"/>
    <n v="0.25369999999999998"/>
    <x v="3"/>
    <x v="0"/>
    <x v="3"/>
  </r>
  <r>
    <n v="396"/>
    <x v="16"/>
    <x v="0"/>
    <x v="0"/>
    <x v="0"/>
    <x v="23"/>
    <x v="3"/>
    <x v="1"/>
    <x v="2"/>
    <x v="1"/>
    <x v="2"/>
    <n v="0.16"/>
    <x v="0"/>
    <n v="0.13639999999999999"/>
    <n v="0.86"/>
    <n v="0.28360000000000002"/>
    <x v="5"/>
    <x v="35"/>
    <x v="48"/>
  </r>
  <r>
    <n v="397"/>
    <x v="17"/>
    <x v="0"/>
    <x v="0"/>
    <x v="0"/>
    <x v="12"/>
    <x v="2"/>
    <x v="0"/>
    <x v="3"/>
    <x v="1"/>
    <x v="1"/>
    <n v="0.2"/>
    <x v="0"/>
    <n v="0.18179999999999999"/>
    <n v="0.86"/>
    <n v="0.32840000000000003"/>
    <x v="3"/>
    <x v="35"/>
    <x v="6"/>
  </r>
  <r>
    <n v="398"/>
    <x v="17"/>
    <x v="0"/>
    <x v="0"/>
    <x v="0"/>
    <x v="13"/>
    <x v="2"/>
    <x v="0"/>
    <x v="3"/>
    <x v="1"/>
    <x v="1"/>
    <n v="0.2"/>
    <x v="0"/>
    <n v="0.19700000000000001"/>
    <n v="0.86"/>
    <n v="0.22389999999999999"/>
    <x v="3"/>
    <x v="97"/>
    <x v="34"/>
  </r>
  <r>
    <n v="399"/>
    <x v="17"/>
    <x v="0"/>
    <x v="0"/>
    <x v="0"/>
    <x v="14"/>
    <x v="2"/>
    <x v="0"/>
    <x v="3"/>
    <x v="1"/>
    <x v="1"/>
    <n v="0.22"/>
    <x v="0"/>
    <n v="0.2273"/>
    <n v="0.8"/>
    <n v="0.16420000000000001"/>
    <x v="4"/>
    <x v="16"/>
    <x v="20"/>
  </r>
  <r>
    <n v="400"/>
    <x v="17"/>
    <x v="0"/>
    <x v="0"/>
    <x v="0"/>
    <x v="15"/>
    <x v="2"/>
    <x v="0"/>
    <x v="3"/>
    <x v="1"/>
    <x v="1"/>
    <n v="0.22"/>
    <x v="0"/>
    <n v="0.2273"/>
    <n v="0.87"/>
    <n v="0.16420000000000001"/>
    <x v="0"/>
    <x v="1"/>
    <x v="17"/>
  </r>
  <r>
    <n v="401"/>
    <x v="17"/>
    <x v="0"/>
    <x v="0"/>
    <x v="0"/>
    <x v="16"/>
    <x v="2"/>
    <x v="0"/>
    <x v="3"/>
    <x v="1"/>
    <x v="1"/>
    <n v="0.22"/>
    <x v="0"/>
    <n v="0.2273"/>
    <n v="0.87"/>
    <n v="0.19400000000000001"/>
    <x v="3"/>
    <x v="124"/>
    <x v="42"/>
  </r>
  <r>
    <n v="402"/>
    <x v="17"/>
    <x v="0"/>
    <x v="0"/>
    <x v="0"/>
    <x v="17"/>
    <x v="2"/>
    <x v="0"/>
    <x v="3"/>
    <x v="1"/>
    <x v="1"/>
    <n v="0.22"/>
    <x v="0"/>
    <n v="0.2273"/>
    <n v="0.82"/>
    <n v="0.19400000000000001"/>
    <x v="5"/>
    <x v="125"/>
    <x v="139"/>
  </r>
  <r>
    <n v="403"/>
    <x v="17"/>
    <x v="0"/>
    <x v="0"/>
    <x v="0"/>
    <x v="18"/>
    <x v="3"/>
    <x v="0"/>
    <x v="3"/>
    <x v="1"/>
    <x v="1"/>
    <n v="0.22"/>
    <x v="0"/>
    <n v="0.2273"/>
    <n v="0.8"/>
    <n v="0.16420000000000001"/>
    <x v="5"/>
    <x v="126"/>
    <x v="140"/>
  </r>
  <r>
    <n v="404"/>
    <x v="17"/>
    <x v="0"/>
    <x v="0"/>
    <x v="0"/>
    <x v="19"/>
    <x v="3"/>
    <x v="0"/>
    <x v="3"/>
    <x v="1"/>
    <x v="1"/>
    <n v="0.22"/>
    <x v="0"/>
    <n v="0.2273"/>
    <n v="0.8"/>
    <n v="0.1343"/>
    <x v="5"/>
    <x v="52"/>
    <x v="111"/>
  </r>
  <r>
    <n v="405"/>
    <x v="17"/>
    <x v="0"/>
    <x v="0"/>
    <x v="0"/>
    <x v="20"/>
    <x v="3"/>
    <x v="0"/>
    <x v="3"/>
    <x v="1"/>
    <x v="1"/>
    <n v="0.22"/>
    <x v="0"/>
    <n v="0.2727"/>
    <n v="0.87"/>
    <n v="0"/>
    <x v="3"/>
    <x v="93"/>
    <x v="56"/>
  </r>
  <r>
    <n v="406"/>
    <x v="17"/>
    <x v="0"/>
    <x v="0"/>
    <x v="0"/>
    <x v="21"/>
    <x v="3"/>
    <x v="0"/>
    <x v="3"/>
    <x v="1"/>
    <x v="1"/>
    <n v="0.22"/>
    <x v="0"/>
    <n v="0.2424"/>
    <n v="0.93"/>
    <n v="0.1045"/>
    <x v="3"/>
    <x v="40"/>
    <x v="102"/>
  </r>
  <r>
    <n v="407"/>
    <x v="17"/>
    <x v="0"/>
    <x v="0"/>
    <x v="0"/>
    <x v="22"/>
    <x v="3"/>
    <x v="0"/>
    <x v="3"/>
    <x v="1"/>
    <x v="1"/>
    <n v="0.22"/>
    <x v="0"/>
    <n v="0.2576"/>
    <n v="0.93"/>
    <n v="8.9599999999999999E-2"/>
    <x v="3"/>
    <x v="39"/>
    <x v="63"/>
  </r>
  <r>
    <n v="408"/>
    <x v="17"/>
    <x v="0"/>
    <x v="0"/>
    <x v="0"/>
    <x v="23"/>
    <x v="3"/>
    <x v="0"/>
    <x v="3"/>
    <x v="1"/>
    <x v="1"/>
    <n v="0.22"/>
    <x v="0"/>
    <n v="0.2727"/>
    <n v="0.93"/>
    <n v="0"/>
    <x v="5"/>
    <x v="23"/>
    <x v="25"/>
  </r>
  <r>
    <n v="409"/>
    <x v="18"/>
    <x v="0"/>
    <x v="0"/>
    <x v="0"/>
    <x v="0"/>
    <x v="0"/>
    <x v="0"/>
    <x v="4"/>
    <x v="1"/>
    <x v="1"/>
    <n v="0.22"/>
    <x v="0"/>
    <n v="0.2727"/>
    <n v="0.93"/>
    <n v="0"/>
    <x v="3"/>
    <x v="35"/>
    <x v="6"/>
  </r>
  <r>
    <n v="410"/>
    <x v="18"/>
    <x v="0"/>
    <x v="0"/>
    <x v="0"/>
    <x v="1"/>
    <x v="0"/>
    <x v="0"/>
    <x v="4"/>
    <x v="1"/>
    <x v="2"/>
    <n v="0.22"/>
    <x v="0"/>
    <n v="0.2273"/>
    <n v="0.93"/>
    <n v="0.1343"/>
    <x v="5"/>
    <x v="8"/>
    <x v="85"/>
  </r>
  <r>
    <n v="411"/>
    <x v="18"/>
    <x v="0"/>
    <x v="0"/>
    <x v="0"/>
    <x v="2"/>
    <x v="0"/>
    <x v="0"/>
    <x v="4"/>
    <x v="1"/>
    <x v="2"/>
    <n v="0.22"/>
    <x v="0"/>
    <n v="0.2273"/>
    <n v="0.93"/>
    <n v="0.1343"/>
    <x v="3"/>
    <x v="35"/>
    <x v="6"/>
  </r>
  <r>
    <n v="412"/>
    <x v="18"/>
    <x v="0"/>
    <x v="0"/>
    <x v="0"/>
    <x v="4"/>
    <x v="0"/>
    <x v="0"/>
    <x v="4"/>
    <x v="1"/>
    <x v="2"/>
    <n v="0.22"/>
    <x v="0"/>
    <n v="0.2273"/>
    <n v="0.93"/>
    <n v="0.1343"/>
    <x v="5"/>
    <x v="4"/>
    <x v="5"/>
  </r>
  <r>
    <n v="413"/>
    <x v="18"/>
    <x v="0"/>
    <x v="0"/>
    <x v="0"/>
    <x v="5"/>
    <x v="0"/>
    <x v="0"/>
    <x v="4"/>
    <x v="1"/>
    <x v="1"/>
    <n v="0.22"/>
    <x v="0"/>
    <n v="0.2576"/>
    <n v="0.93"/>
    <n v="8.9599999999999999E-2"/>
    <x v="3"/>
    <x v="7"/>
    <x v="85"/>
  </r>
  <r>
    <n v="414"/>
    <x v="18"/>
    <x v="0"/>
    <x v="0"/>
    <x v="0"/>
    <x v="6"/>
    <x v="1"/>
    <x v="0"/>
    <x v="4"/>
    <x v="1"/>
    <x v="1"/>
    <n v="0.22"/>
    <x v="0"/>
    <n v="0.2576"/>
    <n v="0.93"/>
    <n v="8.9599999999999999E-2"/>
    <x v="3"/>
    <x v="1"/>
    <x v="2"/>
  </r>
  <r>
    <n v="415"/>
    <x v="18"/>
    <x v="0"/>
    <x v="0"/>
    <x v="0"/>
    <x v="7"/>
    <x v="1"/>
    <x v="0"/>
    <x v="4"/>
    <x v="1"/>
    <x v="1"/>
    <n v="0.24"/>
    <x v="0"/>
    <n v="0.2576"/>
    <n v="0.92"/>
    <n v="0.1045"/>
    <x v="5"/>
    <x v="121"/>
    <x v="127"/>
  </r>
  <r>
    <n v="416"/>
    <x v="18"/>
    <x v="0"/>
    <x v="0"/>
    <x v="0"/>
    <x v="8"/>
    <x v="1"/>
    <x v="0"/>
    <x v="4"/>
    <x v="1"/>
    <x v="1"/>
    <n v="0.24"/>
    <x v="0"/>
    <n v="0.2576"/>
    <n v="0.93"/>
    <n v="0.1045"/>
    <x v="5"/>
    <x v="127"/>
    <x v="141"/>
  </r>
  <r>
    <n v="417"/>
    <x v="18"/>
    <x v="0"/>
    <x v="0"/>
    <x v="0"/>
    <x v="9"/>
    <x v="1"/>
    <x v="0"/>
    <x v="4"/>
    <x v="1"/>
    <x v="1"/>
    <n v="0.24"/>
    <x v="0"/>
    <n v="0.2576"/>
    <n v="0.93"/>
    <n v="0.1045"/>
    <x v="4"/>
    <x v="128"/>
    <x v="142"/>
  </r>
  <r>
    <n v="418"/>
    <x v="18"/>
    <x v="0"/>
    <x v="0"/>
    <x v="0"/>
    <x v="10"/>
    <x v="1"/>
    <x v="0"/>
    <x v="4"/>
    <x v="1"/>
    <x v="1"/>
    <n v="0.26"/>
    <x v="1"/>
    <n v="0.2727"/>
    <n v="0.93"/>
    <n v="0.1343"/>
    <x v="5"/>
    <x v="24"/>
    <x v="105"/>
  </r>
  <r>
    <n v="419"/>
    <x v="18"/>
    <x v="0"/>
    <x v="0"/>
    <x v="0"/>
    <x v="11"/>
    <x v="1"/>
    <x v="0"/>
    <x v="4"/>
    <x v="1"/>
    <x v="1"/>
    <n v="0.28000000000000003"/>
    <x v="1"/>
    <n v="0.30299999999999999"/>
    <n v="0.87"/>
    <n v="8.9599999999999999E-2"/>
    <x v="2"/>
    <x v="12"/>
    <x v="46"/>
  </r>
  <r>
    <n v="420"/>
    <x v="18"/>
    <x v="0"/>
    <x v="0"/>
    <x v="0"/>
    <x v="12"/>
    <x v="2"/>
    <x v="0"/>
    <x v="4"/>
    <x v="1"/>
    <x v="1"/>
    <n v="0.3"/>
    <x v="1"/>
    <n v="0.31819999999999998"/>
    <n v="0.81"/>
    <n v="8.9599999999999999E-2"/>
    <x v="2"/>
    <x v="65"/>
    <x v="27"/>
  </r>
  <r>
    <n v="421"/>
    <x v="18"/>
    <x v="0"/>
    <x v="0"/>
    <x v="0"/>
    <x v="13"/>
    <x v="2"/>
    <x v="0"/>
    <x v="4"/>
    <x v="1"/>
    <x v="0"/>
    <n v="0.4"/>
    <x v="2"/>
    <n v="0.40910000000000002"/>
    <n v="0.62"/>
    <n v="0.28360000000000002"/>
    <x v="16"/>
    <x v="28"/>
    <x v="53"/>
  </r>
  <r>
    <n v="422"/>
    <x v="18"/>
    <x v="0"/>
    <x v="0"/>
    <x v="0"/>
    <x v="14"/>
    <x v="2"/>
    <x v="0"/>
    <x v="4"/>
    <x v="1"/>
    <x v="0"/>
    <n v="0.4"/>
    <x v="2"/>
    <n v="0.40910000000000002"/>
    <n v="0.57999999999999996"/>
    <n v="0.25369999999999998"/>
    <x v="18"/>
    <x v="56"/>
    <x v="28"/>
  </r>
  <r>
    <n v="423"/>
    <x v="18"/>
    <x v="0"/>
    <x v="0"/>
    <x v="0"/>
    <x v="15"/>
    <x v="2"/>
    <x v="0"/>
    <x v="4"/>
    <x v="1"/>
    <x v="0"/>
    <n v="0.4"/>
    <x v="2"/>
    <n v="0.40910000000000002"/>
    <n v="0.54"/>
    <n v="0.28360000000000002"/>
    <x v="17"/>
    <x v="78"/>
    <x v="100"/>
  </r>
  <r>
    <n v="424"/>
    <x v="18"/>
    <x v="0"/>
    <x v="0"/>
    <x v="0"/>
    <x v="16"/>
    <x v="2"/>
    <x v="0"/>
    <x v="4"/>
    <x v="1"/>
    <x v="0"/>
    <n v="0.38"/>
    <x v="2"/>
    <n v="0.39389999999999997"/>
    <n v="0.57999999999999996"/>
    <n v="0.3881"/>
    <x v="22"/>
    <x v="111"/>
    <x v="133"/>
  </r>
  <r>
    <n v="425"/>
    <x v="18"/>
    <x v="0"/>
    <x v="0"/>
    <x v="0"/>
    <x v="17"/>
    <x v="2"/>
    <x v="0"/>
    <x v="4"/>
    <x v="1"/>
    <x v="0"/>
    <n v="0.36"/>
    <x v="2"/>
    <n v="0.33329999999999999"/>
    <n v="0.56999999999999995"/>
    <n v="0.32840000000000003"/>
    <x v="18"/>
    <x v="84"/>
    <x v="141"/>
  </r>
  <r>
    <n v="426"/>
    <x v="18"/>
    <x v="0"/>
    <x v="0"/>
    <x v="0"/>
    <x v="18"/>
    <x v="3"/>
    <x v="0"/>
    <x v="4"/>
    <x v="1"/>
    <x v="0"/>
    <n v="0.34"/>
    <x v="2"/>
    <n v="0.31819999999999998"/>
    <n v="0.61"/>
    <n v="0.28360000000000002"/>
    <x v="2"/>
    <x v="117"/>
    <x v="143"/>
  </r>
  <r>
    <n v="427"/>
    <x v="18"/>
    <x v="0"/>
    <x v="0"/>
    <x v="0"/>
    <x v="19"/>
    <x v="3"/>
    <x v="0"/>
    <x v="4"/>
    <x v="1"/>
    <x v="0"/>
    <n v="0.32"/>
    <x v="1"/>
    <n v="0.28789999999999999"/>
    <n v="0.56999999999999995"/>
    <n v="0.41789999999999999"/>
    <x v="17"/>
    <x v="123"/>
    <x v="59"/>
  </r>
  <r>
    <n v="428"/>
    <x v="18"/>
    <x v="0"/>
    <x v="0"/>
    <x v="0"/>
    <x v="20"/>
    <x v="3"/>
    <x v="0"/>
    <x v="4"/>
    <x v="1"/>
    <x v="0"/>
    <n v="0.32"/>
    <x v="1"/>
    <n v="0.30299999999999999"/>
    <n v="0.49"/>
    <n v="0.29849999999999999"/>
    <x v="4"/>
    <x v="64"/>
    <x v="31"/>
  </r>
  <r>
    <n v="429"/>
    <x v="18"/>
    <x v="0"/>
    <x v="0"/>
    <x v="0"/>
    <x v="21"/>
    <x v="3"/>
    <x v="0"/>
    <x v="4"/>
    <x v="1"/>
    <x v="0"/>
    <n v="0.32"/>
    <x v="1"/>
    <n v="0.28789999999999999"/>
    <n v="0.49"/>
    <n v="0.41789999999999999"/>
    <x v="17"/>
    <x v="11"/>
    <x v="29"/>
  </r>
  <r>
    <n v="430"/>
    <x v="18"/>
    <x v="0"/>
    <x v="0"/>
    <x v="0"/>
    <x v="22"/>
    <x v="3"/>
    <x v="0"/>
    <x v="4"/>
    <x v="1"/>
    <x v="0"/>
    <n v="0.3"/>
    <x v="1"/>
    <n v="0.30299999999999999"/>
    <n v="0.52"/>
    <n v="0.16420000000000001"/>
    <x v="15"/>
    <x v="42"/>
    <x v="29"/>
  </r>
  <r>
    <n v="431"/>
    <x v="18"/>
    <x v="0"/>
    <x v="0"/>
    <x v="0"/>
    <x v="23"/>
    <x v="3"/>
    <x v="0"/>
    <x v="4"/>
    <x v="1"/>
    <x v="0"/>
    <n v="0.3"/>
    <x v="1"/>
    <n v="0.2727"/>
    <n v="0.52"/>
    <n v="0.4627"/>
    <x v="5"/>
    <x v="2"/>
    <x v="20"/>
  </r>
  <r>
    <n v="432"/>
    <x v="19"/>
    <x v="0"/>
    <x v="0"/>
    <x v="0"/>
    <x v="0"/>
    <x v="0"/>
    <x v="0"/>
    <x v="5"/>
    <x v="1"/>
    <x v="0"/>
    <n v="0.26"/>
    <x v="1"/>
    <n v="0.2273"/>
    <n v="0.56000000000000005"/>
    <n v="0.3881"/>
    <x v="2"/>
    <x v="21"/>
    <x v="3"/>
  </r>
  <r>
    <n v="433"/>
    <x v="19"/>
    <x v="0"/>
    <x v="0"/>
    <x v="0"/>
    <x v="1"/>
    <x v="0"/>
    <x v="0"/>
    <x v="5"/>
    <x v="1"/>
    <x v="0"/>
    <n v="0.26"/>
    <x v="1"/>
    <n v="0.2727"/>
    <n v="0.56000000000000005"/>
    <n v="0"/>
    <x v="4"/>
    <x v="35"/>
    <x v="36"/>
  </r>
  <r>
    <n v="434"/>
    <x v="19"/>
    <x v="0"/>
    <x v="0"/>
    <x v="0"/>
    <x v="2"/>
    <x v="0"/>
    <x v="0"/>
    <x v="5"/>
    <x v="1"/>
    <x v="0"/>
    <n v="0.26"/>
    <x v="1"/>
    <n v="0.2727"/>
    <n v="0.56000000000000005"/>
    <n v="0"/>
    <x v="3"/>
    <x v="6"/>
    <x v="5"/>
  </r>
  <r>
    <n v="435"/>
    <x v="19"/>
    <x v="0"/>
    <x v="0"/>
    <x v="0"/>
    <x v="3"/>
    <x v="0"/>
    <x v="0"/>
    <x v="5"/>
    <x v="1"/>
    <x v="0"/>
    <n v="0.26"/>
    <x v="1"/>
    <n v="0.2576"/>
    <n v="0.56000000000000005"/>
    <n v="0.16420000000000001"/>
    <x v="3"/>
    <x v="4"/>
    <x v="4"/>
  </r>
  <r>
    <n v="436"/>
    <x v="19"/>
    <x v="0"/>
    <x v="0"/>
    <x v="0"/>
    <x v="4"/>
    <x v="0"/>
    <x v="0"/>
    <x v="5"/>
    <x v="1"/>
    <x v="0"/>
    <n v="0.26"/>
    <x v="1"/>
    <n v="0.2576"/>
    <n v="0.56000000000000005"/>
    <n v="0.16420000000000001"/>
    <x v="3"/>
    <x v="4"/>
    <x v="4"/>
  </r>
  <r>
    <n v="437"/>
    <x v="19"/>
    <x v="0"/>
    <x v="0"/>
    <x v="0"/>
    <x v="5"/>
    <x v="0"/>
    <x v="0"/>
    <x v="5"/>
    <x v="1"/>
    <x v="0"/>
    <n v="0.24"/>
    <x v="0"/>
    <n v="0.2273"/>
    <n v="0.6"/>
    <n v="0.22389999999999999"/>
    <x v="3"/>
    <x v="8"/>
    <x v="24"/>
  </r>
  <r>
    <n v="438"/>
    <x v="19"/>
    <x v="0"/>
    <x v="0"/>
    <x v="0"/>
    <x v="6"/>
    <x v="1"/>
    <x v="0"/>
    <x v="5"/>
    <x v="1"/>
    <x v="0"/>
    <n v="0.22"/>
    <x v="0"/>
    <n v="0.21210000000000001"/>
    <n v="0.6"/>
    <n v="0.22389999999999999"/>
    <x v="3"/>
    <x v="96"/>
    <x v="17"/>
  </r>
  <r>
    <n v="439"/>
    <x v="19"/>
    <x v="0"/>
    <x v="0"/>
    <x v="0"/>
    <x v="7"/>
    <x v="1"/>
    <x v="0"/>
    <x v="5"/>
    <x v="1"/>
    <x v="0"/>
    <n v="0.22"/>
    <x v="0"/>
    <n v="0.21210000000000001"/>
    <n v="0.55000000000000004"/>
    <n v="0.22389999999999999"/>
    <x v="5"/>
    <x v="129"/>
    <x v="129"/>
  </r>
  <r>
    <n v="440"/>
    <x v="19"/>
    <x v="0"/>
    <x v="0"/>
    <x v="0"/>
    <x v="8"/>
    <x v="1"/>
    <x v="0"/>
    <x v="5"/>
    <x v="1"/>
    <x v="0"/>
    <n v="0.22"/>
    <x v="0"/>
    <n v="0.21210000000000001"/>
    <n v="0.55000000000000004"/>
    <n v="0.28360000000000002"/>
    <x v="4"/>
    <x v="130"/>
    <x v="144"/>
  </r>
  <r>
    <n v="441"/>
    <x v="19"/>
    <x v="0"/>
    <x v="0"/>
    <x v="0"/>
    <x v="9"/>
    <x v="1"/>
    <x v="0"/>
    <x v="5"/>
    <x v="1"/>
    <x v="1"/>
    <n v="0.24"/>
    <x v="0"/>
    <n v="0.2273"/>
    <n v="0.52"/>
    <n v="0.22389999999999999"/>
    <x v="0"/>
    <x v="131"/>
    <x v="145"/>
  </r>
  <r>
    <n v="442"/>
    <x v="19"/>
    <x v="0"/>
    <x v="0"/>
    <x v="0"/>
    <x v="10"/>
    <x v="1"/>
    <x v="0"/>
    <x v="5"/>
    <x v="1"/>
    <x v="0"/>
    <n v="0.26"/>
    <x v="1"/>
    <n v="0.2273"/>
    <n v="0.48"/>
    <n v="0.29849999999999999"/>
    <x v="5"/>
    <x v="90"/>
    <x v="52"/>
  </r>
  <r>
    <n v="443"/>
    <x v="19"/>
    <x v="0"/>
    <x v="0"/>
    <x v="0"/>
    <x v="11"/>
    <x v="1"/>
    <x v="0"/>
    <x v="5"/>
    <x v="1"/>
    <x v="1"/>
    <n v="0.28000000000000003"/>
    <x v="1"/>
    <n v="0.2727"/>
    <n v="0.45"/>
    <n v="0.16420000000000001"/>
    <x v="2"/>
    <x v="36"/>
    <x v="118"/>
  </r>
  <r>
    <n v="444"/>
    <x v="19"/>
    <x v="0"/>
    <x v="0"/>
    <x v="0"/>
    <x v="12"/>
    <x v="2"/>
    <x v="0"/>
    <x v="5"/>
    <x v="1"/>
    <x v="1"/>
    <n v="0.3"/>
    <x v="1"/>
    <n v="0.33329999999999999"/>
    <n v="0.42"/>
    <n v="0"/>
    <x v="18"/>
    <x v="99"/>
    <x v="11"/>
  </r>
  <r>
    <n v="445"/>
    <x v="19"/>
    <x v="0"/>
    <x v="0"/>
    <x v="0"/>
    <x v="13"/>
    <x v="2"/>
    <x v="0"/>
    <x v="5"/>
    <x v="1"/>
    <x v="1"/>
    <n v="0.28000000000000003"/>
    <x v="1"/>
    <n v="0.28789999999999999"/>
    <n v="0.45"/>
    <n v="0.1045"/>
    <x v="6"/>
    <x v="132"/>
    <x v="95"/>
  </r>
  <r>
    <n v="446"/>
    <x v="19"/>
    <x v="0"/>
    <x v="0"/>
    <x v="0"/>
    <x v="14"/>
    <x v="2"/>
    <x v="0"/>
    <x v="5"/>
    <x v="1"/>
    <x v="1"/>
    <n v="0.3"/>
    <x v="1"/>
    <n v="0.30299999999999999"/>
    <n v="0.45"/>
    <n v="0.1343"/>
    <x v="15"/>
    <x v="102"/>
    <x v="117"/>
  </r>
  <r>
    <n v="447"/>
    <x v="19"/>
    <x v="0"/>
    <x v="0"/>
    <x v="0"/>
    <x v="15"/>
    <x v="2"/>
    <x v="0"/>
    <x v="5"/>
    <x v="1"/>
    <x v="1"/>
    <n v="0.32"/>
    <x v="1"/>
    <n v="0.31819999999999998"/>
    <n v="0.45"/>
    <n v="0.19400000000000001"/>
    <x v="1"/>
    <x v="133"/>
    <x v="27"/>
  </r>
  <r>
    <n v="448"/>
    <x v="19"/>
    <x v="0"/>
    <x v="0"/>
    <x v="0"/>
    <x v="16"/>
    <x v="2"/>
    <x v="0"/>
    <x v="5"/>
    <x v="1"/>
    <x v="1"/>
    <n v="0.3"/>
    <x v="1"/>
    <n v="0.30299999999999999"/>
    <n v="0.49"/>
    <n v="0.1343"/>
    <x v="1"/>
    <x v="93"/>
    <x v="134"/>
  </r>
  <r>
    <n v="449"/>
    <x v="19"/>
    <x v="0"/>
    <x v="0"/>
    <x v="0"/>
    <x v="17"/>
    <x v="2"/>
    <x v="0"/>
    <x v="5"/>
    <x v="1"/>
    <x v="1"/>
    <n v="0.3"/>
    <x v="1"/>
    <n v="0.31819999999999998"/>
    <n v="0.49"/>
    <n v="0.1045"/>
    <x v="1"/>
    <x v="134"/>
    <x v="146"/>
  </r>
  <r>
    <n v="450"/>
    <x v="19"/>
    <x v="0"/>
    <x v="0"/>
    <x v="0"/>
    <x v="18"/>
    <x v="3"/>
    <x v="0"/>
    <x v="5"/>
    <x v="1"/>
    <x v="1"/>
    <n v="0.26"/>
    <x v="1"/>
    <n v="0.2576"/>
    <n v="0.56000000000000005"/>
    <n v="0.19400000000000001"/>
    <x v="5"/>
    <x v="103"/>
    <x v="147"/>
  </r>
  <r>
    <n v="451"/>
    <x v="19"/>
    <x v="0"/>
    <x v="0"/>
    <x v="0"/>
    <x v="19"/>
    <x v="3"/>
    <x v="0"/>
    <x v="5"/>
    <x v="1"/>
    <x v="0"/>
    <n v="0.26"/>
    <x v="1"/>
    <n v="0.2273"/>
    <n v="0.56000000000000005"/>
    <n v="0.32840000000000003"/>
    <x v="15"/>
    <x v="44"/>
    <x v="148"/>
  </r>
  <r>
    <n v="452"/>
    <x v="19"/>
    <x v="0"/>
    <x v="0"/>
    <x v="0"/>
    <x v="20"/>
    <x v="3"/>
    <x v="0"/>
    <x v="5"/>
    <x v="1"/>
    <x v="1"/>
    <n v="0.26"/>
    <x v="1"/>
    <n v="0.2424"/>
    <n v="0.6"/>
    <n v="0.28360000000000002"/>
    <x v="4"/>
    <x v="125"/>
    <x v="149"/>
  </r>
  <r>
    <n v="453"/>
    <x v="19"/>
    <x v="0"/>
    <x v="0"/>
    <x v="0"/>
    <x v="21"/>
    <x v="3"/>
    <x v="0"/>
    <x v="5"/>
    <x v="1"/>
    <x v="1"/>
    <n v="0.24"/>
    <x v="0"/>
    <n v="0.2273"/>
    <n v="0.6"/>
    <n v="0.25369999999999998"/>
    <x v="0"/>
    <x v="25"/>
    <x v="52"/>
  </r>
  <r>
    <n v="454"/>
    <x v="19"/>
    <x v="0"/>
    <x v="0"/>
    <x v="0"/>
    <x v="22"/>
    <x v="3"/>
    <x v="0"/>
    <x v="5"/>
    <x v="1"/>
    <x v="1"/>
    <n v="0.24"/>
    <x v="0"/>
    <n v="0.21210000000000001"/>
    <n v="0.65"/>
    <n v="0.28360000000000002"/>
    <x v="3"/>
    <x v="90"/>
    <x v="10"/>
  </r>
  <r>
    <n v="455"/>
    <x v="19"/>
    <x v="0"/>
    <x v="0"/>
    <x v="0"/>
    <x v="23"/>
    <x v="3"/>
    <x v="0"/>
    <x v="5"/>
    <x v="1"/>
    <x v="1"/>
    <n v="0.24"/>
    <x v="0"/>
    <n v="0.21210000000000001"/>
    <n v="0.65"/>
    <n v="0.32840000000000003"/>
    <x v="0"/>
    <x v="95"/>
    <x v="35"/>
  </r>
  <r>
    <n v="456"/>
    <x v="20"/>
    <x v="0"/>
    <x v="0"/>
    <x v="0"/>
    <x v="0"/>
    <x v="0"/>
    <x v="0"/>
    <x v="6"/>
    <x v="1"/>
    <x v="1"/>
    <n v="0.24"/>
    <x v="0"/>
    <n v="0.2273"/>
    <n v="0.7"/>
    <n v="0.25369999999999998"/>
    <x v="5"/>
    <x v="32"/>
    <x v="137"/>
  </r>
  <r>
    <n v="457"/>
    <x v="20"/>
    <x v="0"/>
    <x v="0"/>
    <x v="0"/>
    <x v="1"/>
    <x v="0"/>
    <x v="0"/>
    <x v="6"/>
    <x v="1"/>
    <x v="1"/>
    <n v="0.24"/>
    <x v="0"/>
    <n v="0.2273"/>
    <n v="0.7"/>
    <n v="0.25369999999999998"/>
    <x v="3"/>
    <x v="8"/>
    <x v="24"/>
  </r>
  <r>
    <n v="458"/>
    <x v="20"/>
    <x v="0"/>
    <x v="0"/>
    <x v="0"/>
    <x v="2"/>
    <x v="0"/>
    <x v="0"/>
    <x v="6"/>
    <x v="1"/>
    <x v="2"/>
    <n v="0.24"/>
    <x v="0"/>
    <n v="0.2424"/>
    <n v="0.75"/>
    <n v="0.16420000000000001"/>
    <x v="3"/>
    <x v="6"/>
    <x v="5"/>
  </r>
  <r>
    <n v="459"/>
    <x v="20"/>
    <x v="0"/>
    <x v="0"/>
    <x v="0"/>
    <x v="3"/>
    <x v="0"/>
    <x v="0"/>
    <x v="6"/>
    <x v="1"/>
    <x v="2"/>
    <n v="0.22"/>
    <x v="0"/>
    <n v="0.21210000000000001"/>
    <n v="0.8"/>
    <n v="0.29849999999999999"/>
    <x v="3"/>
    <x v="4"/>
    <x v="4"/>
  </r>
  <r>
    <n v="460"/>
    <x v="20"/>
    <x v="0"/>
    <x v="0"/>
    <x v="0"/>
    <x v="4"/>
    <x v="0"/>
    <x v="0"/>
    <x v="6"/>
    <x v="1"/>
    <x v="1"/>
    <n v="0.22"/>
    <x v="0"/>
    <n v="0.2576"/>
    <n v="0.87"/>
    <n v="8.9599999999999999E-2"/>
    <x v="3"/>
    <x v="4"/>
    <x v="4"/>
  </r>
  <r>
    <n v="461"/>
    <x v="20"/>
    <x v="0"/>
    <x v="0"/>
    <x v="0"/>
    <x v="5"/>
    <x v="0"/>
    <x v="0"/>
    <x v="6"/>
    <x v="1"/>
    <x v="0"/>
    <n v="0.24"/>
    <x v="0"/>
    <n v="0.19700000000000001"/>
    <n v="0.6"/>
    <n v="0.41789999999999999"/>
    <x v="5"/>
    <x v="22"/>
    <x v="36"/>
  </r>
  <r>
    <n v="462"/>
    <x v="20"/>
    <x v="0"/>
    <x v="0"/>
    <x v="0"/>
    <x v="6"/>
    <x v="1"/>
    <x v="0"/>
    <x v="6"/>
    <x v="1"/>
    <x v="0"/>
    <n v="0.22"/>
    <x v="0"/>
    <n v="0.21210000000000001"/>
    <n v="0.55000000000000004"/>
    <n v="0.25369999999999998"/>
    <x v="3"/>
    <x v="2"/>
    <x v="110"/>
  </r>
  <r>
    <n v="463"/>
    <x v="20"/>
    <x v="0"/>
    <x v="0"/>
    <x v="0"/>
    <x v="7"/>
    <x v="1"/>
    <x v="0"/>
    <x v="6"/>
    <x v="1"/>
    <x v="0"/>
    <n v="0.2"/>
    <x v="0"/>
    <n v="0.18179999999999999"/>
    <n v="0.51"/>
    <n v="0.28360000000000002"/>
    <x v="4"/>
    <x v="43"/>
    <x v="118"/>
  </r>
  <r>
    <n v="464"/>
    <x v="20"/>
    <x v="0"/>
    <x v="0"/>
    <x v="0"/>
    <x v="8"/>
    <x v="1"/>
    <x v="0"/>
    <x v="6"/>
    <x v="1"/>
    <x v="0"/>
    <n v="0.2"/>
    <x v="0"/>
    <n v="0.18179999999999999"/>
    <n v="0.47"/>
    <n v="0.32840000000000003"/>
    <x v="18"/>
    <x v="135"/>
    <x v="112"/>
  </r>
  <r>
    <n v="465"/>
    <x v="20"/>
    <x v="0"/>
    <x v="0"/>
    <x v="0"/>
    <x v="9"/>
    <x v="1"/>
    <x v="0"/>
    <x v="6"/>
    <x v="1"/>
    <x v="0"/>
    <n v="0.2"/>
    <x v="0"/>
    <n v="0.18179999999999999"/>
    <n v="0.51"/>
    <n v="0.35820000000000002"/>
    <x v="18"/>
    <x v="136"/>
    <x v="150"/>
  </r>
  <r>
    <n v="466"/>
    <x v="20"/>
    <x v="0"/>
    <x v="0"/>
    <x v="0"/>
    <x v="10"/>
    <x v="1"/>
    <x v="0"/>
    <x v="6"/>
    <x v="1"/>
    <x v="0"/>
    <n v="0.2"/>
    <x v="0"/>
    <n v="0.16669999999999999"/>
    <n v="0.47"/>
    <n v="0.4627"/>
    <x v="15"/>
    <x v="77"/>
    <x v="55"/>
  </r>
  <r>
    <n v="467"/>
    <x v="20"/>
    <x v="0"/>
    <x v="0"/>
    <x v="0"/>
    <x v="11"/>
    <x v="1"/>
    <x v="0"/>
    <x v="6"/>
    <x v="1"/>
    <x v="0"/>
    <n v="0.22"/>
    <x v="0"/>
    <n v="0.18179999999999999"/>
    <n v="0.41"/>
    <n v="0.4627"/>
    <x v="15"/>
    <x v="42"/>
    <x v="29"/>
  </r>
  <r>
    <n v="468"/>
    <x v="20"/>
    <x v="0"/>
    <x v="0"/>
    <x v="0"/>
    <x v="12"/>
    <x v="2"/>
    <x v="0"/>
    <x v="6"/>
    <x v="1"/>
    <x v="0"/>
    <n v="0.22"/>
    <x v="0"/>
    <n v="0.18179999999999999"/>
    <n v="0.27"/>
    <n v="0.58209999999999995"/>
    <x v="16"/>
    <x v="28"/>
    <x v="53"/>
  </r>
  <r>
    <n v="469"/>
    <x v="20"/>
    <x v="0"/>
    <x v="0"/>
    <x v="0"/>
    <x v="13"/>
    <x v="2"/>
    <x v="0"/>
    <x v="6"/>
    <x v="1"/>
    <x v="0"/>
    <n v="0.2"/>
    <x v="0"/>
    <n v="0.1515"/>
    <n v="0.21"/>
    <n v="0.58209999999999995"/>
    <x v="1"/>
    <x v="65"/>
    <x v="88"/>
  </r>
  <r>
    <n v="470"/>
    <x v="20"/>
    <x v="0"/>
    <x v="0"/>
    <x v="0"/>
    <x v="14"/>
    <x v="2"/>
    <x v="0"/>
    <x v="6"/>
    <x v="1"/>
    <x v="0"/>
    <n v="0.2"/>
    <x v="0"/>
    <n v="0.1515"/>
    <n v="0.25"/>
    <n v="0.52239999999999998"/>
    <x v="15"/>
    <x v="90"/>
    <x v="69"/>
  </r>
  <r>
    <n v="471"/>
    <x v="20"/>
    <x v="0"/>
    <x v="0"/>
    <x v="0"/>
    <x v="15"/>
    <x v="2"/>
    <x v="0"/>
    <x v="6"/>
    <x v="1"/>
    <x v="0"/>
    <n v="0.16"/>
    <x v="0"/>
    <n v="0.1212"/>
    <n v="0.26"/>
    <n v="0.44779999999999998"/>
    <x v="17"/>
    <x v="124"/>
    <x v="32"/>
  </r>
  <r>
    <n v="472"/>
    <x v="20"/>
    <x v="0"/>
    <x v="0"/>
    <x v="0"/>
    <x v="16"/>
    <x v="2"/>
    <x v="0"/>
    <x v="6"/>
    <x v="1"/>
    <x v="0"/>
    <n v="0.16"/>
    <x v="0"/>
    <n v="0.13639999999999999"/>
    <n v="0.26"/>
    <n v="0.35820000000000002"/>
    <x v="3"/>
    <x v="106"/>
    <x v="54"/>
  </r>
  <r>
    <n v="473"/>
    <x v="20"/>
    <x v="0"/>
    <x v="0"/>
    <x v="0"/>
    <x v="17"/>
    <x v="2"/>
    <x v="0"/>
    <x v="6"/>
    <x v="1"/>
    <x v="0"/>
    <n v="0.14000000000000001"/>
    <x v="4"/>
    <n v="0.1212"/>
    <n v="0.28000000000000003"/>
    <n v="0.35820000000000002"/>
    <x v="22"/>
    <x v="137"/>
    <x v="143"/>
  </r>
  <r>
    <n v="474"/>
    <x v="20"/>
    <x v="0"/>
    <x v="0"/>
    <x v="0"/>
    <x v="18"/>
    <x v="3"/>
    <x v="0"/>
    <x v="6"/>
    <x v="1"/>
    <x v="0"/>
    <n v="0.12"/>
    <x v="4"/>
    <n v="0.1212"/>
    <n v="0.3"/>
    <n v="0.25369999999999998"/>
    <x v="5"/>
    <x v="138"/>
    <x v="151"/>
  </r>
  <r>
    <n v="475"/>
    <x v="20"/>
    <x v="0"/>
    <x v="0"/>
    <x v="0"/>
    <x v="19"/>
    <x v="3"/>
    <x v="0"/>
    <x v="6"/>
    <x v="1"/>
    <x v="0"/>
    <n v="0.12"/>
    <x v="4"/>
    <n v="0.1061"/>
    <n v="0.3"/>
    <n v="0.32840000000000003"/>
    <x v="0"/>
    <x v="139"/>
    <x v="152"/>
  </r>
  <r>
    <n v="476"/>
    <x v="20"/>
    <x v="0"/>
    <x v="0"/>
    <x v="0"/>
    <x v="20"/>
    <x v="3"/>
    <x v="0"/>
    <x v="6"/>
    <x v="1"/>
    <x v="0"/>
    <n v="0.1"/>
    <x v="4"/>
    <n v="7.5800000000000006E-2"/>
    <n v="0.33"/>
    <n v="0.41789999999999999"/>
    <x v="5"/>
    <x v="15"/>
    <x v="26"/>
  </r>
  <r>
    <n v="477"/>
    <x v="20"/>
    <x v="0"/>
    <x v="0"/>
    <x v="0"/>
    <x v="21"/>
    <x v="3"/>
    <x v="0"/>
    <x v="6"/>
    <x v="1"/>
    <x v="0"/>
    <n v="0.08"/>
    <x v="4"/>
    <n v="7.5800000000000006E-2"/>
    <n v="0.38"/>
    <n v="0.28360000000000002"/>
    <x v="3"/>
    <x v="40"/>
    <x v="102"/>
  </r>
  <r>
    <n v="478"/>
    <x v="20"/>
    <x v="0"/>
    <x v="0"/>
    <x v="0"/>
    <x v="22"/>
    <x v="3"/>
    <x v="0"/>
    <x v="6"/>
    <x v="1"/>
    <x v="0"/>
    <n v="0.06"/>
    <x v="4"/>
    <n v="3.0300000000000001E-2"/>
    <n v="0.41"/>
    <n v="0.3881"/>
    <x v="5"/>
    <x v="39"/>
    <x v="19"/>
  </r>
  <r>
    <n v="479"/>
    <x v="20"/>
    <x v="0"/>
    <x v="0"/>
    <x v="0"/>
    <x v="23"/>
    <x v="3"/>
    <x v="0"/>
    <x v="6"/>
    <x v="1"/>
    <x v="0"/>
    <n v="0.06"/>
    <x v="4"/>
    <n v="4.5499999999999999E-2"/>
    <n v="0.38"/>
    <n v="0.32840000000000003"/>
    <x v="3"/>
    <x v="2"/>
    <x v="110"/>
  </r>
  <r>
    <n v="480"/>
    <x v="21"/>
    <x v="0"/>
    <x v="0"/>
    <x v="0"/>
    <x v="0"/>
    <x v="0"/>
    <x v="0"/>
    <x v="0"/>
    <x v="0"/>
    <x v="0"/>
    <n v="0.04"/>
    <x v="4"/>
    <n v="3.0300000000000001E-2"/>
    <n v="0.45"/>
    <n v="0.25369999999999998"/>
    <x v="3"/>
    <x v="0"/>
    <x v="3"/>
  </r>
  <r>
    <n v="481"/>
    <x v="21"/>
    <x v="0"/>
    <x v="0"/>
    <x v="0"/>
    <x v="1"/>
    <x v="0"/>
    <x v="0"/>
    <x v="0"/>
    <x v="0"/>
    <x v="1"/>
    <n v="0.04"/>
    <x v="4"/>
    <n v="0"/>
    <n v="0.41"/>
    <n v="0.3881"/>
    <x v="0"/>
    <x v="33"/>
    <x v="47"/>
  </r>
  <r>
    <n v="482"/>
    <x v="21"/>
    <x v="0"/>
    <x v="0"/>
    <x v="0"/>
    <x v="2"/>
    <x v="0"/>
    <x v="0"/>
    <x v="0"/>
    <x v="0"/>
    <x v="1"/>
    <n v="0.04"/>
    <x v="4"/>
    <n v="3.0300000000000001E-2"/>
    <n v="0.41"/>
    <n v="0.25369999999999998"/>
    <x v="3"/>
    <x v="48"/>
    <x v="62"/>
  </r>
  <r>
    <n v="483"/>
    <x v="21"/>
    <x v="0"/>
    <x v="0"/>
    <x v="0"/>
    <x v="3"/>
    <x v="0"/>
    <x v="0"/>
    <x v="0"/>
    <x v="0"/>
    <x v="1"/>
    <n v="0.04"/>
    <x v="4"/>
    <n v="3.0300000000000001E-2"/>
    <n v="0.41"/>
    <n v="0.28360000000000002"/>
    <x v="5"/>
    <x v="8"/>
    <x v="85"/>
  </r>
  <r>
    <n v="484"/>
    <x v="21"/>
    <x v="0"/>
    <x v="0"/>
    <x v="0"/>
    <x v="4"/>
    <x v="0"/>
    <x v="0"/>
    <x v="0"/>
    <x v="0"/>
    <x v="1"/>
    <n v="0.02"/>
    <x v="4"/>
    <n v="1.52E-2"/>
    <n v="0.48"/>
    <n v="0.29849999999999999"/>
    <x v="3"/>
    <x v="35"/>
    <x v="6"/>
  </r>
  <r>
    <n v="485"/>
    <x v="21"/>
    <x v="0"/>
    <x v="0"/>
    <x v="0"/>
    <x v="6"/>
    <x v="1"/>
    <x v="0"/>
    <x v="0"/>
    <x v="0"/>
    <x v="1"/>
    <n v="0.02"/>
    <x v="4"/>
    <n v="3.0300000000000001E-2"/>
    <n v="0.44"/>
    <n v="0.22389999999999999"/>
    <x v="3"/>
    <x v="6"/>
    <x v="5"/>
  </r>
  <r>
    <n v="486"/>
    <x v="21"/>
    <x v="0"/>
    <x v="0"/>
    <x v="0"/>
    <x v="7"/>
    <x v="1"/>
    <x v="0"/>
    <x v="0"/>
    <x v="0"/>
    <x v="0"/>
    <n v="0.02"/>
    <x v="4"/>
    <n v="1.52E-2"/>
    <n v="0.44"/>
    <n v="0.28360000000000002"/>
    <x v="3"/>
    <x v="21"/>
    <x v="7"/>
  </r>
  <r>
    <n v="487"/>
    <x v="21"/>
    <x v="0"/>
    <x v="0"/>
    <x v="0"/>
    <x v="8"/>
    <x v="1"/>
    <x v="0"/>
    <x v="0"/>
    <x v="0"/>
    <x v="0"/>
    <n v="0.02"/>
    <x v="4"/>
    <n v="0"/>
    <n v="0.44"/>
    <n v="0.32840000000000003"/>
    <x v="5"/>
    <x v="16"/>
    <x v="110"/>
  </r>
  <r>
    <n v="488"/>
    <x v="21"/>
    <x v="0"/>
    <x v="0"/>
    <x v="0"/>
    <x v="9"/>
    <x v="1"/>
    <x v="0"/>
    <x v="0"/>
    <x v="0"/>
    <x v="0"/>
    <n v="0.04"/>
    <x v="4"/>
    <n v="3.0300000000000001E-2"/>
    <n v="0.41"/>
    <n v="0.25369999999999998"/>
    <x v="0"/>
    <x v="53"/>
    <x v="1"/>
  </r>
  <r>
    <n v="489"/>
    <x v="21"/>
    <x v="0"/>
    <x v="0"/>
    <x v="0"/>
    <x v="10"/>
    <x v="1"/>
    <x v="0"/>
    <x v="0"/>
    <x v="0"/>
    <x v="1"/>
    <n v="0.04"/>
    <x v="4"/>
    <n v="6.0600000000000001E-2"/>
    <n v="0.41"/>
    <n v="0.16420000000000001"/>
    <x v="0"/>
    <x v="54"/>
    <x v="26"/>
  </r>
  <r>
    <n v="490"/>
    <x v="21"/>
    <x v="0"/>
    <x v="0"/>
    <x v="0"/>
    <x v="11"/>
    <x v="1"/>
    <x v="0"/>
    <x v="0"/>
    <x v="0"/>
    <x v="1"/>
    <n v="0.06"/>
    <x v="4"/>
    <n v="7.5800000000000006E-2"/>
    <n v="0.38"/>
    <n v="0.1343"/>
    <x v="17"/>
    <x v="79"/>
    <x v="55"/>
  </r>
  <r>
    <n v="491"/>
    <x v="21"/>
    <x v="0"/>
    <x v="0"/>
    <x v="0"/>
    <x v="12"/>
    <x v="2"/>
    <x v="0"/>
    <x v="0"/>
    <x v="0"/>
    <x v="1"/>
    <n v="0.06"/>
    <x v="4"/>
    <n v="0.1061"/>
    <n v="0.38"/>
    <n v="0.1045"/>
    <x v="22"/>
    <x v="91"/>
    <x v="27"/>
  </r>
  <r>
    <n v="492"/>
    <x v="21"/>
    <x v="0"/>
    <x v="0"/>
    <x v="0"/>
    <x v="13"/>
    <x v="2"/>
    <x v="0"/>
    <x v="0"/>
    <x v="0"/>
    <x v="0"/>
    <n v="0.08"/>
    <x v="4"/>
    <n v="0.16669999999999999"/>
    <n v="0.35"/>
    <n v="0"/>
    <x v="6"/>
    <x v="109"/>
    <x v="11"/>
  </r>
  <r>
    <n v="493"/>
    <x v="21"/>
    <x v="0"/>
    <x v="0"/>
    <x v="0"/>
    <x v="14"/>
    <x v="2"/>
    <x v="0"/>
    <x v="0"/>
    <x v="0"/>
    <x v="0"/>
    <n v="0.1"/>
    <x v="4"/>
    <n v="0.13639999999999999"/>
    <n v="0.33"/>
    <n v="0.1045"/>
    <x v="16"/>
    <x v="27"/>
    <x v="28"/>
  </r>
  <r>
    <n v="494"/>
    <x v="21"/>
    <x v="0"/>
    <x v="0"/>
    <x v="0"/>
    <x v="15"/>
    <x v="2"/>
    <x v="0"/>
    <x v="0"/>
    <x v="0"/>
    <x v="0"/>
    <n v="0.12"/>
    <x v="4"/>
    <n v="0.1515"/>
    <n v="0.28000000000000003"/>
    <n v="0"/>
    <x v="22"/>
    <x v="139"/>
    <x v="153"/>
  </r>
  <r>
    <n v="495"/>
    <x v="21"/>
    <x v="0"/>
    <x v="0"/>
    <x v="0"/>
    <x v="16"/>
    <x v="2"/>
    <x v="0"/>
    <x v="0"/>
    <x v="0"/>
    <x v="0"/>
    <n v="0.12"/>
    <x v="4"/>
    <n v="0.13639999999999999"/>
    <n v="0.28000000000000003"/>
    <n v="0.19400000000000001"/>
    <x v="16"/>
    <x v="109"/>
    <x v="56"/>
  </r>
  <r>
    <n v="496"/>
    <x v="21"/>
    <x v="0"/>
    <x v="0"/>
    <x v="0"/>
    <x v="17"/>
    <x v="2"/>
    <x v="0"/>
    <x v="0"/>
    <x v="0"/>
    <x v="0"/>
    <n v="0.12"/>
    <x v="4"/>
    <n v="0.19700000000000001"/>
    <n v="0.28000000000000003"/>
    <n v="0"/>
    <x v="1"/>
    <x v="79"/>
    <x v="16"/>
  </r>
  <r>
    <n v="497"/>
    <x v="21"/>
    <x v="0"/>
    <x v="0"/>
    <x v="0"/>
    <x v="18"/>
    <x v="3"/>
    <x v="0"/>
    <x v="0"/>
    <x v="0"/>
    <x v="0"/>
    <n v="0.08"/>
    <x v="4"/>
    <n v="9.0899999999999995E-2"/>
    <n v="0.35"/>
    <n v="0.19400000000000001"/>
    <x v="3"/>
    <x v="25"/>
    <x v="60"/>
  </r>
  <r>
    <n v="498"/>
    <x v="21"/>
    <x v="0"/>
    <x v="0"/>
    <x v="0"/>
    <x v="19"/>
    <x v="3"/>
    <x v="0"/>
    <x v="0"/>
    <x v="0"/>
    <x v="0"/>
    <n v="0.08"/>
    <x v="4"/>
    <n v="0.1061"/>
    <n v="0.35"/>
    <n v="0.1343"/>
    <x v="15"/>
    <x v="42"/>
    <x v="29"/>
  </r>
  <r>
    <n v="499"/>
    <x v="21"/>
    <x v="0"/>
    <x v="0"/>
    <x v="0"/>
    <x v="20"/>
    <x v="3"/>
    <x v="0"/>
    <x v="0"/>
    <x v="0"/>
    <x v="0"/>
    <n v="0.06"/>
    <x v="4"/>
    <n v="7.5800000000000006E-2"/>
    <n v="0.45"/>
    <n v="0.16420000000000001"/>
    <x v="5"/>
    <x v="100"/>
    <x v="79"/>
  </r>
  <r>
    <n v="500"/>
    <x v="21"/>
    <x v="0"/>
    <x v="0"/>
    <x v="0"/>
    <x v="21"/>
    <x v="3"/>
    <x v="0"/>
    <x v="0"/>
    <x v="0"/>
    <x v="0"/>
    <n v="0.06"/>
    <x v="4"/>
    <n v="0.1061"/>
    <n v="0.41"/>
    <n v="8.9599999999999999E-2"/>
    <x v="3"/>
    <x v="87"/>
    <x v="21"/>
  </r>
  <r>
    <n v="501"/>
    <x v="21"/>
    <x v="0"/>
    <x v="0"/>
    <x v="0"/>
    <x v="22"/>
    <x v="3"/>
    <x v="0"/>
    <x v="0"/>
    <x v="0"/>
    <x v="0"/>
    <n v="0.06"/>
    <x v="4"/>
    <n v="0.1515"/>
    <n v="0.49"/>
    <n v="0"/>
    <x v="18"/>
    <x v="140"/>
    <x v="33"/>
  </r>
  <r>
    <n v="502"/>
    <x v="21"/>
    <x v="0"/>
    <x v="0"/>
    <x v="0"/>
    <x v="23"/>
    <x v="3"/>
    <x v="0"/>
    <x v="0"/>
    <x v="0"/>
    <x v="0"/>
    <n v="0.04"/>
    <x v="4"/>
    <n v="7.5800000000000006E-2"/>
    <n v="0.56999999999999995"/>
    <n v="0.1045"/>
    <x v="4"/>
    <x v="17"/>
    <x v="63"/>
  </r>
  <r>
    <n v="503"/>
    <x v="22"/>
    <x v="0"/>
    <x v="0"/>
    <x v="0"/>
    <x v="0"/>
    <x v="0"/>
    <x v="0"/>
    <x v="1"/>
    <x v="0"/>
    <x v="0"/>
    <n v="0.04"/>
    <x v="4"/>
    <n v="7.5800000000000006E-2"/>
    <n v="0.56999999999999995"/>
    <n v="0.1045"/>
    <x v="4"/>
    <x v="32"/>
    <x v="34"/>
  </r>
  <r>
    <n v="504"/>
    <x v="22"/>
    <x v="0"/>
    <x v="0"/>
    <x v="0"/>
    <x v="1"/>
    <x v="0"/>
    <x v="0"/>
    <x v="1"/>
    <x v="0"/>
    <x v="0"/>
    <n v="0.04"/>
    <x v="4"/>
    <n v="7.5800000000000006E-2"/>
    <n v="0.56999999999999995"/>
    <n v="0.1045"/>
    <x v="5"/>
    <x v="98"/>
    <x v="3"/>
  </r>
  <r>
    <n v="505"/>
    <x v="22"/>
    <x v="0"/>
    <x v="0"/>
    <x v="0"/>
    <x v="2"/>
    <x v="0"/>
    <x v="0"/>
    <x v="1"/>
    <x v="0"/>
    <x v="0"/>
    <n v="0.02"/>
    <x v="4"/>
    <n v="6.0600000000000001E-2"/>
    <n v="0.62"/>
    <n v="0.1343"/>
    <x v="0"/>
    <x v="89"/>
    <x v="109"/>
  </r>
  <r>
    <n v="506"/>
    <x v="22"/>
    <x v="0"/>
    <x v="0"/>
    <x v="0"/>
    <x v="3"/>
    <x v="0"/>
    <x v="0"/>
    <x v="1"/>
    <x v="0"/>
    <x v="0"/>
    <n v="0.02"/>
    <x v="4"/>
    <n v="6.0600000000000001E-2"/>
    <n v="0.62"/>
    <n v="0.1343"/>
    <x v="5"/>
    <x v="22"/>
    <x v="36"/>
  </r>
  <r>
    <n v="507"/>
    <x v="22"/>
    <x v="0"/>
    <x v="0"/>
    <x v="0"/>
    <x v="5"/>
    <x v="0"/>
    <x v="0"/>
    <x v="1"/>
    <x v="0"/>
    <x v="1"/>
    <n v="0.04"/>
    <x v="4"/>
    <n v="7.5800000000000006E-2"/>
    <n v="0.56999999999999995"/>
    <n v="0.1045"/>
    <x v="3"/>
    <x v="35"/>
    <x v="6"/>
  </r>
  <r>
    <n v="508"/>
    <x v="22"/>
    <x v="0"/>
    <x v="0"/>
    <x v="0"/>
    <x v="6"/>
    <x v="1"/>
    <x v="0"/>
    <x v="1"/>
    <x v="0"/>
    <x v="1"/>
    <n v="0.04"/>
    <x v="4"/>
    <n v="7.5800000000000006E-2"/>
    <n v="0.56999999999999995"/>
    <n v="0.1045"/>
    <x v="3"/>
    <x v="4"/>
    <x v="4"/>
  </r>
  <r>
    <n v="509"/>
    <x v="22"/>
    <x v="0"/>
    <x v="0"/>
    <x v="0"/>
    <x v="7"/>
    <x v="1"/>
    <x v="0"/>
    <x v="1"/>
    <x v="0"/>
    <x v="0"/>
    <n v="0.08"/>
    <x v="4"/>
    <n v="0.1061"/>
    <n v="0.57999999999999996"/>
    <n v="0.16420000000000001"/>
    <x v="5"/>
    <x v="4"/>
    <x v="5"/>
  </r>
  <r>
    <n v="510"/>
    <x v="22"/>
    <x v="0"/>
    <x v="0"/>
    <x v="0"/>
    <x v="8"/>
    <x v="1"/>
    <x v="0"/>
    <x v="1"/>
    <x v="0"/>
    <x v="0"/>
    <n v="0.06"/>
    <x v="4"/>
    <n v="7.5800000000000006E-2"/>
    <n v="0.62"/>
    <n v="0.16420000000000001"/>
    <x v="4"/>
    <x v="19"/>
    <x v="75"/>
  </r>
  <r>
    <n v="511"/>
    <x v="22"/>
    <x v="0"/>
    <x v="0"/>
    <x v="0"/>
    <x v="9"/>
    <x v="1"/>
    <x v="0"/>
    <x v="1"/>
    <x v="0"/>
    <x v="0"/>
    <n v="0.1"/>
    <x v="4"/>
    <n v="7.5800000000000006E-2"/>
    <n v="0.54"/>
    <n v="0.35820000000000002"/>
    <x v="0"/>
    <x v="18"/>
    <x v="20"/>
  </r>
  <r>
    <n v="512"/>
    <x v="22"/>
    <x v="0"/>
    <x v="0"/>
    <x v="0"/>
    <x v="10"/>
    <x v="1"/>
    <x v="0"/>
    <x v="1"/>
    <x v="0"/>
    <x v="0"/>
    <n v="0.14000000000000001"/>
    <x v="4"/>
    <n v="0.1061"/>
    <n v="0.46"/>
    <n v="0.3881"/>
    <x v="18"/>
    <x v="82"/>
    <x v="154"/>
  </r>
  <r>
    <n v="513"/>
    <x v="22"/>
    <x v="0"/>
    <x v="0"/>
    <x v="0"/>
    <x v="11"/>
    <x v="1"/>
    <x v="0"/>
    <x v="1"/>
    <x v="0"/>
    <x v="0"/>
    <n v="0.14000000000000001"/>
    <x v="4"/>
    <n v="0.13639999999999999"/>
    <n v="0.43"/>
    <n v="0.22389999999999999"/>
    <x v="30"/>
    <x v="99"/>
    <x v="111"/>
  </r>
  <r>
    <n v="514"/>
    <x v="22"/>
    <x v="0"/>
    <x v="0"/>
    <x v="0"/>
    <x v="12"/>
    <x v="2"/>
    <x v="0"/>
    <x v="1"/>
    <x v="0"/>
    <x v="0"/>
    <n v="0.16"/>
    <x v="0"/>
    <n v="0.1212"/>
    <n v="0.37"/>
    <n v="0.4627"/>
    <x v="31"/>
    <x v="50"/>
    <x v="155"/>
  </r>
  <r>
    <n v="515"/>
    <x v="22"/>
    <x v="0"/>
    <x v="0"/>
    <x v="0"/>
    <x v="13"/>
    <x v="2"/>
    <x v="0"/>
    <x v="1"/>
    <x v="0"/>
    <x v="0"/>
    <n v="0.14000000000000001"/>
    <x v="4"/>
    <n v="0.1061"/>
    <n v="0.33"/>
    <n v="0.3881"/>
    <x v="6"/>
    <x v="102"/>
    <x v="90"/>
  </r>
  <r>
    <n v="516"/>
    <x v="22"/>
    <x v="0"/>
    <x v="0"/>
    <x v="0"/>
    <x v="14"/>
    <x v="2"/>
    <x v="0"/>
    <x v="1"/>
    <x v="0"/>
    <x v="0"/>
    <n v="0.16"/>
    <x v="0"/>
    <n v="0.13639999999999999"/>
    <n v="0.28000000000000003"/>
    <n v="0.35820000000000002"/>
    <x v="26"/>
    <x v="139"/>
    <x v="14"/>
  </r>
  <r>
    <n v="517"/>
    <x v="22"/>
    <x v="0"/>
    <x v="0"/>
    <x v="0"/>
    <x v="15"/>
    <x v="2"/>
    <x v="0"/>
    <x v="1"/>
    <x v="0"/>
    <x v="0"/>
    <n v="0.16"/>
    <x v="0"/>
    <n v="0.13639999999999999"/>
    <n v="0.28000000000000003"/>
    <n v="0.35820000000000002"/>
    <x v="23"/>
    <x v="27"/>
    <x v="43"/>
  </r>
  <r>
    <n v="518"/>
    <x v="22"/>
    <x v="0"/>
    <x v="0"/>
    <x v="0"/>
    <x v="16"/>
    <x v="2"/>
    <x v="0"/>
    <x v="1"/>
    <x v="0"/>
    <x v="0"/>
    <n v="0.16"/>
    <x v="0"/>
    <n v="0.13639999999999999"/>
    <n v="0.26"/>
    <n v="0.32840000000000003"/>
    <x v="14"/>
    <x v="90"/>
    <x v="32"/>
  </r>
  <r>
    <n v="519"/>
    <x v="22"/>
    <x v="0"/>
    <x v="0"/>
    <x v="0"/>
    <x v="17"/>
    <x v="2"/>
    <x v="0"/>
    <x v="1"/>
    <x v="0"/>
    <x v="0"/>
    <n v="0.14000000000000001"/>
    <x v="4"/>
    <n v="0.1061"/>
    <n v="0.26"/>
    <n v="0.3881"/>
    <x v="2"/>
    <x v="54"/>
    <x v="97"/>
  </r>
  <r>
    <n v="520"/>
    <x v="22"/>
    <x v="0"/>
    <x v="0"/>
    <x v="0"/>
    <x v="18"/>
    <x v="3"/>
    <x v="0"/>
    <x v="1"/>
    <x v="0"/>
    <x v="0"/>
    <n v="0.12"/>
    <x v="4"/>
    <n v="0.1212"/>
    <n v="0.3"/>
    <n v="0.25369999999999998"/>
    <x v="2"/>
    <x v="100"/>
    <x v="99"/>
  </r>
  <r>
    <n v="521"/>
    <x v="22"/>
    <x v="0"/>
    <x v="0"/>
    <x v="0"/>
    <x v="19"/>
    <x v="3"/>
    <x v="0"/>
    <x v="1"/>
    <x v="0"/>
    <x v="0"/>
    <n v="0.12"/>
    <x v="4"/>
    <n v="0.1212"/>
    <n v="0.3"/>
    <n v="0.28360000000000002"/>
    <x v="2"/>
    <x v="108"/>
    <x v="89"/>
  </r>
  <r>
    <n v="522"/>
    <x v="22"/>
    <x v="0"/>
    <x v="0"/>
    <x v="0"/>
    <x v="20"/>
    <x v="3"/>
    <x v="0"/>
    <x v="1"/>
    <x v="0"/>
    <x v="0"/>
    <n v="0.1"/>
    <x v="4"/>
    <n v="0.1061"/>
    <n v="0.36"/>
    <n v="0.25369999999999998"/>
    <x v="17"/>
    <x v="17"/>
    <x v="17"/>
  </r>
  <r>
    <n v="523"/>
    <x v="22"/>
    <x v="0"/>
    <x v="0"/>
    <x v="0"/>
    <x v="21"/>
    <x v="3"/>
    <x v="0"/>
    <x v="1"/>
    <x v="0"/>
    <x v="0"/>
    <n v="0.1"/>
    <x v="4"/>
    <n v="0.1061"/>
    <n v="0.36"/>
    <n v="0.19400000000000001"/>
    <x v="2"/>
    <x v="32"/>
    <x v="94"/>
  </r>
  <r>
    <n v="524"/>
    <x v="22"/>
    <x v="0"/>
    <x v="0"/>
    <x v="0"/>
    <x v="22"/>
    <x v="3"/>
    <x v="0"/>
    <x v="1"/>
    <x v="0"/>
    <x v="0"/>
    <n v="0.08"/>
    <x v="4"/>
    <n v="9.0899999999999995E-2"/>
    <n v="0.38"/>
    <n v="0.19400000000000001"/>
    <x v="2"/>
    <x v="140"/>
    <x v="20"/>
  </r>
  <r>
    <n v="525"/>
    <x v="22"/>
    <x v="0"/>
    <x v="0"/>
    <x v="0"/>
    <x v="23"/>
    <x v="3"/>
    <x v="0"/>
    <x v="1"/>
    <x v="0"/>
    <x v="0"/>
    <n v="0.06"/>
    <x v="4"/>
    <n v="6.0600000000000001E-2"/>
    <n v="0.41"/>
    <n v="0.22389999999999999"/>
    <x v="17"/>
    <x v="19"/>
    <x v="137"/>
  </r>
  <r>
    <n v="526"/>
    <x v="23"/>
    <x v="0"/>
    <x v="0"/>
    <x v="0"/>
    <x v="0"/>
    <x v="0"/>
    <x v="0"/>
    <x v="2"/>
    <x v="1"/>
    <x v="0"/>
    <n v="0.06"/>
    <x v="4"/>
    <n v="6.0600000000000001E-2"/>
    <n v="0.41"/>
    <n v="0.19400000000000001"/>
    <x v="3"/>
    <x v="7"/>
    <x v="85"/>
  </r>
  <r>
    <n v="527"/>
    <x v="23"/>
    <x v="0"/>
    <x v="0"/>
    <x v="0"/>
    <x v="1"/>
    <x v="0"/>
    <x v="0"/>
    <x v="2"/>
    <x v="1"/>
    <x v="0"/>
    <n v="0.04"/>
    <x v="4"/>
    <n v="4.5499999999999999E-2"/>
    <n v="0.45"/>
    <n v="0.19400000000000001"/>
    <x v="3"/>
    <x v="4"/>
    <x v="4"/>
  </r>
  <r>
    <n v="528"/>
    <x v="23"/>
    <x v="0"/>
    <x v="0"/>
    <x v="0"/>
    <x v="3"/>
    <x v="0"/>
    <x v="0"/>
    <x v="2"/>
    <x v="1"/>
    <x v="0"/>
    <n v="0.04"/>
    <x v="4"/>
    <n v="3.0300000000000001E-2"/>
    <n v="0.45"/>
    <n v="0.25369999999999998"/>
    <x v="3"/>
    <x v="4"/>
    <x v="4"/>
  </r>
  <r>
    <n v="529"/>
    <x v="23"/>
    <x v="0"/>
    <x v="0"/>
    <x v="0"/>
    <x v="4"/>
    <x v="0"/>
    <x v="0"/>
    <x v="2"/>
    <x v="1"/>
    <x v="0"/>
    <n v="0.02"/>
    <x v="4"/>
    <n v="6.0600000000000001E-2"/>
    <n v="0.48"/>
    <n v="0.1343"/>
    <x v="3"/>
    <x v="4"/>
    <x v="4"/>
  </r>
  <r>
    <n v="530"/>
    <x v="23"/>
    <x v="0"/>
    <x v="0"/>
    <x v="0"/>
    <x v="5"/>
    <x v="0"/>
    <x v="0"/>
    <x v="2"/>
    <x v="1"/>
    <x v="0"/>
    <n v="0.02"/>
    <x v="4"/>
    <n v="6.0600000000000001E-2"/>
    <n v="0.48"/>
    <n v="0.1343"/>
    <x v="3"/>
    <x v="34"/>
    <x v="36"/>
  </r>
  <r>
    <n v="531"/>
    <x v="23"/>
    <x v="0"/>
    <x v="0"/>
    <x v="0"/>
    <x v="6"/>
    <x v="1"/>
    <x v="0"/>
    <x v="2"/>
    <x v="1"/>
    <x v="0"/>
    <n v="0.02"/>
    <x v="4"/>
    <n v="7.5800000000000006E-2"/>
    <n v="0.48"/>
    <n v="8.9599999999999999E-2"/>
    <x v="3"/>
    <x v="89"/>
    <x v="93"/>
  </r>
  <r>
    <n v="532"/>
    <x v="23"/>
    <x v="0"/>
    <x v="0"/>
    <x v="0"/>
    <x v="7"/>
    <x v="1"/>
    <x v="0"/>
    <x v="2"/>
    <x v="1"/>
    <x v="0"/>
    <n v="0.02"/>
    <x v="4"/>
    <n v="0.1212"/>
    <n v="0.48"/>
    <n v="0"/>
    <x v="2"/>
    <x v="55"/>
    <x v="11"/>
  </r>
  <r>
    <n v="533"/>
    <x v="23"/>
    <x v="0"/>
    <x v="0"/>
    <x v="0"/>
    <x v="8"/>
    <x v="1"/>
    <x v="0"/>
    <x v="2"/>
    <x v="1"/>
    <x v="0"/>
    <n v="0.04"/>
    <x v="4"/>
    <n v="0.13639999999999999"/>
    <n v="0.49"/>
    <n v="0"/>
    <x v="15"/>
    <x v="141"/>
    <x v="156"/>
  </r>
  <r>
    <n v="534"/>
    <x v="23"/>
    <x v="0"/>
    <x v="0"/>
    <x v="0"/>
    <x v="9"/>
    <x v="1"/>
    <x v="0"/>
    <x v="2"/>
    <x v="1"/>
    <x v="0"/>
    <n v="0.06"/>
    <x v="4"/>
    <n v="0.1515"/>
    <n v="0.41"/>
    <n v="0"/>
    <x v="17"/>
    <x v="52"/>
    <x v="96"/>
  </r>
  <r>
    <n v="535"/>
    <x v="23"/>
    <x v="0"/>
    <x v="0"/>
    <x v="0"/>
    <x v="10"/>
    <x v="1"/>
    <x v="0"/>
    <x v="2"/>
    <x v="1"/>
    <x v="0"/>
    <n v="0.1"/>
    <x v="4"/>
    <n v="0.13639999999999999"/>
    <n v="0.42"/>
    <n v="0"/>
    <x v="15"/>
    <x v="60"/>
    <x v="1"/>
  </r>
  <r>
    <n v="536"/>
    <x v="23"/>
    <x v="0"/>
    <x v="0"/>
    <x v="0"/>
    <x v="11"/>
    <x v="1"/>
    <x v="0"/>
    <x v="2"/>
    <x v="1"/>
    <x v="0"/>
    <n v="0.1"/>
    <x v="4"/>
    <n v="0.1212"/>
    <n v="0.46"/>
    <n v="0.1343"/>
    <x v="0"/>
    <x v="30"/>
    <x v="66"/>
  </r>
  <r>
    <n v="537"/>
    <x v="23"/>
    <x v="0"/>
    <x v="0"/>
    <x v="0"/>
    <x v="12"/>
    <x v="2"/>
    <x v="0"/>
    <x v="2"/>
    <x v="1"/>
    <x v="1"/>
    <n v="0.12"/>
    <x v="4"/>
    <n v="0.13639999999999999"/>
    <n v="0.42"/>
    <n v="0.19400000000000001"/>
    <x v="16"/>
    <x v="15"/>
    <x v="55"/>
  </r>
  <r>
    <n v="538"/>
    <x v="23"/>
    <x v="0"/>
    <x v="0"/>
    <x v="0"/>
    <x v="13"/>
    <x v="2"/>
    <x v="0"/>
    <x v="2"/>
    <x v="1"/>
    <x v="1"/>
    <n v="0.14000000000000001"/>
    <x v="4"/>
    <n v="0.13639999999999999"/>
    <n v="0.43"/>
    <n v="0.22389999999999999"/>
    <x v="15"/>
    <x v="25"/>
    <x v="122"/>
  </r>
  <r>
    <n v="539"/>
    <x v="23"/>
    <x v="0"/>
    <x v="0"/>
    <x v="0"/>
    <x v="14"/>
    <x v="2"/>
    <x v="0"/>
    <x v="2"/>
    <x v="1"/>
    <x v="1"/>
    <n v="0.14000000000000001"/>
    <x v="4"/>
    <n v="0.13639999999999999"/>
    <n v="0.46"/>
    <n v="0.22389999999999999"/>
    <x v="4"/>
    <x v="30"/>
    <x v="79"/>
  </r>
  <r>
    <n v="540"/>
    <x v="23"/>
    <x v="0"/>
    <x v="0"/>
    <x v="0"/>
    <x v="15"/>
    <x v="2"/>
    <x v="0"/>
    <x v="2"/>
    <x v="1"/>
    <x v="0"/>
    <n v="0.16"/>
    <x v="0"/>
    <n v="0.16669999999999999"/>
    <n v="0.4"/>
    <n v="0.16420000000000001"/>
    <x v="18"/>
    <x v="54"/>
    <x v="52"/>
  </r>
  <r>
    <n v="541"/>
    <x v="23"/>
    <x v="0"/>
    <x v="0"/>
    <x v="0"/>
    <x v="16"/>
    <x v="2"/>
    <x v="0"/>
    <x v="2"/>
    <x v="1"/>
    <x v="0"/>
    <n v="0.16"/>
    <x v="0"/>
    <n v="0.1515"/>
    <n v="0.47"/>
    <n v="0.25369999999999998"/>
    <x v="17"/>
    <x v="43"/>
    <x v="27"/>
  </r>
  <r>
    <n v="542"/>
    <x v="23"/>
    <x v="0"/>
    <x v="0"/>
    <x v="0"/>
    <x v="17"/>
    <x v="2"/>
    <x v="0"/>
    <x v="2"/>
    <x v="1"/>
    <x v="0"/>
    <n v="0.14000000000000001"/>
    <x v="4"/>
    <n v="0.1212"/>
    <n v="0.5"/>
    <n v="0.25369999999999998"/>
    <x v="15"/>
    <x v="86"/>
    <x v="157"/>
  </r>
  <r>
    <n v="543"/>
    <x v="23"/>
    <x v="0"/>
    <x v="0"/>
    <x v="0"/>
    <x v="18"/>
    <x v="3"/>
    <x v="0"/>
    <x v="2"/>
    <x v="1"/>
    <x v="0"/>
    <n v="0.14000000000000001"/>
    <x v="4"/>
    <n v="0.13639999999999999"/>
    <n v="0.59"/>
    <n v="0.19400000000000001"/>
    <x v="1"/>
    <x v="142"/>
    <x v="158"/>
  </r>
  <r>
    <n v="544"/>
    <x v="23"/>
    <x v="0"/>
    <x v="0"/>
    <x v="0"/>
    <x v="19"/>
    <x v="3"/>
    <x v="0"/>
    <x v="2"/>
    <x v="1"/>
    <x v="0"/>
    <n v="0.14000000000000001"/>
    <x v="4"/>
    <n v="0.1515"/>
    <n v="0.54"/>
    <n v="0.16420000000000001"/>
    <x v="2"/>
    <x v="143"/>
    <x v="13"/>
  </r>
  <r>
    <n v="545"/>
    <x v="23"/>
    <x v="0"/>
    <x v="0"/>
    <x v="0"/>
    <x v="20"/>
    <x v="3"/>
    <x v="0"/>
    <x v="2"/>
    <x v="1"/>
    <x v="0"/>
    <n v="0.14000000000000001"/>
    <x v="4"/>
    <n v="0.13639999999999999"/>
    <n v="0.59"/>
    <n v="0.19400000000000001"/>
    <x v="5"/>
    <x v="122"/>
    <x v="117"/>
  </r>
  <r>
    <n v="546"/>
    <x v="23"/>
    <x v="0"/>
    <x v="0"/>
    <x v="0"/>
    <x v="21"/>
    <x v="3"/>
    <x v="0"/>
    <x v="2"/>
    <x v="1"/>
    <x v="0"/>
    <n v="0.14000000000000001"/>
    <x v="4"/>
    <n v="0.1515"/>
    <n v="0.63"/>
    <n v="0.16420000000000001"/>
    <x v="15"/>
    <x v="42"/>
    <x v="29"/>
  </r>
  <r>
    <n v="547"/>
    <x v="23"/>
    <x v="0"/>
    <x v="0"/>
    <x v="0"/>
    <x v="22"/>
    <x v="3"/>
    <x v="0"/>
    <x v="2"/>
    <x v="1"/>
    <x v="1"/>
    <n v="0.14000000000000001"/>
    <x v="4"/>
    <n v="0.13639999999999999"/>
    <n v="0.63"/>
    <n v="0.22389999999999999"/>
    <x v="0"/>
    <x v="1"/>
    <x v="17"/>
  </r>
  <r>
    <n v="548"/>
    <x v="23"/>
    <x v="0"/>
    <x v="0"/>
    <x v="0"/>
    <x v="23"/>
    <x v="3"/>
    <x v="0"/>
    <x v="2"/>
    <x v="1"/>
    <x v="1"/>
    <n v="0.16"/>
    <x v="0"/>
    <n v="0.1515"/>
    <n v="0.64"/>
    <n v="0.25369999999999998"/>
    <x v="0"/>
    <x v="144"/>
    <x v="108"/>
  </r>
  <r>
    <n v="549"/>
    <x v="24"/>
    <x v="0"/>
    <x v="0"/>
    <x v="0"/>
    <x v="0"/>
    <x v="0"/>
    <x v="0"/>
    <x v="3"/>
    <x v="1"/>
    <x v="1"/>
    <n v="0.16"/>
    <x v="0"/>
    <n v="0.13639999999999999"/>
    <n v="0.69"/>
    <n v="0.28360000000000002"/>
    <x v="0"/>
    <x v="8"/>
    <x v="23"/>
  </r>
  <r>
    <n v="550"/>
    <x v="24"/>
    <x v="0"/>
    <x v="0"/>
    <x v="0"/>
    <x v="1"/>
    <x v="0"/>
    <x v="0"/>
    <x v="3"/>
    <x v="1"/>
    <x v="1"/>
    <n v="0.16"/>
    <x v="0"/>
    <n v="0.16669999999999999"/>
    <n v="0.69"/>
    <n v="0.16420000000000001"/>
    <x v="3"/>
    <x v="34"/>
    <x v="36"/>
  </r>
  <r>
    <n v="551"/>
    <x v="24"/>
    <x v="0"/>
    <x v="0"/>
    <x v="0"/>
    <x v="2"/>
    <x v="0"/>
    <x v="0"/>
    <x v="3"/>
    <x v="1"/>
    <x v="0"/>
    <n v="0.16"/>
    <x v="0"/>
    <n v="0.1515"/>
    <n v="0.69"/>
    <n v="0.22389999999999999"/>
    <x v="3"/>
    <x v="6"/>
    <x v="5"/>
  </r>
  <r>
    <n v="552"/>
    <x v="24"/>
    <x v="0"/>
    <x v="0"/>
    <x v="0"/>
    <x v="4"/>
    <x v="0"/>
    <x v="0"/>
    <x v="3"/>
    <x v="1"/>
    <x v="0"/>
    <n v="0.14000000000000001"/>
    <x v="4"/>
    <n v="0.16669999999999999"/>
    <n v="0.74"/>
    <n v="0.1045"/>
    <x v="3"/>
    <x v="4"/>
    <x v="4"/>
  </r>
  <r>
    <n v="553"/>
    <x v="24"/>
    <x v="0"/>
    <x v="0"/>
    <x v="0"/>
    <x v="5"/>
    <x v="0"/>
    <x v="0"/>
    <x v="3"/>
    <x v="1"/>
    <x v="0"/>
    <n v="0.14000000000000001"/>
    <x v="4"/>
    <n v="0.13639999999999999"/>
    <n v="0.74"/>
    <n v="0.22389999999999999"/>
    <x v="3"/>
    <x v="33"/>
    <x v="23"/>
  </r>
  <r>
    <n v="554"/>
    <x v="24"/>
    <x v="0"/>
    <x v="0"/>
    <x v="0"/>
    <x v="6"/>
    <x v="1"/>
    <x v="0"/>
    <x v="3"/>
    <x v="1"/>
    <x v="0"/>
    <n v="0.16"/>
    <x v="0"/>
    <n v="0.18179999999999999"/>
    <n v="0.74"/>
    <n v="0.1045"/>
    <x v="5"/>
    <x v="96"/>
    <x v="9"/>
  </r>
  <r>
    <n v="555"/>
    <x v="24"/>
    <x v="0"/>
    <x v="0"/>
    <x v="0"/>
    <x v="7"/>
    <x v="1"/>
    <x v="0"/>
    <x v="3"/>
    <x v="1"/>
    <x v="0"/>
    <n v="0.16"/>
    <x v="0"/>
    <n v="0.1515"/>
    <n v="0.74"/>
    <n v="0.22389999999999999"/>
    <x v="2"/>
    <x v="145"/>
    <x v="159"/>
  </r>
  <r>
    <n v="556"/>
    <x v="24"/>
    <x v="0"/>
    <x v="0"/>
    <x v="0"/>
    <x v="8"/>
    <x v="1"/>
    <x v="0"/>
    <x v="3"/>
    <x v="1"/>
    <x v="1"/>
    <n v="0.16"/>
    <x v="0"/>
    <n v="0.18179999999999999"/>
    <n v="0.74"/>
    <n v="0.1343"/>
    <x v="2"/>
    <x v="146"/>
    <x v="160"/>
  </r>
  <r>
    <n v="557"/>
    <x v="24"/>
    <x v="0"/>
    <x v="0"/>
    <x v="0"/>
    <x v="9"/>
    <x v="1"/>
    <x v="0"/>
    <x v="3"/>
    <x v="1"/>
    <x v="1"/>
    <n v="0.2"/>
    <x v="0"/>
    <n v="0.2273"/>
    <n v="0.64"/>
    <n v="8.9599999999999999E-2"/>
    <x v="22"/>
    <x v="120"/>
    <x v="124"/>
  </r>
  <r>
    <n v="558"/>
    <x v="24"/>
    <x v="0"/>
    <x v="0"/>
    <x v="0"/>
    <x v="10"/>
    <x v="1"/>
    <x v="0"/>
    <x v="3"/>
    <x v="1"/>
    <x v="1"/>
    <n v="0.22"/>
    <x v="0"/>
    <n v="0.2424"/>
    <n v="0.6"/>
    <n v="0.1045"/>
    <x v="15"/>
    <x v="47"/>
    <x v="97"/>
  </r>
  <r>
    <n v="559"/>
    <x v="24"/>
    <x v="0"/>
    <x v="0"/>
    <x v="0"/>
    <x v="11"/>
    <x v="1"/>
    <x v="0"/>
    <x v="3"/>
    <x v="1"/>
    <x v="1"/>
    <n v="0.24"/>
    <x v="0"/>
    <n v="0.2424"/>
    <n v="0.6"/>
    <n v="0.1343"/>
    <x v="15"/>
    <x v="11"/>
    <x v="42"/>
  </r>
  <r>
    <n v="560"/>
    <x v="24"/>
    <x v="0"/>
    <x v="0"/>
    <x v="0"/>
    <x v="12"/>
    <x v="2"/>
    <x v="0"/>
    <x v="3"/>
    <x v="1"/>
    <x v="1"/>
    <n v="0.26"/>
    <x v="1"/>
    <n v="0.28789999999999999"/>
    <n v="0.56000000000000005"/>
    <n v="8.9599999999999999E-2"/>
    <x v="27"/>
    <x v="66"/>
    <x v="13"/>
  </r>
  <r>
    <n v="561"/>
    <x v="24"/>
    <x v="0"/>
    <x v="0"/>
    <x v="0"/>
    <x v="13"/>
    <x v="2"/>
    <x v="0"/>
    <x v="3"/>
    <x v="1"/>
    <x v="1"/>
    <n v="0.26"/>
    <x v="1"/>
    <n v="0.2727"/>
    <n v="0.56000000000000005"/>
    <n v="0.1343"/>
    <x v="27"/>
    <x v="109"/>
    <x v="15"/>
  </r>
  <r>
    <n v="562"/>
    <x v="24"/>
    <x v="0"/>
    <x v="0"/>
    <x v="0"/>
    <x v="14"/>
    <x v="2"/>
    <x v="0"/>
    <x v="3"/>
    <x v="1"/>
    <x v="1"/>
    <n v="0.3"/>
    <x v="1"/>
    <n v="0.33329999999999999"/>
    <n v="0.45"/>
    <n v="0"/>
    <x v="16"/>
    <x v="77"/>
    <x v="118"/>
  </r>
  <r>
    <n v="563"/>
    <x v="24"/>
    <x v="0"/>
    <x v="0"/>
    <x v="0"/>
    <x v="15"/>
    <x v="2"/>
    <x v="0"/>
    <x v="3"/>
    <x v="1"/>
    <x v="1"/>
    <n v="0.32"/>
    <x v="1"/>
    <n v="0.34849999999999998"/>
    <n v="0.42"/>
    <n v="0"/>
    <x v="27"/>
    <x v="36"/>
    <x v="11"/>
  </r>
  <r>
    <n v="564"/>
    <x v="24"/>
    <x v="0"/>
    <x v="0"/>
    <x v="0"/>
    <x v="16"/>
    <x v="2"/>
    <x v="0"/>
    <x v="3"/>
    <x v="1"/>
    <x v="1"/>
    <n v="0.32"/>
    <x v="1"/>
    <n v="0.34849999999999998"/>
    <n v="0.42"/>
    <n v="0"/>
    <x v="24"/>
    <x v="46"/>
    <x v="155"/>
  </r>
  <r>
    <n v="565"/>
    <x v="24"/>
    <x v="0"/>
    <x v="0"/>
    <x v="0"/>
    <x v="17"/>
    <x v="2"/>
    <x v="0"/>
    <x v="3"/>
    <x v="1"/>
    <x v="0"/>
    <n v="0.3"/>
    <x v="1"/>
    <n v="0.33329999999999999"/>
    <n v="0.45"/>
    <n v="0"/>
    <x v="24"/>
    <x v="147"/>
    <x v="161"/>
  </r>
  <r>
    <n v="566"/>
    <x v="24"/>
    <x v="0"/>
    <x v="0"/>
    <x v="0"/>
    <x v="18"/>
    <x v="3"/>
    <x v="0"/>
    <x v="3"/>
    <x v="1"/>
    <x v="1"/>
    <n v="0.3"/>
    <x v="1"/>
    <n v="0.31819999999999998"/>
    <n v="0.49"/>
    <n v="8.9599999999999999E-2"/>
    <x v="18"/>
    <x v="148"/>
    <x v="162"/>
  </r>
  <r>
    <n v="567"/>
    <x v="24"/>
    <x v="0"/>
    <x v="0"/>
    <x v="0"/>
    <x v="19"/>
    <x v="3"/>
    <x v="0"/>
    <x v="3"/>
    <x v="1"/>
    <x v="1"/>
    <n v="0.26"/>
    <x v="1"/>
    <n v="0.2576"/>
    <n v="0.65"/>
    <n v="0.16420000000000001"/>
    <x v="23"/>
    <x v="149"/>
    <x v="163"/>
  </r>
  <r>
    <n v="568"/>
    <x v="24"/>
    <x v="0"/>
    <x v="0"/>
    <x v="0"/>
    <x v="20"/>
    <x v="3"/>
    <x v="0"/>
    <x v="3"/>
    <x v="1"/>
    <x v="0"/>
    <n v="0.24"/>
    <x v="0"/>
    <n v="0.2273"/>
    <n v="0.65"/>
    <n v="0.19400000000000001"/>
    <x v="19"/>
    <x v="145"/>
    <x v="164"/>
  </r>
  <r>
    <n v="569"/>
    <x v="24"/>
    <x v="0"/>
    <x v="0"/>
    <x v="0"/>
    <x v="21"/>
    <x v="3"/>
    <x v="0"/>
    <x v="3"/>
    <x v="1"/>
    <x v="0"/>
    <n v="0.24"/>
    <x v="0"/>
    <n v="0.2273"/>
    <n v="0.65"/>
    <n v="0.19400000000000001"/>
    <x v="2"/>
    <x v="71"/>
    <x v="79"/>
  </r>
  <r>
    <n v="570"/>
    <x v="24"/>
    <x v="0"/>
    <x v="0"/>
    <x v="0"/>
    <x v="22"/>
    <x v="3"/>
    <x v="0"/>
    <x v="3"/>
    <x v="1"/>
    <x v="0"/>
    <n v="0.22"/>
    <x v="0"/>
    <n v="0.2273"/>
    <n v="0.64"/>
    <n v="0.16420000000000001"/>
    <x v="17"/>
    <x v="47"/>
    <x v="26"/>
  </r>
  <r>
    <n v="571"/>
    <x v="24"/>
    <x v="0"/>
    <x v="0"/>
    <x v="0"/>
    <x v="23"/>
    <x v="3"/>
    <x v="0"/>
    <x v="3"/>
    <x v="1"/>
    <x v="1"/>
    <n v="0.22"/>
    <x v="0"/>
    <n v="0.2273"/>
    <n v="0.64"/>
    <n v="0.16420000000000001"/>
    <x v="0"/>
    <x v="53"/>
    <x v="1"/>
  </r>
  <r>
    <n v="572"/>
    <x v="25"/>
    <x v="0"/>
    <x v="0"/>
    <x v="0"/>
    <x v="0"/>
    <x v="0"/>
    <x v="0"/>
    <x v="4"/>
    <x v="1"/>
    <x v="1"/>
    <n v="0.22"/>
    <x v="0"/>
    <n v="0.2273"/>
    <n v="0.69"/>
    <n v="0.1343"/>
    <x v="0"/>
    <x v="88"/>
    <x v="22"/>
  </r>
  <r>
    <n v="573"/>
    <x v="25"/>
    <x v="0"/>
    <x v="0"/>
    <x v="0"/>
    <x v="1"/>
    <x v="0"/>
    <x v="0"/>
    <x v="4"/>
    <x v="1"/>
    <x v="1"/>
    <n v="0.24"/>
    <x v="0"/>
    <n v="0.2424"/>
    <n v="0.65"/>
    <n v="0.1343"/>
    <x v="3"/>
    <x v="34"/>
    <x v="36"/>
  </r>
  <r>
    <n v="574"/>
    <x v="25"/>
    <x v="0"/>
    <x v="0"/>
    <x v="0"/>
    <x v="2"/>
    <x v="0"/>
    <x v="0"/>
    <x v="4"/>
    <x v="1"/>
    <x v="2"/>
    <n v="0.22"/>
    <x v="0"/>
    <n v="0.2273"/>
    <n v="0.69"/>
    <n v="0.19400000000000001"/>
    <x v="0"/>
    <x v="7"/>
    <x v="98"/>
  </r>
  <r>
    <n v="575"/>
    <x v="25"/>
    <x v="0"/>
    <x v="0"/>
    <x v="0"/>
    <x v="5"/>
    <x v="0"/>
    <x v="0"/>
    <x v="4"/>
    <x v="1"/>
    <x v="2"/>
    <n v="0.2"/>
    <x v="0"/>
    <n v="0.18179999999999999"/>
    <n v="0.86"/>
    <n v="0.28360000000000002"/>
    <x v="3"/>
    <x v="4"/>
    <x v="4"/>
  </r>
  <r>
    <n v="576"/>
    <x v="25"/>
    <x v="0"/>
    <x v="0"/>
    <x v="0"/>
    <x v="6"/>
    <x v="1"/>
    <x v="0"/>
    <x v="4"/>
    <x v="1"/>
    <x v="2"/>
    <n v="0.2"/>
    <x v="0"/>
    <n v="0.18179999999999999"/>
    <n v="0.86"/>
    <n v="0.28360000000000002"/>
    <x v="3"/>
    <x v="21"/>
    <x v="7"/>
  </r>
  <r>
    <n v="577"/>
    <x v="25"/>
    <x v="0"/>
    <x v="0"/>
    <x v="0"/>
    <x v="7"/>
    <x v="1"/>
    <x v="0"/>
    <x v="4"/>
    <x v="1"/>
    <x v="2"/>
    <n v="0.22"/>
    <x v="0"/>
    <n v="0.21210000000000001"/>
    <n v="0.87"/>
    <n v="0.29849999999999999"/>
    <x v="5"/>
    <x v="31"/>
    <x v="33"/>
  </r>
  <r>
    <n v="578"/>
    <x v="25"/>
    <x v="0"/>
    <x v="0"/>
    <x v="0"/>
    <x v="8"/>
    <x v="1"/>
    <x v="0"/>
    <x v="4"/>
    <x v="1"/>
    <x v="2"/>
    <n v="0.22"/>
    <x v="0"/>
    <n v="0.21210000000000001"/>
    <n v="0.87"/>
    <n v="0.29849999999999999"/>
    <x v="0"/>
    <x v="94"/>
    <x v="44"/>
  </r>
  <r>
    <n v="579"/>
    <x v="25"/>
    <x v="0"/>
    <x v="0"/>
    <x v="0"/>
    <x v="9"/>
    <x v="1"/>
    <x v="0"/>
    <x v="4"/>
    <x v="1"/>
    <x v="2"/>
    <n v="0.22"/>
    <x v="0"/>
    <n v="0.21210000000000001"/>
    <n v="0.87"/>
    <n v="0.29849999999999999"/>
    <x v="0"/>
    <x v="11"/>
    <x v="154"/>
  </r>
  <r>
    <n v="580"/>
    <x v="25"/>
    <x v="0"/>
    <x v="0"/>
    <x v="0"/>
    <x v="10"/>
    <x v="1"/>
    <x v="0"/>
    <x v="4"/>
    <x v="1"/>
    <x v="2"/>
    <n v="0.22"/>
    <x v="0"/>
    <n v="0.21210000000000001"/>
    <n v="0.93"/>
    <n v="0.28360000000000002"/>
    <x v="4"/>
    <x v="16"/>
    <x v="20"/>
  </r>
  <r>
    <n v="581"/>
    <x v="25"/>
    <x v="0"/>
    <x v="0"/>
    <x v="0"/>
    <x v="11"/>
    <x v="1"/>
    <x v="0"/>
    <x v="4"/>
    <x v="1"/>
    <x v="2"/>
    <n v="0.22"/>
    <x v="0"/>
    <n v="0.19700000000000001"/>
    <n v="0.93"/>
    <n v="0.32840000000000003"/>
    <x v="15"/>
    <x v="96"/>
    <x v="102"/>
  </r>
  <r>
    <n v="582"/>
    <x v="25"/>
    <x v="0"/>
    <x v="0"/>
    <x v="0"/>
    <x v="12"/>
    <x v="2"/>
    <x v="0"/>
    <x v="4"/>
    <x v="1"/>
    <x v="2"/>
    <n v="0.22"/>
    <x v="0"/>
    <n v="0.19700000000000001"/>
    <n v="0.93"/>
    <n v="0.32840000000000003"/>
    <x v="18"/>
    <x v="40"/>
    <x v="61"/>
  </r>
  <r>
    <n v="583"/>
    <x v="25"/>
    <x v="0"/>
    <x v="0"/>
    <x v="0"/>
    <x v="13"/>
    <x v="2"/>
    <x v="0"/>
    <x v="4"/>
    <x v="1"/>
    <x v="2"/>
    <n v="0.22"/>
    <x v="0"/>
    <n v="0.19700000000000001"/>
    <n v="0.93"/>
    <n v="0.32840000000000003"/>
    <x v="17"/>
    <x v="30"/>
    <x v="105"/>
  </r>
  <r>
    <n v="584"/>
    <x v="25"/>
    <x v="0"/>
    <x v="0"/>
    <x v="0"/>
    <x v="14"/>
    <x v="2"/>
    <x v="0"/>
    <x v="4"/>
    <x v="1"/>
    <x v="2"/>
    <n v="0.22"/>
    <x v="0"/>
    <n v="0.19700000000000001"/>
    <n v="0.93"/>
    <n v="0.35820000000000002"/>
    <x v="3"/>
    <x v="49"/>
    <x v="9"/>
  </r>
  <r>
    <n v="585"/>
    <x v="25"/>
    <x v="0"/>
    <x v="0"/>
    <x v="0"/>
    <x v="15"/>
    <x v="2"/>
    <x v="0"/>
    <x v="4"/>
    <x v="1"/>
    <x v="2"/>
    <n v="0.22"/>
    <x v="0"/>
    <n v="0.18179999999999999"/>
    <n v="0.93"/>
    <n v="0.4627"/>
    <x v="5"/>
    <x v="76"/>
    <x v="74"/>
  </r>
  <r>
    <n v="586"/>
    <x v="25"/>
    <x v="0"/>
    <x v="0"/>
    <x v="0"/>
    <x v="16"/>
    <x v="2"/>
    <x v="0"/>
    <x v="4"/>
    <x v="1"/>
    <x v="3"/>
    <n v="0.22"/>
    <x v="0"/>
    <n v="0.19700000000000001"/>
    <n v="0.93"/>
    <n v="0.32840000000000003"/>
    <x v="5"/>
    <x v="96"/>
    <x v="9"/>
  </r>
  <r>
    <n v="587"/>
    <x v="25"/>
    <x v="0"/>
    <x v="0"/>
    <x v="0"/>
    <x v="17"/>
    <x v="2"/>
    <x v="0"/>
    <x v="4"/>
    <x v="1"/>
    <x v="2"/>
    <n v="0.2"/>
    <x v="0"/>
    <n v="0.18179999999999999"/>
    <n v="0.93"/>
    <n v="0.35820000000000002"/>
    <x v="3"/>
    <x v="16"/>
    <x v="132"/>
  </r>
  <r>
    <n v="588"/>
    <x v="26"/>
    <x v="0"/>
    <x v="0"/>
    <x v="0"/>
    <x v="16"/>
    <x v="2"/>
    <x v="0"/>
    <x v="5"/>
    <x v="1"/>
    <x v="0"/>
    <n v="0.22"/>
    <x v="0"/>
    <n v="0.2273"/>
    <n v="0.55000000000000004"/>
    <n v="0.19400000000000001"/>
    <x v="5"/>
    <x v="140"/>
    <x v="108"/>
  </r>
  <r>
    <n v="589"/>
    <x v="26"/>
    <x v="0"/>
    <x v="0"/>
    <x v="0"/>
    <x v="17"/>
    <x v="2"/>
    <x v="0"/>
    <x v="5"/>
    <x v="1"/>
    <x v="0"/>
    <n v="0.22"/>
    <x v="0"/>
    <n v="0.2424"/>
    <n v="0.55000000000000004"/>
    <n v="0.1045"/>
    <x v="4"/>
    <x v="70"/>
    <x v="11"/>
  </r>
  <r>
    <n v="590"/>
    <x v="26"/>
    <x v="0"/>
    <x v="0"/>
    <x v="0"/>
    <x v="18"/>
    <x v="3"/>
    <x v="0"/>
    <x v="5"/>
    <x v="1"/>
    <x v="0"/>
    <n v="0.2"/>
    <x v="0"/>
    <n v="0.2273"/>
    <n v="0.69"/>
    <n v="8.9599999999999999E-2"/>
    <x v="0"/>
    <x v="143"/>
    <x v="133"/>
  </r>
  <r>
    <n v="591"/>
    <x v="26"/>
    <x v="0"/>
    <x v="0"/>
    <x v="0"/>
    <x v="19"/>
    <x v="3"/>
    <x v="0"/>
    <x v="5"/>
    <x v="1"/>
    <x v="0"/>
    <n v="0.2"/>
    <x v="0"/>
    <n v="0.2273"/>
    <n v="0.69"/>
    <n v="8.9599999999999999E-2"/>
    <x v="0"/>
    <x v="83"/>
    <x v="67"/>
  </r>
  <r>
    <n v="592"/>
    <x v="26"/>
    <x v="0"/>
    <x v="0"/>
    <x v="0"/>
    <x v="20"/>
    <x v="3"/>
    <x v="0"/>
    <x v="5"/>
    <x v="1"/>
    <x v="0"/>
    <n v="0.18"/>
    <x v="0"/>
    <n v="0.21210000000000001"/>
    <n v="0.74"/>
    <n v="8.9599999999999999E-2"/>
    <x v="17"/>
    <x v="11"/>
    <x v="29"/>
  </r>
  <r>
    <n v="593"/>
    <x v="26"/>
    <x v="0"/>
    <x v="0"/>
    <x v="0"/>
    <x v="21"/>
    <x v="3"/>
    <x v="0"/>
    <x v="5"/>
    <x v="1"/>
    <x v="0"/>
    <n v="0.18"/>
    <x v="0"/>
    <n v="0.21210000000000001"/>
    <n v="0.74"/>
    <n v="8.9599999999999999E-2"/>
    <x v="4"/>
    <x v="49"/>
    <x v="103"/>
  </r>
  <r>
    <n v="594"/>
    <x v="26"/>
    <x v="0"/>
    <x v="0"/>
    <x v="0"/>
    <x v="22"/>
    <x v="3"/>
    <x v="0"/>
    <x v="5"/>
    <x v="1"/>
    <x v="0"/>
    <n v="0.18"/>
    <x v="0"/>
    <n v="0.21210000000000001"/>
    <n v="0.74"/>
    <n v="8.9599999999999999E-2"/>
    <x v="3"/>
    <x v="2"/>
    <x v="110"/>
  </r>
  <r>
    <n v="595"/>
    <x v="26"/>
    <x v="0"/>
    <x v="0"/>
    <x v="0"/>
    <x v="23"/>
    <x v="3"/>
    <x v="0"/>
    <x v="5"/>
    <x v="1"/>
    <x v="0"/>
    <n v="0.18"/>
    <x v="0"/>
    <n v="0.19700000000000001"/>
    <n v="0.8"/>
    <n v="0.16420000000000001"/>
    <x v="3"/>
    <x v="20"/>
    <x v="0"/>
  </r>
  <r>
    <n v="596"/>
    <x v="27"/>
    <x v="0"/>
    <x v="0"/>
    <x v="0"/>
    <x v="0"/>
    <x v="0"/>
    <x v="0"/>
    <x v="6"/>
    <x v="1"/>
    <x v="1"/>
    <n v="0.2"/>
    <x v="0"/>
    <n v="0.21210000000000001"/>
    <n v="0.75"/>
    <n v="0.1343"/>
    <x v="3"/>
    <x v="33"/>
    <x v="23"/>
  </r>
  <r>
    <n v="597"/>
    <x v="27"/>
    <x v="0"/>
    <x v="0"/>
    <x v="0"/>
    <x v="1"/>
    <x v="0"/>
    <x v="0"/>
    <x v="6"/>
    <x v="1"/>
    <x v="1"/>
    <n v="0.2"/>
    <x v="0"/>
    <n v="0.21210000000000001"/>
    <n v="0.75"/>
    <n v="0.1343"/>
    <x v="5"/>
    <x v="6"/>
    <x v="6"/>
  </r>
  <r>
    <n v="598"/>
    <x v="27"/>
    <x v="0"/>
    <x v="0"/>
    <x v="0"/>
    <x v="2"/>
    <x v="0"/>
    <x v="0"/>
    <x v="6"/>
    <x v="1"/>
    <x v="1"/>
    <n v="0.2"/>
    <x v="0"/>
    <n v="0.21210000000000001"/>
    <n v="0.75"/>
    <n v="0.16420000000000001"/>
    <x v="3"/>
    <x v="6"/>
    <x v="5"/>
  </r>
  <r>
    <n v="599"/>
    <x v="27"/>
    <x v="0"/>
    <x v="0"/>
    <x v="0"/>
    <x v="3"/>
    <x v="0"/>
    <x v="0"/>
    <x v="6"/>
    <x v="1"/>
    <x v="1"/>
    <n v="0.2"/>
    <x v="0"/>
    <n v="0.2273"/>
    <n v="0.75"/>
    <n v="0.1045"/>
    <x v="5"/>
    <x v="5"/>
    <x v="4"/>
  </r>
  <r>
    <n v="600"/>
    <x v="27"/>
    <x v="0"/>
    <x v="0"/>
    <x v="0"/>
    <x v="5"/>
    <x v="0"/>
    <x v="0"/>
    <x v="6"/>
    <x v="1"/>
    <x v="1"/>
    <n v="0.18"/>
    <x v="0"/>
    <n v="0.21210000000000001"/>
    <n v="0.8"/>
    <n v="0.1045"/>
    <x v="3"/>
    <x v="22"/>
    <x v="48"/>
  </r>
  <r>
    <n v="601"/>
    <x v="27"/>
    <x v="0"/>
    <x v="0"/>
    <x v="0"/>
    <x v="6"/>
    <x v="1"/>
    <x v="0"/>
    <x v="6"/>
    <x v="1"/>
    <x v="1"/>
    <n v="0.18"/>
    <x v="0"/>
    <n v="0.19700000000000001"/>
    <n v="0.8"/>
    <n v="0.1343"/>
    <x v="3"/>
    <x v="20"/>
    <x v="0"/>
  </r>
  <r>
    <n v="602"/>
    <x v="27"/>
    <x v="0"/>
    <x v="0"/>
    <x v="0"/>
    <x v="7"/>
    <x v="1"/>
    <x v="0"/>
    <x v="6"/>
    <x v="1"/>
    <x v="1"/>
    <n v="0.16"/>
    <x v="0"/>
    <n v="0.19700000000000001"/>
    <n v="0.86"/>
    <n v="8.9599999999999999E-2"/>
    <x v="4"/>
    <x v="29"/>
    <x v="122"/>
  </r>
  <r>
    <n v="603"/>
    <x v="27"/>
    <x v="0"/>
    <x v="0"/>
    <x v="0"/>
    <x v="8"/>
    <x v="1"/>
    <x v="0"/>
    <x v="6"/>
    <x v="1"/>
    <x v="1"/>
    <n v="0.16"/>
    <x v="0"/>
    <n v="0.19700000000000001"/>
    <n v="0.86"/>
    <n v="8.9599999999999999E-2"/>
    <x v="4"/>
    <x v="119"/>
    <x v="45"/>
  </r>
  <r>
    <n v="604"/>
    <x v="27"/>
    <x v="0"/>
    <x v="0"/>
    <x v="0"/>
    <x v="9"/>
    <x v="1"/>
    <x v="0"/>
    <x v="6"/>
    <x v="1"/>
    <x v="2"/>
    <n v="0.18"/>
    <x v="0"/>
    <n v="0.21210000000000001"/>
    <n v="0.86"/>
    <n v="8.9599999999999999E-2"/>
    <x v="15"/>
    <x v="73"/>
    <x v="129"/>
  </r>
  <r>
    <n v="605"/>
    <x v="27"/>
    <x v="0"/>
    <x v="0"/>
    <x v="0"/>
    <x v="10"/>
    <x v="1"/>
    <x v="0"/>
    <x v="6"/>
    <x v="1"/>
    <x v="2"/>
    <n v="0.18"/>
    <x v="0"/>
    <n v="0.21210000000000001"/>
    <n v="0.86"/>
    <n v="0.1045"/>
    <x v="3"/>
    <x v="47"/>
    <x v="99"/>
  </r>
  <r>
    <n v="606"/>
    <x v="27"/>
    <x v="0"/>
    <x v="0"/>
    <x v="0"/>
    <x v="11"/>
    <x v="1"/>
    <x v="0"/>
    <x v="6"/>
    <x v="1"/>
    <x v="2"/>
    <n v="0.18"/>
    <x v="0"/>
    <n v="0.21210000000000001"/>
    <n v="0.93"/>
    <n v="0.1045"/>
    <x v="3"/>
    <x v="10"/>
    <x v="33"/>
  </r>
  <r>
    <n v="607"/>
    <x v="27"/>
    <x v="0"/>
    <x v="0"/>
    <x v="0"/>
    <x v="12"/>
    <x v="2"/>
    <x v="0"/>
    <x v="6"/>
    <x v="1"/>
    <x v="2"/>
    <n v="0.18"/>
    <x v="0"/>
    <n v="0.21210000000000001"/>
    <n v="0.93"/>
    <n v="0.1045"/>
    <x v="5"/>
    <x v="95"/>
    <x v="115"/>
  </r>
  <r>
    <n v="608"/>
    <x v="27"/>
    <x v="0"/>
    <x v="0"/>
    <x v="0"/>
    <x v="13"/>
    <x v="2"/>
    <x v="0"/>
    <x v="6"/>
    <x v="1"/>
    <x v="2"/>
    <n v="0.18"/>
    <x v="0"/>
    <n v="0.21210000000000001"/>
    <n v="0.93"/>
    <n v="0.1045"/>
    <x v="3"/>
    <x v="17"/>
    <x v="35"/>
  </r>
  <r>
    <n v="609"/>
    <x v="27"/>
    <x v="0"/>
    <x v="0"/>
    <x v="0"/>
    <x v="14"/>
    <x v="2"/>
    <x v="0"/>
    <x v="6"/>
    <x v="1"/>
    <x v="2"/>
    <n v="0.22"/>
    <x v="0"/>
    <n v="0.2727"/>
    <n v="0.8"/>
    <n v="0"/>
    <x v="4"/>
    <x v="49"/>
    <x v="103"/>
  </r>
  <r>
    <n v="610"/>
    <x v="27"/>
    <x v="0"/>
    <x v="0"/>
    <x v="0"/>
    <x v="15"/>
    <x v="2"/>
    <x v="0"/>
    <x v="6"/>
    <x v="1"/>
    <x v="1"/>
    <n v="0.2"/>
    <x v="0"/>
    <n v="0.2576"/>
    <n v="0.86"/>
    <n v="0"/>
    <x v="5"/>
    <x v="71"/>
    <x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DC02C7-33C7-47C8-9BC7-F5FE72040D2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eak Rental Day">
  <location ref="A10:B13" firstHeaderRow="1" firstDataRow="1" firstDataCol="1"/>
  <pivotFields count="20">
    <pivotField showAll="0"/>
    <pivotField axis="axisRow" showAll="0" measureFilter="1">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1"/>
  </rowFields>
  <rowItems count="3">
    <i>
      <x v="18"/>
    </i>
    <i>
      <x v="19"/>
    </i>
    <i>
      <x v="24"/>
    </i>
  </rowItems>
  <colItems count="1">
    <i/>
  </colItems>
  <dataFields count="1">
    <dataField name="Total Rental user" fld="18" baseField="1" baseItem="0" numFmtId="1"/>
  </dataFields>
  <formats count="27">
    <format dxfId="4092">
      <pivotArea collapsedLevelsAreSubtotals="1" fieldPosition="0">
        <references count="1">
          <reference field="1" count="1">
            <x v="15"/>
          </reference>
        </references>
      </pivotArea>
    </format>
    <format dxfId="4091">
      <pivotArea dataOnly="0" labelOnly="1" fieldPosition="0">
        <references count="1">
          <reference field="1" count="1">
            <x v="15"/>
          </reference>
        </references>
      </pivotArea>
    </format>
    <format dxfId="4090">
      <pivotArea collapsedLevelsAreSubtotals="1" fieldPosition="0">
        <references count="1">
          <reference field="1" count="2">
            <x v="1"/>
            <x v="7"/>
          </reference>
        </references>
      </pivotArea>
    </format>
    <format dxfId="4089">
      <pivotArea dataOnly="0" labelOnly="1" fieldPosition="0">
        <references count="1">
          <reference field="1" count="2">
            <x v="1"/>
            <x v="7"/>
          </reference>
        </references>
      </pivotArea>
    </format>
    <format dxfId="4088">
      <pivotArea collapsedLevelsAreSubtotals="1" fieldPosition="0">
        <references count="1">
          <reference field="1" count="27">
            <x v="1"/>
            <x v="2"/>
            <x v="3"/>
            <x v="4"/>
            <x v="5"/>
            <x v="6"/>
            <x v="7"/>
            <x v="8"/>
            <x v="9"/>
            <x v="10"/>
            <x v="11"/>
            <x v="12"/>
            <x v="13"/>
            <x v="14"/>
            <x v="15"/>
            <x v="16"/>
            <x v="17"/>
            <x v="18"/>
            <x v="19"/>
            <x v="20"/>
            <x v="21"/>
            <x v="22"/>
            <x v="23"/>
            <x v="24"/>
            <x v="25"/>
            <x v="26"/>
            <x v="27"/>
          </reference>
        </references>
      </pivotArea>
    </format>
    <format dxfId="4087">
      <pivotArea dataOnly="0" labelOnly="1" fieldPosition="0">
        <references count="1">
          <reference field="1" count="1">
            <x v="19"/>
          </reference>
        </references>
      </pivotArea>
    </format>
    <format dxfId="4086">
      <pivotArea collapsedLevelsAreSubtotals="1" fieldPosition="0">
        <references count="1">
          <reference field="1" count="1">
            <x v="19"/>
          </reference>
        </references>
      </pivotArea>
    </format>
    <format dxfId="4085">
      <pivotArea type="all" dataOnly="0" outline="0" fieldPosition="0"/>
    </format>
    <format dxfId="4084">
      <pivotArea outline="0" collapsedLevelsAreSubtotals="1" fieldPosition="0"/>
    </format>
    <format dxfId="4083">
      <pivotArea field="1" type="button" dataOnly="0" labelOnly="1" outline="0" axis="axisRow" fieldPosition="0"/>
    </format>
    <format dxfId="4082">
      <pivotArea dataOnly="0" labelOnly="1" fieldPosition="0">
        <references count="1">
          <reference field="1" count="0"/>
        </references>
      </pivotArea>
    </format>
    <format dxfId="4081">
      <pivotArea dataOnly="0" labelOnly="1" outline="0" axis="axisValues" fieldPosition="0"/>
    </format>
    <format dxfId="4080">
      <pivotArea type="all" dataOnly="0" outline="0" fieldPosition="0"/>
    </format>
    <format dxfId="4079">
      <pivotArea outline="0" collapsedLevelsAreSubtotals="1" fieldPosition="0"/>
    </format>
    <format dxfId="4078">
      <pivotArea field="1" type="button" dataOnly="0" labelOnly="1" outline="0" axis="axisRow" fieldPosition="0"/>
    </format>
    <format dxfId="4077">
      <pivotArea dataOnly="0" labelOnly="1" fieldPosition="0">
        <references count="1">
          <reference field="1" count="0"/>
        </references>
      </pivotArea>
    </format>
    <format dxfId="4076">
      <pivotArea dataOnly="0" labelOnly="1" outline="0" axis="axisValues" fieldPosition="0"/>
    </format>
    <format dxfId="4075">
      <pivotArea field="1" type="button" dataOnly="0" labelOnly="1" outline="0" axis="axisRow" fieldPosition="0"/>
    </format>
    <format dxfId="4074">
      <pivotArea dataOnly="0" labelOnly="1" outline="0" axis="axisValues" fieldPosition="0"/>
    </format>
    <format dxfId="4073">
      <pivotArea dataOnly="0" labelOnly="1" fieldPosition="0">
        <references count="1">
          <reference field="1" count="0"/>
        </references>
      </pivotArea>
    </format>
    <format dxfId="4072">
      <pivotArea outline="0" collapsedLevelsAreSubtotals="1" fieldPosition="0"/>
    </format>
    <format dxfId="4071">
      <pivotArea outline="0" collapsedLevelsAreSubtotals="1" fieldPosition="0"/>
    </format>
    <format dxfId="4070">
      <pivotArea dataOnly="0" labelOnly="1" fieldPosition="0">
        <references count="1">
          <reference field="1" count="0"/>
        </references>
      </pivotArea>
    </format>
    <format dxfId="4069">
      <pivotArea outline="0" collapsedLevelsAreSubtotals="1" fieldPosition="0"/>
    </format>
    <format dxfId="4068">
      <pivotArea dataOnly="0" labelOnly="1" fieldPosition="0">
        <references count="1">
          <reference field="1" count="0"/>
        </references>
      </pivotArea>
    </format>
    <format dxfId="4067">
      <pivotArea outline="0" collapsedLevelsAreSubtotals="1" fieldPosition="0"/>
    </format>
    <format dxfId="4066">
      <pivotArea dataOnly="0" labelOnly="1" fieldPosition="0">
        <references count="1">
          <reference field="1" count="0"/>
        </references>
      </pivotArea>
    </format>
  </formats>
  <pivotTableStyleInfo name="PivotStyleLight16" showRowHeaders="1" showColHeaders="1" showRowStripes="0" showColStripes="0" showLastColumn="1"/>
  <filters count="1">
    <filter fld="1"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F6FB34-08F9-4CB8-8B4B-E75709AB67ED}"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ly">
  <location ref="C7:D8" firstHeaderRow="1" firstDataRow="1" firstDataCol="1"/>
  <pivotFields count="20">
    <pivotField showAll="0"/>
    <pivotField showAll="0"/>
    <pivotField axis="axisRow" showAll="0">
      <items count="2">
        <item x="0"/>
        <item t="default"/>
      </items>
    </pivotField>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dataField="1" numFmtId="1" showAll="0"/>
    <pivotField numFmtId="1" showAll="0"/>
    <pivotField dragToRow="0" dragToCol="0" dragToPage="0" showAll="0" defaultSubtotal="0"/>
  </pivotFields>
  <rowFields count="1">
    <field x="2"/>
  </rowFields>
  <rowItems count="1">
    <i>
      <x/>
    </i>
  </rowItems>
  <colItems count="1">
    <i/>
  </colItems>
  <dataFields count="1">
    <dataField name="Total Regi._user" fld="17" baseField="2" baseItem="0" numFmtId="1"/>
  </dataFields>
  <formats count="52">
    <format dxfId="4144">
      <pivotArea type="all" dataOnly="0" outline="0" fieldPosition="0"/>
    </format>
    <format dxfId="4143">
      <pivotArea outline="0" collapsedLevelsAreSubtotals="1" fieldPosition="0"/>
    </format>
    <format dxfId="4142">
      <pivotArea dataOnly="0" labelOnly="1" fieldPosition="0">
        <references count="1">
          <reference field="2" count="0"/>
        </references>
      </pivotArea>
    </format>
    <format dxfId="4141">
      <pivotArea dataOnly="0" labelOnly="1" fieldPosition="0">
        <references count="1">
          <reference field="2" count="0"/>
        </references>
      </pivotArea>
    </format>
    <format dxfId="4140">
      <pivotArea outline="0" collapsedLevelsAreSubtotals="1" fieldPosition="0"/>
    </format>
    <format dxfId="4139">
      <pivotArea dataOnly="0" labelOnly="1" fieldPosition="0">
        <references count="1">
          <reference field="2" count="0"/>
        </references>
      </pivotArea>
    </format>
    <format dxfId="4138">
      <pivotArea type="all" dataOnly="0" outline="0" fieldPosition="0"/>
    </format>
    <format dxfId="4137">
      <pivotArea outline="0" collapsedLevelsAreSubtotals="1" fieldPosition="0"/>
    </format>
    <format dxfId="4136">
      <pivotArea field="2" type="button" dataOnly="0" labelOnly="1" outline="0" axis="axisRow" fieldPosition="0"/>
    </format>
    <format dxfId="4135">
      <pivotArea dataOnly="0" labelOnly="1" fieldPosition="0">
        <references count="1">
          <reference field="2" count="0"/>
        </references>
      </pivotArea>
    </format>
    <format dxfId="4134">
      <pivotArea dataOnly="0" labelOnly="1" outline="0" axis="axisValues" fieldPosition="0"/>
    </format>
    <format dxfId="4133">
      <pivotArea type="all" dataOnly="0" outline="0" fieldPosition="0"/>
    </format>
    <format dxfId="4132">
      <pivotArea outline="0" collapsedLevelsAreSubtotals="1" fieldPosition="0"/>
    </format>
    <format dxfId="4131">
      <pivotArea dataOnly="0" labelOnly="1" fieldPosition="0">
        <references count="1">
          <reference field="2" count="0"/>
        </references>
      </pivotArea>
    </format>
    <format dxfId="4130">
      <pivotArea field="2" type="button" dataOnly="0" labelOnly="1" outline="0" axis="axisRow" fieldPosition="0"/>
    </format>
    <format dxfId="4129">
      <pivotArea dataOnly="0" labelOnly="1" outline="0" axis="axisValues" fieldPosition="0"/>
    </format>
    <format dxfId="4128">
      <pivotArea type="all" dataOnly="0" outline="0" fieldPosition="0"/>
    </format>
    <format dxfId="4127">
      <pivotArea outline="0" collapsedLevelsAreSubtotals="1" fieldPosition="0"/>
    </format>
    <format dxfId="4126">
      <pivotArea field="2" type="button" dataOnly="0" labelOnly="1" outline="0" axis="axisRow" fieldPosition="0"/>
    </format>
    <format dxfId="4125">
      <pivotArea dataOnly="0" labelOnly="1" fieldPosition="0">
        <references count="1">
          <reference field="2" count="0"/>
        </references>
      </pivotArea>
    </format>
    <format dxfId="4124">
      <pivotArea dataOnly="0" labelOnly="1" outline="0" axis="axisValues" fieldPosition="0"/>
    </format>
    <format dxfId="4123">
      <pivotArea type="all" dataOnly="0" outline="0" fieldPosition="0"/>
    </format>
    <format dxfId="4122">
      <pivotArea outline="0" collapsedLevelsAreSubtotals="1" fieldPosition="0"/>
    </format>
    <format dxfId="4121">
      <pivotArea field="2" type="button" dataOnly="0" labelOnly="1" outline="0" axis="axisRow" fieldPosition="0"/>
    </format>
    <format dxfId="4120">
      <pivotArea dataOnly="0" labelOnly="1" fieldPosition="0">
        <references count="1">
          <reference field="2" count="0"/>
        </references>
      </pivotArea>
    </format>
    <format dxfId="4119">
      <pivotArea dataOnly="0" labelOnly="1" outline="0" axis="axisValues" fieldPosition="0"/>
    </format>
    <format dxfId="4118">
      <pivotArea outline="0" collapsedLevelsAreSubtotals="1" fieldPosition="0"/>
    </format>
    <format dxfId="4117">
      <pivotArea dataOnly="0" labelOnly="1" outline="0" axis="axisValues" fieldPosition="0"/>
    </format>
    <format dxfId="4116">
      <pivotArea field="2" type="button" dataOnly="0" labelOnly="1" outline="0" axis="axisRow" fieldPosition="0"/>
    </format>
    <format dxfId="4115">
      <pivotArea dataOnly="0" labelOnly="1" fieldPosition="0">
        <references count="1">
          <reference field="2" count="0"/>
        </references>
      </pivotArea>
    </format>
    <format dxfId="4114">
      <pivotArea dataOnly="0" labelOnly="1" fieldPosition="0">
        <references count="1">
          <reference field="2" count="0"/>
        </references>
      </pivotArea>
    </format>
    <format dxfId="4113">
      <pivotArea field="2" type="button" dataOnly="0" labelOnly="1" outline="0" axis="axisRow" fieldPosition="0"/>
    </format>
    <format dxfId="4112">
      <pivotArea dataOnly="0" labelOnly="1" outline="0" axis="axisValues" fieldPosition="0"/>
    </format>
    <format dxfId="4111">
      <pivotArea type="all" dataOnly="0" outline="0" fieldPosition="0"/>
    </format>
    <format dxfId="4110">
      <pivotArea outline="0" collapsedLevelsAreSubtotals="1" fieldPosition="0"/>
    </format>
    <format dxfId="4109">
      <pivotArea field="2" type="button" dataOnly="0" labelOnly="1" outline="0" axis="axisRow" fieldPosition="0"/>
    </format>
    <format dxfId="4108">
      <pivotArea dataOnly="0" labelOnly="1" fieldPosition="0">
        <references count="1">
          <reference field="2" count="0"/>
        </references>
      </pivotArea>
    </format>
    <format dxfId="4107">
      <pivotArea dataOnly="0" labelOnly="1" outline="0" axis="axisValues" fieldPosition="0"/>
    </format>
    <format dxfId="4106">
      <pivotArea dataOnly="0" labelOnly="1" fieldPosition="0">
        <references count="1">
          <reference field="2" count="0"/>
        </references>
      </pivotArea>
    </format>
    <format dxfId="4105">
      <pivotArea field="2" type="button" dataOnly="0" labelOnly="1" outline="0" axis="axisRow" fieldPosition="0"/>
    </format>
    <format dxfId="4104">
      <pivotArea dataOnly="0" labelOnly="1" outline="0" axis="axisValues" fieldPosition="0"/>
    </format>
    <format dxfId="4103">
      <pivotArea outline="0" collapsedLevelsAreSubtotals="1" fieldPosition="0"/>
    </format>
    <format dxfId="4102">
      <pivotArea type="all" dataOnly="0" outline="0" fieldPosition="0"/>
    </format>
    <format dxfId="4101">
      <pivotArea outline="0" collapsedLevelsAreSubtotals="1" fieldPosition="0"/>
    </format>
    <format dxfId="4100">
      <pivotArea field="2" type="button" dataOnly="0" labelOnly="1" outline="0" axis="axisRow" fieldPosition="0"/>
    </format>
    <format dxfId="4099">
      <pivotArea dataOnly="0" labelOnly="1" fieldPosition="0">
        <references count="1">
          <reference field="2" count="0"/>
        </references>
      </pivotArea>
    </format>
    <format dxfId="4098">
      <pivotArea dataOnly="0" labelOnly="1" outline="0" axis="axisValues" fieldPosition="0"/>
    </format>
    <format dxfId="4097">
      <pivotArea dataOnly="0" fieldPosition="0">
        <references count="1">
          <reference field="2" count="0"/>
        </references>
      </pivotArea>
    </format>
    <format dxfId="4096">
      <pivotArea outline="0" collapsedLevelsAreSubtotals="1" fieldPosition="0"/>
    </format>
    <format dxfId="4095">
      <pivotArea dataOnly="0" labelOnly="1" fieldPosition="0">
        <references count="1">
          <reference field="2" count="0"/>
        </references>
      </pivotArea>
    </format>
    <format dxfId="4094">
      <pivotArea dataOnly="0" labelOnly="1" fieldPosition="0">
        <references count="1">
          <reference field="2" count="0"/>
        </references>
      </pivotArea>
    </format>
    <format dxfId="4093">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B9BF3E-5DA6-4C8F-9FE0-CB9EC14A4519}"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ly">
  <location ref="A7:B8" firstHeaderRow="1" firstDataRow="1" firstDataCol="1"/>
  <pivotFields count="2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2">
        <item x="0"/>
        <item t="default"/>
      </items>
    </pivotField>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dataField="1" numFmtId="1" showAll="0"/>
    <pivotField numFmtId="1" showAll="0"/>
    <pivotField numFmtId="1" showAll="0"/>
    <pivotField dragToRow="0" dragToCol="0" dragToPage="0" showAll="0" defaultSubtotal="0"/>
  </pivotFields>
  <rowFields count="1">
    <field x="2"/>
  </rowFields>
  <rowItems count="1">
    <i>
      <x/>
    </i>
  </rowItems>
  <colItems count="1">
    <i/>
  </colItems>
  <dataFields count="1">
    <dataField name="Total Casual_user" fld="16" baseField="2" baseItem="0" numFmtId="1"/>
  </dataFields>
  <formats count="43">
    <format dxfId="4187">
      <pivotArea type="all" dataOnly="0" outline="0" fieldPosition="0"/>
    </format>
    <format dxfId="4186">
      <pivotArea outline="0" collapsedLevelsAreSubtotals="1" fieldPosition="0"/>
    </format>
    <format dxfId="4185">
      <pivotArea dataOnly="0" labelOnly="1" fieldPosition="0">
        <references count="1">
          <reference field="2" count="0"/>
        </references>
      </pivotArea>
    </format>
    <format dxfId="4184">
      <pivotArea dataOnly="0" labelOnly="1" fieldPosition="0">
        <references count="1">
          <reference field="2" count="0"/>
        </references>
      </pivotArea>
    </format>
    <format dxfId="4183">
      <pivotArea outline="0" collapsedLevelsAreSubtotals="1" fieldPosition="0"/>
    </format>
    <format dxfId="4182">
      <pivotArea outline="0" collapsedLevelsAreSubtotals="1" fieldPosition="0"/>
    </format>
    <format dxfId="4181">
      <pivotArea dataOnly="0" labelOnly="1" fieldPosition="0">
        <references count="1">
          <reference field="2" count="0"/>
        </references>
      </pivotArea>
    </format>
    <format dxfId="4180">
      <pivotArea outline="0" collapsedLevelsAreSubtotals="1" fieldPosition="0"/>
    </format>
    <format dxfId="4179">
      <pivotArea dataOnly="0" labelOnly="1" outline="0" axis="axisValues" fieldPosition="0"/>
    </format>
    <format dxfId="4178">
      <pivotArea outline="0" collapsedLevelsAreSubtotals="1" fieldPosition="0"/>
    </format>
    <format dxfId="4177">
      <pivotArea dataOnly="0" labelOnly="1" outline="0" axis="axisValues" fieldPosition="0"/>
    </format>
    <format dxfId="4176">
      <pivotArea type="all" dataOnly="0" outline="0" fieldPosition="0"/>
    </format>
    <format dxfId="4175">
      <pivotArea outline="0" collapsedLevelsAreSubtotals="1" fieldPosition="0"/>
    </format>
    <format dxfId="4174">
      <pivotArea field="2" type="button" dataOnly="0" labelOnly="1" outline="0" axis="axisRow" fieldPosition="0"/>
    </format>
    <format dxfId="4173">
      <pivotArea dataOnly="0" labelOnly="1" fieldPosition="0">
        <references count="1">
          <reference field="2" count="0"/>
        </references>
      </pivotArea>
    </format>
    <format dxfId="4172">
      <pivotArea dataOnly="0" labelOnly="1" outline="0" axis="axisValues" fieldPosition="0"/>
    </format>
    <format dxfId="4171">
      <pivotArea type="all" dataOnly="0" outline="0" fieldPosition="0"/>
    </format>
    <format dxfId="4170">
      <pivotArea outline="0" collapsedLevelsAreSubtotals="1" fieldPosition="0"/>
    </format>
    <format dxfId="4169">
      <pivotArea field="2" type="button" dataOnly="0" labelOnly="1" outline="0" axis="axisRow" fieldPosition="0"/>
    </format>
    <format dxfId="4168">
      <pivotArea dataOnly="0" labelOnly="1" fieldPosition="0">
        <references count="1">
          <reference field="2" count="0"/>
        </references>
      </pivotArea>
    </format>
    <format dxfId="4167">
      <pivotArea dataOnly="0" labelOnly="1" outline="0" axis="axisValues" fieldPosition="0"/>
    </format>
    <format dxfId="4166">
      <pivotArea dataOnly="0" outline="0" axis="axisValues" fieldPosition="0"/>
    </format>
    <format dxfId="4165">
      <pivotArea field="2" type="button" dataOnly="0" labelOnly="1" outline="0" axis="axisRow" fieldPosition="0"/>
    </format>
    <format dxfId="4164">
      <pivotArea field="2" type="button" dataOnly="0" labelOnly="1" outline="0" axis="axisRow" fieldPosition="0"/>
    </format>
    <format dxfId="4163">
      <pivotArea dataOnly="0" labelOnly="1" outline="0" axis="axisValues" fieldPosition="0"/>
    </format>
    <format dxfId="4162">
      <pivotArea type="all" dataOnly="0" outline="0" fieldPosition="0"/>
    </format>
    <format dxfId="4161">
      <pivotArea outline="0" collapsedLevelsAreSubtotals="1" fieldPosition="0"/>
    </format>
    <format dxfId="4160">
      <pivotArea field="2" type="button" dataOnly="0" labelOnly="1" outline="0" axis="axisRow" fieldPosition="0"/>
    </format>
    <format dxfId="4159">
      <pivotArea dataOnly="0" labelOnly="1" fieldPosition="0">
        <references count="1">
          <reference field="2" count="0"/>
        </references>
      </pivotArea>
    </format>
    <format dxfId="4158">
      <pivotArea dataOnly="0" labelOnly="1" outline="0" axis="axisValues" fieldPosition="0"/>
    </format>
    <format dxfId="4157">
      <pivotArea dataOnly="0" labelOnly="1" fieldPosition="0">
        <references count="1">
          <reference field="2" count="0"/>
        </references>
      </pivotArea>
    </format>
    <format dxfId="4156">
      <pivotArea field="2" type="button" dataOnly="0" labelOnly="1" outline="0" axis="axisRow" fieldPosition="0"/>
    </format>
    <format dxfId="4155">
      <pivotArea dataOnly="0" labelOnly="1" outline="0" axis="axisValues" fieldPosition="0"/>
    </format>
    <format dxfId="4154">
      <pivotArea outline="0" collapsedLevelsAreSubtotals="1" fieldPosition="0"/>
    </format>
    <format dxfId="4153">
      <pivotArea type="all" dataOnly="0" outline="0" fieldPosition="0"/>
    </format>
    <format dxfId="4152">
      <pivotArea outline="0" collapsedLevelsAreSubtotals="1" fieldPosition="0"/>
    </format>
    <format dxfId="4151">
      <pivotArea field="2" type="button" dataOnly="0" labelOnly="1" outline="0" axis="axisRow" fieldPosition="0"/>
    </format>
    <format dxfId="4150">
      <pivotArea dataOnly="0" labelOnly="1" fieldPosition="0">
        <references count="1">
          <reference field="2" count="0"/>
        </references>
      </pivotArea>
    </format>
    <format dxfId="4149">
      <pivotArea dataOnly="0" labelOnly="1" outline="0" axis="axisValues" fieldPosition="0"/>
    </format>
    <format dxfId="4148">
      <pivotArea dataOnly="0" labelOnly="1" fieldPosition="0">
        <references count="1">
          <reference field="2" count="0"/>
        </references>
      </pivotArea>
    </format>
    <format dxfId="4147">
      <pivotArea dataOnly="0" labelOnly="1" fieldPosition="0">
        <references count="1">
          <reference field="2" count="0"/>
        </references>
      </pivotArea>
    </format>
    <format dxfId="4146">
      <pivotArea outline="0" collapsedLevelsAreSubtotals="1" fieldPosition="0"/>
    </format>
    <format dxfId="4145">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F439C4-3FC1-4369-9CC4-691718D0C65A}"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ly">
  <location ref="C3:D4" firstHeaderRow="1" firstDataRow="1" firstDataCol="1"/>
  <pivotFields count="2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2">
        <item x="0"/>
        <item t="default"/>
      </items>
    </pivotField>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2"/>
  </rowFields>
  <rowItems count="1">
    <i>
      <x/>
    </i>
  </rowItems>
  <colItems count="1">
    <i/>
  </colItems>
  <dataFields count="1">
    <dataField name="AvgTotal_user" fld="18" subtotal="average" baseField="2" baseItem="0" numFmtId="1"/>
  </dataFields>
  <formats count="51">
    <format dxfId="4238">
      <pivotArea type="all" dataOnly="0" outline="0" fieldPosition="0"/>
    </format>
    <format dxfId="4237">
      <pivotArea outline="0" collapsedLevelsAreSubtotals="1" fieldPosition="0"/>
    </format>
    <format dxfId="4236">
      <pivotArea dataOnly="0" labelOnly="1" fieldPosition="0">
        <references count="1">
          <reference field="2" count="0"/>
        </references>
      </pivotArea>
    </format>
    <format dxfId="4235">
      <pivotArea dataOnly="0" labelOnly="1" fieldPosition="0">
        <references count="1">
          <reference field="2" count="0"/>
        </references>
      </pivotArea>
    </format>
    <format dxfId="4234">
      <pivotArea outline="0" collapsedLevelsAreSubtotals="1" fieldPosition="0"/>
    </format>
    <format dxfId="4233">
      <pivotArea dataOnly="0" labelOnly="1" fieldPosition="0">
        <references count="1">
          <reference field="2" count="0"/>
        </references>
      </pivotArea>
    </format>
    <format dxfId="4232">
      <pivotArea type="all" dataOnly="0" outline="0" fieldPosition="0"/>
    </format>
    <format dxfId="4231">
      <pivotArea outline="0" collapsedLevelsAreSubtotals="1" fieldPosition="0"/>
    </format>
    <format dxfId="4230">
      <pivotArea field="2" type="button" dataOnly="0" labelOnly="1" outline="0" axis="axisRow" fieldPosition="0"/>
    </format>
    <format dxfId="4229">
      <pivotArea dataOnly="0" labelOnly="1" fieldPosition="0">
        <references count="1">
          <reference field="2" count="0"/>
        </references>
      </pivotArea>
    </format>
    <format dxfId="4228">
      <pivotArea dataOnly="0" labelOnly="1" outline="0" axis="axisValues" fieldPosition="0"/>
    </format>
    <format dxfId="4227">
      <pivotArea type="all" dataOnly="0" outline="0" fieldPosition="0"/>
    </format>
    <format dxfId="4226">
      <pivotArea outline="0" collapsedLevelsAreSubtotals="1" fieldPosition="0"/>
    </format>
    <format dxfId="4225">
      <pivotArea dataOnly="0" labelOnly="1" fieldPosition="0">
        <references count="1">
          <reference field="2" count="0"/>
        </references>
      </pivotArea>
    </format>
    <format dxfId="4224">
      <pivotArea field="2" type="button" dataOnly="0" labelOnly="1" outline="0" axis="axisRow" fieldPosition="0"/>
    </format>
    <format dxfId="4223">
      <pivotArea dataOnly="0" labelOnly="1" outline="0" axis="axisValues" fieldPosition="0"/>
    </format>
    <format dxfId="4222">
      <pivotArea type="all" dataOnly="0" outline="0" fieldPosition="0"/>
    </format>
    <format dxfId="4221">
      <pivotArea outline="0" collapsedLevelsAreSubtotals="1" fieldPosition="0"/>
    </format>
    <format dxfId="4220">
      <pivotArea field="2" type="button" dataOnly="0" labelOnly="1" outline="0" axis="axisRow" fieldPosition="0"/>
    </format>
    <format dxfId="4219">
      <pivotArea dataOnly="0" labelOnly="1" fieldPosition="0">
        <references count="1">
          <reference field="2" count="0"/>
        </references>
      </pivotArea>
    </format>
    <format dxfId="4218">
      <pivotArea dataOnly="0" labelOnly="1" outline="0" axis="axisValues" fieldPosition="0"/>
    </format>
    <format dxfId="4217">
      <pivotArea type="all" dataOnly="0" outline="0" fieldPosition="0"/>
    </format>
    <format dxfId="4216">
      <pivotArea outline="0" collapsedLevelsAreSubtotals="1" fieldPosition="0"/>
    </format>
    <format dxfId="4215">
      <pivotArea field="2" type="button" dataOnly="0" labelOnly="1" outline="0" axis="axisRow" fieldPosition="0"/>
    </format>
    <format dxfId="4214">
      <pivotArea dataOnly="0" labelOnly="1" fieldPosition="0">
        <references count="1">
          <reference field="2" count="0"/>
        </references>
      </pivotArea>
    </format>
    <format dxfId="4213">
      <pivotArea dataOnly="0" labelOnly="1" outline="0" axis="axisValues" fieldPosition="0"/>
    </format>
    <format dxfId="4212">
      <pivotArea field="2" type="button" dataOnly="0" labelOnly="1" outline="0" axis="axisRow" fieldPosition="0"/>
    </format>
    <format dxfId="4211">
      <pivotArea dataOnly="0" labelOnly="1" fieldPosition="0">
        <references count="1">
          <reference field="2" count="0"/>
        </references>
      </pivotArea>
    </format>
    <format dxfId="4210">
      <pivotArea dataOnly="0" labelOnly="1" fieldPosition="0">
        <references count="1">
          <reference field="2" count="0"/>
        </references>
      </pivotArea>
    </format>
    <format dxfId="4209">
      <pivotArea field="2" type="button" dataOnly="0" labelOnly="1" outline="0" axis="axisRow" fieldPosition="0"/>
    </format>
    <format dxfId="4208">
      <pivotArea dataOnly="0" labelOnly="1" outline="0" axis="axisValues" fieldPosition="0"/>
    </format>
    <format dxfId="4207">
      <pivotArea type="all" dataOnly="0" outline="0" fieldPosition="0"/>
    </format>
    <format dxfId="4206">
      <pivotArea outline="0" collapsedLevelsAreSubtotals="1" fieldPosition="0"/>
    </format>
    <format dxfId="4205">
      <pivotArea field="2" type="button" dataOnly="0" labelOnly="1" outline="0" axis="axisRow" fieldPosition="0"/>
    </format>
    <format dxfId="4204">
      <pivotArea dataOnly="0" labelOnly="1" fieldPosition="0">
        <references count="1">
          <reference field="2" count="0"/>
        </references>
      </pivotArea>
    </format>
    <format dxfId="4203">
      <pivotArea dataOnly="0" labelOnly="1" outline="0" axis="axisValues" fieldPosition="0"/>
    </format>
    <format dxfId="4202">
      <pivotArea dataOnly="0" labelOnly="1" fieldPosition="0">
        <references count="1">
          <reference field="2" count="0"/>
        </references>
      </pivotArea>
    </format>
    <format dxfId="4201">
      <pivotArea dataOnly="0" labelOnly="1" fieldPosition="0">
        <references count="1">
          <reference field="2" count="0"/>
        </references>
      </pivotArea>
    </format>
    <format dxfId="4200">
      <pivotArea field="2" type="button" dataOnly="0" labelOnly="1" outline="0" axis="axisRow" fieldPosition="0"/>
    </format>
    <format dxfId="4199">
      <pivotArea dataOnly="0" labelOnly="1" outline="0" axis="axisValues" fieldPosition="0"/>
    </format>
    <format dxfId="4198">
      <pivotArea type="all" dataOnly="0" outline="0" fieldPosition="0"/>
    </format>
    <format dxfId="4197">
      <pivotArea outline="0" collapsedLevelsAreSubtotals="1" fieldPosition="0"/>
    </format>
    <format dxfId="4196">
      <pivotArea field="2" type="button" dataOnly="0" labelOnly="1" outline="0" axis="axisRow" fieldPosition="0"/>
    </format>
    <format dxfId="4195">
      <pivotArea dataOnly="0" labelOnly="1" fieldPosition="0">
        <references count="1">
          <reference field="2" count="0"/>
        </references>
      </pivotArea>
    </format>
    <format dxfId="4194">
      <pivotArea dataOnly="0" labelOnly="1" outline="0" axis="axisValues" fieldPosition="0"/>
    </format>
    <format dxfId="4193">
      <pivotArea dataOnly="0" fieldPosition="0">
        <references count="1">
          <reference field="2" count="0"/>
        </references>
      </pivotArea>
    </format>
    <format dxfId="4192">
      <pivotArea outline="0" collapsedLevelsAreSubtotals="1" fieldPosition="0"/>
    </format>
    <format dxfId="4191">
      <pivotArea dataOnly="0" labelOnly="1" fieldPosition="0">
        <references count="1">
          <reference field="2" count="0"/>
        </references>
      </pivotArea>
    </format>
    <format dxfId="4190">
      <pivotArea outline="0" collapsedLevelsAreSubtotals="1" fieldPosition="0"/>
    </format>
    <format dxfId="4189">
      <pivotArea outline="0" collapsedLevelsAreSubtotals="1" fieldPosition="0"/>
    </format>
    <format dxfId="41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8FF296-C046-4A2F-BFE8-11443672FC51}"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ly">
  <location ref="A3:B4" firstHeaderRow="1" firstDataRow="1" firstDataCol="1"/>
  <pivotFields count="2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2">
        <item x="0"/>
        <item t="default"/>
      </items>
    </pivotField>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2"/>
  </rowFields>
  <rowItems count="1">
    <i>
      <x/>
    </i>
  </rowItems>
  <colItems count="1">
    <i/>
  </colItems>
  <dataFields count="1">
    <dataField name="Total user" fld="18" baseField="2" baseItem="0" numFmtId="1"/>
  </dataFields>
  <formats count="59">
    <format dxfId="4297">
      <pivotArea type="all" dataOnly="0" outline="0" fieldPosition="0"/>
    </format>
    <format dxfId="4296">
      <pivotArea outline="0" collapsedLevelsAreSubtotals="1" fieldPosition="0"/>
    </format>
    <format dxfId="4295">
      <pivotArea field="2" type="button" dataOnly="0" labelOnly="1" outline="0" axis="axisRow" fieldPosition="0"/>
    </format>
    <format dxfId="4294">
      <pivotArea dataOnly="0" labelOnly="1" outline="0" axis="axisValues" fieldPosition="0"/>
    </format>
    <format dxfId="4293">
      <pivotArea type="all" dataOnly="0" outline="0" fieldPosition="0"/>
    </format>
    <format dxfId="4292">
      <pivotArea outline="0" collapsedLevelsAreSubtotals="1" fieldPosition="0"/>
    </format>
    <format dxfId="4291">
      <pivotArea field="2" type="button" dataOnly="0" labelOnly="1" outline="0" axis="axisRow" fieldPosition="0"/>
    </format>
    <format dxfId="4290">
      <pivotArea dataOnly="0" labelOnly="1" outline="0" axis="axisValues" fieldPosition="0"/>
    </format>
    <format dxfId="4289">
      <pivotArea type="all" dataOnly="0" outline="0" fieldPosition="0"/>
    </format>
    <format dxfId="4288">
      <pivotArea outline="0" collapsedLevelsAreSubtotals="1" fieldPosition="0"/>
    </format>
    <format dxfId="4287">
      <pivotArea field="2" type="button" dataOnly="0" labelOnly="1" outline="0" axis="axisRow" fieldPosition="0"/>
    </format>
    <format dxfId="4286">
      <pivotArea dataOnly="0" labelOnly="1" outline="0" axis="axisValues" fieldPosition="0"/>
    </format>
    <format dxfId="4285">
      <pivotArea type="all" dataOnly="0" outline="0" fieldPosition="0"/>
    </format>
    <format dxfId="4284">
      <pivotArea outline="0" collapsedLevelsAreSubtotals="1" fieldPosition="0"/>
    </format>
    <format dxfId="4283">
      <pivotArea field="2" type="button" dataOnly="0" labelOnly="1" outline="0" axis="axisRow" fieldPosition="0"/>
    </format>
    <format dxfId="4282">
      <pivotArea dataOnly="0" labelOnly="1" outline="0" axis="axisValues" fieldPosition="0"/>
    </format>
    <format dxfId="4281">
      <pivotArea type="all" dataOnly="0" outline="0" fieldPosition="0"/>
    </format>
    <format dxfId="4280">
      <pivotArea outline="0" collapsedLevelsAreSubtotals="1" fieldPosition="0"/>
    </format>
    <format dxfId="4279">
      <pivotArea field="2" type="button" dataOnly="0" labelOnly="1" outline="0" axis="axisRow" fieldPosition="0"/>
    </format>
    <format dxfId="4278">
      <pivotArea dataOnly="0" labelOnly="1" outline="0" axis="axisValues" fieldPosition="0"/>
    </format>
    <format dxfId="4277">
      <pivotArea type="all" dataOnly="0" outline="0" fieldPosition="0"/>
    </format>
    <format dxfId="4276">
      <pivotArea outline="0" collapsedLevelsAreSubtotals="1" fieldPosition="0"/>
    </format>
    <format dxfId="4275">
      <pivotArea dataOnly="0" labelOnly="1" fieldPosition="0">
        <references count="1">
          <reference field="2" count="0"/>
        </references>
      </pivotArea>
    </format>
    <format dxfId="4274">
      <pivotArea dataOnly="0" labelOnly="1" fieldPosition="0">
        <references count="1">
          <reference field="2" count="0"/>
        </references>
      </pivotArea>
    </format>
    <format dxfId="4273">
      <pivotArea outline="0" collapsedLevelsAreSubtotals="1" fieldPosition="0"/>
    </format>
    <format dxfId="4272">
      <pivotArea outline="0" collapsedLevelsAreSubtotals="1" fieldPosition="0"/>
    </format>
    <format dxfId="4271">
      <pivotArea dataOnly="0" labelOnly="1" fieldPosition="0">
        <references count="1">
          <reference field="2" count="0"/>
        </references>
      </pivotArea>
    </format>
    <format dxfId="4270">
      <pivotArea outline="0" collapsedLevelsAreSubtotals="1" fieldPosition="0"/>
    </format>
    <format dxfId="4269">
      <pivotArea dataOnly="0" labelOnly="1" outline="0" axis="axisValues" fieldPosition="0"/>
    </format>
    <format dxfId="4268">
      <pivotArea outline="0" collapsedLevelsAreSubtotals="1" fieldPosition="0"/>
    </format>
    <format dxfId="4267">
      <pivotArea dataOnly="0" labelOnly="1" outline="0" axis="axisValues" fieldPosition="0"/>
    </format>
    <format dxfId="4266">
      <pivotArea type="all" dataOnly="0" outline="0" fieldPosition="0"/>
    </format>
    <format dxfId="4265">
      <pivotArea outline="0" collapsedLevelsAreSubtotals="1" fieldPosition="0"/>
    </format>
    <format dxfId="4264">
      <pivotArea field="2" type="button" dataOnly="0" labelOnly="1" outline="0" axis="axisRow" fieldPosition="0"/>
    </format>
    <format dxfId="4263">
      <pivotArea dataOnly="0" labelOnly="1" fieldPosition="0">
        <references count="1">
          <reference field="2" count="0"/>
        </references>
      </pivotArea>
    </format>
    <format dxfId="4262">
      <pivotArea dataOnly="0" labelOnly="1" outline="0" axis="axisValues" fieldPosition="0"/>
    </format>
    <format dxfId="4261">
      <pivotArea type="all" dataOnly="0" outline="0" fieldPosition="0"/>
    </format>
    <format dxfId="4260">
      <pivotArea outline="0" collapsedLevelsAreSubtotals="1" fieldPosition="0"/>
    </format>
    <format dxfId="4259">
      <pivotArea field="2" type="button" dataOnly="0" labelOnly="1" outline="0" axis="axisRow" fieldPosition="0"/>
    </format>
    <format dxfId="4258">
      <pivotArea dataOnly="0" labelOnly="1" fieldPosition="0">
        <references count="1">
          <reference field="2" count="0"/>
        </references>
      </pivotArea>
    </format>
    <format dxfId="4257">
      <pivotArea dataOnly="0" labelOnly="1" outline="0" axis="axisValues" fieldPosition="0"/>
    </format>
    <format dxfId="4256">
      <pivotArea field="2" type="button" dataOnly="0" labelOnly="1" outline="0" axis="axisRow" fieldPosition="0"/>
    </format>
    <format dxfId="4255">
      <pivotArea dataOnly="0" labelOnly="1" outline="0" axis="axisValues" fieldPosition="0"/>
    </format>
    <format dxfId="4254">
      <pivotArea field="2" type="button" dataOnly="0" labelOnly="1" outline="0" axis="axisRow" fieldPosition="0"/>
    </format>
    <format dxfId="4253">
      <pivotArea dataOnly="0" labelOnly="1" outline="0" axis="axisValues" fieldPosition="0"/>
    </format>
    <format dxfId="4252">
      <pivotArea type="all" dataOnly="0" outline="0" fieldPosition="0"/>
    </format>
    <format dxfId="4251">
      <pivotArea outline="0" collapsedLevelsAreSubtotals="1" fieldPosition="0"/>
    </format>
    <format dxfId="4250">
      <pivotArea field="2" type="button" dataOnly="0" labelOnly="1" outline="0" axis="axisRow" fieldPosition="0"/>
    </format>
    <format dxfId="4249">
      <pivotArea dataOnly="0" labelOnly="1" fieldPosition="0">
        <references count="1">
          <reference field="2" count="0"/>
        </references>
      </pivotArea>
    </format>
    <format dxfId="4248">
      <pivotArea dataOnly="0" labelOnly="1" outline="0" axis="axisValues" fieldPosition="0"/>
    </format>
    <format dxfId="4247">
      <pivotArea dataOnly="0" labelOnly="1" fieldPosition="0">
        <references count="1">
          <reference field="2" count="0"/>
        </references>
      </pivotArea>
    </format>
    <format dxfId="4246">
      <pivotArea type="all" dataOnly="0" outline="0" fieldPosition="0"/>
    </format>
    <format dxfId="4245">
      <pivotArea outline="0" collapsedLevelsAreSubtotals="1" fieldPosition="0"/>
    </format>
    <format dxfId="4244">
      <pivotArea field="2" type="button" dataOnly="0" labelOnly="1" outline="0" axis="axisRow" fieldPosition="0"/>
    </format>
    <format dxfId="4243">
      <pivotArea dataOnly="0" labelOnly="1" fieldPosition="0">
        <references count="1">
          <reference field="2" count="0"/>
        </references>
      </pivotArea>
    </format>
    <format dxfId="4242">
      <pivotArea dataOnly="0" labelOnly="1" outline="0" axis="axisValues" fieldPosition="0"/>
    </format>
    <format dxfId="4241">
      <pivotArea dataOnly="0" labelOnly="1" fieldPosition="0">
        <references count="1">
          <reference field="2" count="0"/>
        </references>
      </pivotArea>
    </format>
    <format dxfId="4240">
      <pivotArea outline="0" collapsedLevelsAreSubtotals="1" fieldPosition="0"/>
    </format>
    <format dxfId="4239">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626EA7-4220-49A5-A89F-F4D6FEC93ED5}"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Lowest Rental Day">
  <location ref="C10:D13" firstHeaderRow="1" firstDataRow="1" firstDataCol="1"/>
  <pivotFields count="20">
    <pivotField showAll="0"/>
    <pivotField axis="axisRow" showAll="0" measureFilter="1">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1"/>
  </rowFields>
  <rowItems count="3">
    <i>
      <x v="25"/>
    </i>
    <i>
      <x v="26"/>
    </i>
    <i>
      <x v="27"/>
    </i>
  </rowItems>
  <colItems count="1">
    <i/>
  </colItems>
  <dataFields count="1">
    <dataField name="Total Rental user" fld="18" baseField="1" baseItem="25" numFmtId="1"/>
  </dataFields>
  <formats count="29">
    <format dxfId="4326">
      <pivotArea dataOnly="0" labelOnly="1" fieldPosition="0">
        <references count="1">
          <reference field="1" count="0"/>
        </references>
      </pivotArea>
    </format>
    <format dxfId="4325">
      <pivotArea outline="0" collapsedLevelsAreSubtotals="1" fieldPosition="0"/>
    </format>
    <format dxfId="4324">
      <pivotArea type="all" dataOnly="0" outline="0" fieldPosition="0"/>
    </format>
    <format dxfId="4323">
      <pivotArea outline="0" collapsedLevelsAreSubtotals="1" fieldPosition="0"/>
    </format>
    <format dxfId="4322">
      <pivotArea field="1" type="button" dataOnly="0" labelOnly="1" outline="0" axis="axisRow" fieldPosition="0"/>
    </format>
    <format dxfId="4321">
      <pivotArea dataOnly="0" labelOnly="1" fieldPosition="0">
        <references count="1">
          <reference field="1" count="0"/>
        </references>
      </pivotArea>
    </format>
    <format dxfId="4320">
      <pivotArea dataOnly="0" labelOnly="1" outline="0" axis="axisValues" fieldPosition="0"/>
    </format>
    <format dxfId="4319">
      <pivotArea type="all" dataOnly="0" outline="0" fieldPosition="0"/>
    </format>
    <format dxfId="4318">
      <pivotArea outline="0" collapsedLevelsAreSubtotals="1" fieldPosition="0"/>
    </format>
    <format dxfId="4317">
      <pivotArea field="1" type="button" dataOnly="0" labelOnly="1" outline="0" axis="axisRow" fieldPosition="0"/>
    </format>
    <format dxfId="4316">
      <pivotArea dataOnly="0" labelOnly="1" fieldPosition="0">
        <references count="1">
          <reference field="1" count="0"/>
        </references>
      </pivotArea>
    </format>
    <format dxfId="4315">
      <pivotArea dataOnly="0" labelOnly="1" outline="0" axis="axisValues" fieldPosition="0"/>
    </format>
    <format dxfId="4314">
      <pivotArea type="all" dataOnly="0" outline="0" fieldPosition="0"/>
    </format>
    <format dxfId="4313">
      <pivotArea outline="0" collapsedLevelsAreSubtotals="1" fieldPosition="0"/>
    </format>
    <format dxfId="4312">
      <pivotArea field="1" type="button" dataOnly="0" labelOnly="1" outline="0" axis="axisRow" fieldPosition="0"/>
    </format>
    <format dxfId="4311">
      <pivotArea dataOnly="0" labelOnly="1" fieldPosition="0">
        <references count="1">
          <reference field="1" count="0"/>
        </references>
      </pivotArea>
    </format>
    <format dxfId="4310">
      <pivotArea dataOnly="0" labelOnly="1" outline="0" axis="axisValues" fieldPosition="0"/>
    </format>
    <format dxfId="4309">
      <pivotArea type="all" dataOnly="0" outline="0" fieldPosition="0"/>
    </format>
    <format dxfId="4308">
      <pivotArea outline="0" collapsedLevelsAreSubtotals="1" fieldPosition="0"/>
    </format>
    <format dxfId="4307">
      <pivotArea field="1" type="button" dataOnly="0" labelOnly="1" outline="0" axis="axisRow" fieldPosition="0"/>
    </format>
    <format dxfId="4306">
      <pivotArea dataOnly="0" labelOnly="1" fieldPosition="0">
        <references count="1">
          <reference field="1" count="0"/>
        </references>
      </pivotArea>
    </format>
    <format dxfId="4305">
      <pivotArea dataOnly="0" labelOnly="1" outline="0" axis="axisValues" fieldPosition="0"/>
    </format>
    <format dxfId="4304">
      <pivotArea type="all" dataOnly="0" outline="0" fieldPosition="0"/>
    </format>
    <format dxfId="4303">
      <pivotArea outline="0" collapsedLevelsAreSubtotals="1" fieldPosition="0"/>
    </format>
    <format dxfId="4302">
      <pivotArea field="1" type="button" dataOnly="0" labelOnly="1" outline="0" axis="axisRow" fieldPosition="0"/>
    </format>
    <format dxfId="4301">
      <pivotArea dataOnly="0" labelOnly="1" fieldPosition="0">
        <references count="1">
          <reference field="1" count="0"/>
        </references>
      </pivotArea>
    </format>
    <format dxfId="4300">
      <pivotArea dataOnly="0" labelOnly="1" outline="0" axis="axisValues" fieldPosition="0"/>
    </format>
    <format dxfId="4299">
      <pivotArea field="1" type="button" dataOnly="0" labelOnly="1" outline="0" axis="axisRow" fieldPosition="0"/>
    </format>
    <format dxfId="4298">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3F6ADC-BFF0-481F-96C6-96DF911F98C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aate">
  <location ref="A4:B33" firstHeaderRow="1" firstDataRow="1" firstDataCol="1"/>
  <pivotFields count="20">
    <pivotField showAll="0"/>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2">
        <item x="0"/>
        <item t="default"/>
      </items>
    </pivotField>
    <pivotField showAll="0">
      <items count="2">
        <item x="0"/>
        <item t="default"/>
      </items>
    </pivotField>
    <pivotField showAll="0">
      <items count="2">
        <item x="0"/>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numFmtI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dataField="1" numFmtId="1" showAll="0">
      <items count="166">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 dragToRow="0" dragToCol="0" dragToPage="0" showAll="0" defaultSubtota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Total Rental_user" fld="18" baseField="0" baseItem="0" numFmtId="1"/>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0A5775-2182-40F0-B794-D35093D9CCF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our">
  <location ref="A3:B28" firstHeaderRow="1" firstDataRow="1" firstDataCol="1"/>
  <pivotFields count="20">
    <pivotField showAll="0"/>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_user" fld="18" baseField="0" baseItem="0" numFmtId="1"/>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D14772-88A2-41F7-BC37-49393B120A9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ate">
  <location ref="A3:C32" firstHeaderRow="0" firstDataRow="1" firstDataCol="1"/>
  <pivotFields count="20">
    <pivotField showAll="0"/>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2">
        <item x="0"/>
        <item t="default"/>
      </items>
    </pivotField>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dataField="1" numFmtId="1" showAll="0"/>
    <pivotField dataField="1" numFmtId="1" showAll="0"/>
    <pivotField numFmtId="1" showAll="0"/>
    <pivotField dragToRow="0" dragToCol="0" dragToPage="0" showAll="0" defaultSubtota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Sum of Casual_user" fld="16" baseField="0" baseItem="0" numFmtId="1"/>
    <dataField name="Sum of Registered_user" fld="17"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BE1831-6832-475C-A55F-CC2572D1979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Week">
  <location ref="A4:B7" firstHeaderRow="1" firstDataRow="1" firstDataCol="1"/>
  <pivotFields count="20">
    <pivotField showAll="0"/>
    <pivotField showAll="0"/>
    <pivotField showAll="0"/>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axis="axisRow"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9"/>
  </rowFields>
  <rowItems count="3">
    <i>
      <x/>
    </i>
    <i>
      <x v="1"/>
    </i>
    <i t="grand">
      <x/>
    </i>
  </rowItems>
  <colItems count="1">
    <i/>
  </colItems>
  <dataFields count="1">
    <dataField name="Sum of Total Rental_user" fld="18" baseField="0" baseItem="0" numFmtId="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9" count="1" selected="0">
            <x v="0"/>
          </reference>
        </references>
      </pivotArea>
    </chartFormat>
    <chartFormat chart="15"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EEFA15-A737-47E1-83EA-E3B92AF073D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eather Temp">
  <location ref="A3:B9" firstHeaderRow="1" firstDataRow="1" firstDataCol="1"/>
  <pivotFields count="20">
    <pivotField showAll="0"/>
    <pivotField showAll="0"/>
    <pivotField showAll="0"/>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axis="axisRow" showAll="0">
      <items count="6">
        <item x="0"/>
        <item x="3"/>
        <item x="4"/>
        <item x="1"/>
        <item x="2"/>
        <item t="default"/>
      </items>
    </pivotField>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12"/>
  </rowFields>
  <rowItems count="6">
    <i>
      <x/>
    </i>
    <i>
      <x v="1"/>
    </i>
    <i>
      <x v="2"/>
    </i>
    <i>
      <x v="3"/>
    </i>
    <i>
      <x v="4"/>
    </i>
    <i t="grand">
      <x/>
    </i>
  </rowItems>
  <colItems count="1">
    <i/>
  </colItems>
  <dataFields count="1">
    <dataField name="Sum of Total Rental_user" fld="18" baseField="0" baseItem="0" numFmtId="1"/>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2" count="1" selected="0">
            <x v="0"/>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 chart="3" format="16">
      <pivotArea type="data" outline="0" fieldPosition="0">
        <references count="2">
          <reference field="4294967294" count="1" selected="0">
            <x v="0"/>
          </reference>
          <reference field="12" count="1" selected="0">
            <x v="3"/>
          </reference>
        </references>
      </pivotArea>
    </chartFormat>
    <chartFormat chart="3"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7895E5-60A5-42CF-ABAF-A7EC912FD6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eekday">
  <location ref="A3:B11" firstHeaderRow="1" firstDataRow="1" firstDataCol="1"/>
  <pivotFields count="2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items count="5">
        <item x="2"/>
        <item x="3"/>
        <item x="1"/>
        <item x="0"/>
        <item t="default"/>
      </items>
    </pivotField>
    <pivotField showAll="0">
      <items count="3">
        <item x="0"/>
        <item x="1"/>
        <item t="default"/>
      </items>
    </pivotField>
    <pivotField axis="axisRow"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8"/>
  </rowFields>
  <rowItems count="8">
    <i>
      <x/>
    </i>
    <i>
      <x v="1"/>
    </i>
    <i>
      <x v="2"/>
    </i>
    <i>
      <x v="3"/>
    </i>
    <i>
      <x v="4"/>
    </i>
    <i>
      <x v="5"/>
    </i>
    <i>
      <x v="6"/>
    </i>
    <i t="grand">
      <x/>
    </i>
  </rowItems>
  <colItems count="1">
    <i/>
  </colItems>
  <dataFields count="1">
    <dataField name="Sum of Total Rental_user" fld="18" baseField="0" baseItem="0" numFmtId="1"/>
  </dataFields>
  <chartFormats count="16">
    <chartFormat chart="1"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3" format="12">
      <pivotArea type="data" outline="0" fieldPosition="0">
        <references count="2">
          <reference field="4294967294" count="1" selected="0">
            <x v="0"/>
          </reference>
          <reference field="8" count="1" selected="0">
            <x v="2"/>
          </reference>
        </references>
      </pivotArea>
    </chartFormat>
    <chartFormat chart="3" format="13">
      <pivotArea type="data" outline="0" fieldPosition="0">
        <references count="2">
          <reference field="4294967294" count="1" selected="0">
            <x v="0"/>
          </reference>
          <reference field="8" count="1" selected="0">
            <x v="3"/>
          </reference>
        </references>
      </pivotArea>
    </chartFormat>
    <chartFormat chart="3" format="14">
      <pivotArea type="data" outline="0" fieldPosition="0">
        <references count="2">
          <reference field="4294967294" count="1" selected="0">
            <x v="0"/>
          </reference>
          <reference field="8" count="1" selected="0">
            <x v="4"/>
          </reference>
        </references>
      </pivotArea>
    </chartFormat>
    <chartFormat chart="3" format="15">
      <pivotArea type="data" outline="0" fieldPosition="0">
        <references count="2">
          <reference field="4294967294" count="1" selected="0">
            <x v="0"/>
          </reference>
          <reference field="8" count="1" selected="0">
            <x v="5"/>
          </reference>
        </references>
      </pivotArea>
    </chartFormat>
    <chartFormat chart="3" format="16">
      <pivotArea type="data" outline="0" fieldPosition="0">
        <references count="2">
          <reference field="4294967294" count="1" selected="0">
            <x v="0"/>
          </reference>
          <reference field="8" count="1" selected="0">
            <x v="6"/>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1" format="5">
      <pivotArea type="data" outline="0" fieldPosition="0">
        <references count="2">
          <reference field="4294967294" count="1" selected="0">
            <x v="0"/>
          </reference>
          <reference field="8" count="1" selected="0">
            <x v="4"/>
          </reference>
        </references>
      </pivotArea>
    </chartFormat>
    <chartFormat chart="1" format="6">
      <pivotArea type="data" outline="0" fieldPosition="0">
        <references count="2">
          <reference field="4294967294" count="1" selected="0">
            <x v="0"/>
          </reference>
          <reference field="8" count="1" selected="0">
            <x v="5"/>
          </reference>
        </references>
      </pivotArea>
    </chartFormat>
    <chartFormat chart="1" format="7">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4739482-6B23-419D-817F-0AF15B50154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ly">
  <location ref="A3:B4" firstHeaderRow="1" firstDataRow="1" firstDataCol="1"/>
  <pivotFields count="2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2">
        <item x="0"/>
        <item t="default"/>
      </items>
    </pivotField>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2"/>
  </rowFields>
  <rowItems count="1">
    <i>
      <x/>
    </i>
  </rowItems>
  <colItems count="1">
    <i/>
  </colItems>
  <dataFields count="1">
    <dataField name="Total user" fld="18" baseField="2" baseItem="0" numFmtId="1"/>
  </dataFields>
  <formats count="27">
    <format dxfId="4065">
      <pivotArea type="all" dataOnly="0" outline="0" fieldPosition="0"/>
    </format>
    <format dxfId="4064">
      <pivotArea outline="0" collapsedLevelsAreSubtotals="1" fieldPosition="0"/>
    </format>
    <format dxfId="4063">
      <pivotArea field="2" type="button" dataOnly="0" labelOnly="1" outline="0" axis="axisRow" fieldPosition="0"/>
    </format>
    <format dxfId="4062">
      <pivotArea dataOnly="0" labelOnly="1" outline="0" axis="axisValues" fieldPosition="0"/>
    </format>
    <format dxfId="4061">
      <pivotArea type="all" dataOnly="0" outline="0" fieldPosition="0"/>
    </format>
    <format dxfId="4060">
      <pivotArea outline="0" collapsedLevelsAreSubtotals="1" fieldPosition="0"/>
    </format>
    <format dxfId="4059">
      <pivotArea field="2" type="button" dataOnly="0" labelOnly="1" outline="0" axis="axisRow" fieldPosition="0"/>
    </format>
    <format dxfId="4058">
      <pivotArea dataOnly="0" labelOnly="1" outline="0" axis="axisValues" fieldPosition="0"/>
    </format>
    <format dxfId="4057">
      <pivotArea type="all" dataOnly="0" outline="0" fieldPosition="0"/>
    </format>
    <format dxfId="4056">
      <pivotArea outline="0" collapsedLevelsAreSubtotals="1" fieldPosition="0"/>
    </format>
    <format dxfId="4055">
      <pivotArea field="2" type="button" dataOnly="0" labelOnly="1" outline="0" axis="axisRow" fieldPosition="0"/>
    </format>
    <format dxfId="4054">
      <pivotArea dataOnly="0" labelOnly="1" outline="0" axis="axisValues" fieldPosition="0"/>
    </format>
    <format dxfId="4053">
      <pivotArea type="all" dataOnly="0" outline="0" fieldPosition="0"/>
    </format>
    <format dxfId="4052">
      <pivotArea outline="0" collapsedLevelsAreSubtotals="1" fieldPosition="0"/>
    </format>
    <format dxfId="4051">
      <pivotArea field="2" type="button" dataOnly="0" labelOnly="1" outline="0" axis="axisRow" fieldPosition="0"/>
    </format>
    <format dxfId="4050">
      <pivotArea dataOnly="0" labelOnly="1" outline="0" axis="axisValues" fieldPosition="0"/>
    </format>
    <format dxfId="4049">
      <pivotArea type="all" dataOnly="0" outline="0" fieldPosition="0"/>
    </format>
    <format dxfId="4048">
      <pivotArea outline="0" collapsedLevelsAreSubtotals="1" fieldPosition="0"/>
    </format>
    <format dxfId="4047">
      <pivotArea field="2" type="button" dataOnly="0" labelOnly="1" outline="0" axis="axisRow" fieldPosition="0"/>
    </format>
    <format dxfId="4046">
      <pivotArea dataOnly="0" labelOnly="1" outline="0" axis="axisValues" fieldPosition="0"/>
    </format>
    <format dxfId="4045">
      <pivotArea dataOnly="0" labelOnly="1" fieldPosition="0">
        <references count="1">
          <reference field="2" count="0"/>
        </references>
      </pivotArea>
    </format>
    <format dxfId="4044">
      <pivotArea outline="0" collapsedLevelsAreSubtotals="1" fieldPosition="0"/>
    </format>
    <format dxfId="4043">
      <pivotArea type="all" dataOnly="0" outline="0" fieldPosition="0"/>
    </format>
    <format dxfId="4042">
      <pivotArea outline="0" collapsedLevelsAreSubtotals="1" fieldPosition="0"/>
    </format>
    <format dxfId="4041">
      <pivotArea field="2" type="button" dataOnly="0" labelOnly="1" outline="0" axis="axisRow" fieldPosition="0"/>
    </format>
    <format dxfId="4040">
      <pivotArea dataOnly="0" labelOnly="1" fieldPosition="0">
        <references count="1">
          <reference field="2" count="0"/>
        </references>
      </pivotArea>
    </format>
    <format dxfId="40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D48D82-755A-420A-BB7A-E3EB729D489B}"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ly">
  <location ref="A3:B4" firstHeaderRow="1" firstDataRow="1" firstDataCol="1"/>
  <pivotFields count="2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2">
        <item x="0"/>
        <item t="default"/>
      </items>
    </pivotField>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2"/>
  </rowFields>
  <rowItems count="1">
    <i>
      <x/>
    </i>
  </rowItems>
  <colItems count="1">
    <i/>
  </colItems>
  <dataFields count="1">
    <dataField name="AvgTotal_user" fld="18" subtotal="average" baseField="2" baseItem="0" numFmtId="1"/>
  </dataFields>
  <formats count="5">
    <format dxfId="4038">
      <pivotArea type="all" dataOnly="0" outline="0" fieldPosition="0"/>
    </format>
    <format dxfId="4037">
      <pivotArea outline="0" collapsedLevelsAreSubtotals="1" fieldPosition="0"/>
    </format>
    <format dxfId="4036">
      <pivotArea field="2" type="button" dataOnly="0" labelOnly="1" outline="0" axis="axisRow" fieldPosition="0"/>
    </format>
    <format dxfId="4035">
      <pivotArea dataOnly="0" labelOnly="1" fieldPosition="0">
        <references count="1">
          <reference field="2" count="0"/>
        </references>
      </pivotArea>
    </format>
    <format dxfId="40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496257-11D4-4508-8B70-BBC0C3CFD564}"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ly">
  <location ref="A3:B4" firstHeaderRow="1" firstDataRow="1" firstDataCol="1"/>
  <pivotFields count="2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2">
        <item x="0"/>
        <item t="default"/>
      </items>
    </pivotField>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dataField="1" numFmtId="1" showAll="0"/>
    <pivotField numFmtId="1" showAll="0"/>
    <pivotField numFmtId="1" showAll="0"/>
    <pivotField dragToRow="0" dragToCol="0" dragToPage="0" showAll="0" defaultSubtotal="0"/>
  </pivotFields>
  <rowFields count="1">
    <field x="2"/>
  </rowFields>
  <rowItems count="1">
    <i>
      <x/>
    </i>
  </rowItems>
  <colItems count="1">
    <i/>
  </colItems>
  <dataFields count="1">
    <dataField name="Total Casual_user" fld="16" baseField="2" baseItem="0" numFmtId="1"/>
  </dataFields>
  <formats count="5">
    <format dxfId="4033">
      <pivotArea type="all" dataOnly="0" outline="0" fieldPosition="0"/>
    </format>
    <format dxfId="4032">
      <pivotArea outline="0" collapsedLevelsAreSubtotals="1" fieldPosition="0"/>
    </format>
    <format dxfId="4031">
      <pivotArea field="2" type="button" dataOnly="0" labelOnly="1" outline="0" axis="axisRow" fieldPosition="0"/>
    </format>
    <format dxfId="4030">
      <pivotArea dataOnly="0" labelOnly="1" fieldPosition="0">
        <references count="1">
          <reference field="2" count="0"/>
        </references>
      </pivotArea>
    </format>
    <format dxfId="40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62C94F7-5223-4332-8FDF-94BF8693989D}"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ly">
  <location ref="A3:B4" firstHeaderRow="1" firstDataRow="1" firstDataCol="1"/>
  <pivotFields count="20">
    <pivotField showAll="0"/>
    <pivotField showAll="0"/>
    <pivotField axis="axisRow" showAll="0">
      <items count="2">
        <item x="0"/>
        <item t="default"/>
      </items>
    </pivotField>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dataField="1" numFmtId="1" showAll="0"/>
    <pivotField numFmtId="1" showAll="0"/>
    <pivotField dragToRow="0" dragToCol="0" dragToPage="0" showAll="0" defaultSubtotal="0"/>
  </pivotFields>
  <rowFields count="1">
    <field x="2"/>
  </rowFields>
  <rowItems count="1">
    <i>
      <x/>
    </i>
  </rowItems>
  <colItems count="1">
    <i/>
  </colItems>
  <dataFields count="1">
    <dataField name="Total Regi._user" fld="17" baseField="2" baseItem="0" numFmtId="1"/>
  </dataFields>
  <formats count="5">
    <format dxfId="4028">
      <pivotArea type="all" dataOnly="0" outline="0" fieldPosition="0"/>
    </format>
    <format dxfId="4027">
      <pivotArea outline="0" collapsedLevelsAreSubtotals="1" fieldPosition="0"/>
    </format>
    <format dxfId="4026">
      <pivotArea field="2" type="button" dataOnly="0" labelOnly="1" outline="0" axis="axisRow" fieldPosition="0"/>
    </format>
    <format dxfId="4025">
      <pivotArea dataOnly="0" labelOnly="1" fieldPosition="0">
        <references count="1">
          <reference field="2" count="0"/>
        </references>
      </pivotArea>
    </format>
    <format dxfId="40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941CBDD-04C8-4B99-8590-7B5204CBEF1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20">
    <pivotField showAll="0"/>
    <pivotField showAll="0"/>
    <pivotField showAll="0"/>
    <pivotField showAll="0"/>
    <pivotField showAll="0"/>
    <pivotField showAll="0"/>
    <pivotField axis="axisRow"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6"/>
  </rowFields>
  <rowItems count="5">
    <i>
      <x/>
    </i>
    <i>
      <x v="1"/>
    </i>
    <i>
      <x v="2"/>
    </i>
    <i>
      <x v="3"/>
    </i>
    <i t="grand">
      <x/>
    </i>
  </rowItems>
  <colItems count="1">
    <i/>
  </colItems>
  <dataFields count="1">
    <dataField name="Sum of Total Rental_user" fld="18" baseField="0" baseItem="0" numFmtId="1"/>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3"/>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 chart="2" format="9">
      <pivotArea type="data" outline="0" fieldPosition="0">
        <references count="2">
          <reference field="4294967294" count="1" selected="0">
            <x v="0"/>
          </reference>
          <reference field="6"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pivotArea type="data" outline="0" fieldPosition="0">
        <references count="2">
          <reference field="4294967294" count="1" selected="0">
            <x v="0"/>
          </reference>
          <reference field="6" count="1" selected="0">
            <x v="1"/>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96351A6-5622-4D6D-AE57-96F0D36D17A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eak Rental Day">
  <location ref="A3:B6" firstHeaderRow="1" firstDataRow="1" firstDataCol="1"/>
  <pivotFields count="20">
    <pivotField showAll="0"/>
    <pivotField axis="axisRow" showAll="0" measureFilter="1">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1"/>
  </rowFields>
  <rowItems count="3">
    <i>
      <x v="18"/>
    </i>
    <i>
      <x v="19"/>
    </i>
    <i>
      <x v="24"/>
    </i>
  </rowItems>
  <colItems count="1">
    <i/>
  </colItems>
  <dataFields count="1">
    <dataField name="Total Rental user" fld="18" baseField="1" baseItem="0" numFmtId="1"/>
  </dataFields>
  <formats count="27">
    <format dxfId="4023">
      <pivotArea collapsedLevelsAreSubtotals="1" fieldPosition="0">
        <references count="1">
          <reference field="1" count="1">
            <x v="15"/>
          </reference>
        </references>
      </pivotArea>
    </format>
    <format dxfId="4022">
      <pivotArea dataOnly="0" labelOnly="1" fieldPosition="0">
        <references count="1">
          <reference field="1" count="1">
            <x v="15"/>
          </reference>
        </references>
      </pivotArea>
    </format>
    <format dxfId="4021">
      <pivotArea collapsedLevelsAreSubtotals="1" fieldPosition="0">
        <references count="1">
          <reference field="1" count="2">
            <x v="1"/>
            <x v="7"/>
          </reference>
        </references>
      </pivotArea>
    </format>
    <format dxfId="4020">
      <pivotArea dataOnly="0" labelOnly="1" fieldPosition="0">
        <references count="1">
          <reference field="1" count="2">
            <x v="1"/>
            <x v="7"/>
          </reference>
        </references>
      </pivotArea>
    </format>
    <format dxfId="4019">
      <pivotArea collapsedLevelsAreSubtotals="1" fieldPosition="0">
        <references count="1">
          <reference field="1" count="27">
            <x v="1"/>
            <x v="2"/>
            <x v="3"/>
            <x v="4"/>
            <x v="5"/>
            <x v="6"/>
            <x v="7"/>
            <x v="8"/>
            <x v="9"/>
            <x v="10"/>
            <x v="11"/>
            <x v="12"/>
            <x v="13"/>
            <x v="14"/>
            <x v="15"/>
            <x v="16"/>
            <x v="17"/>
            <x v="18"/>
            <x v="19"/>
            <x v="20"/>
            <x v="21"/>
            <x v="22"/>
            <x v="23"/>
            <x v="24"/>
            <x v="25"/>
            <x v="26"/>
            <x v="27"/>
          </reference>
        </references>
      </pivotArea>
    </format>
    <format dxfId="4018">
      <pivotArea dataOnly="0" labelOnly="1" fieldPosition="0">
        <references count="1">
          <reference field="1" count="1">
            <x v="19"/>
          </reference>
        </references>
      </pivotArea>
    </format>
    <format dxfId="4017">
      <pivotArea collapsedLevelsAreSubtotals="1" fieldPosition="0">
        <references count="1">
          <reference field="1" count="1">
            <x v="19"/>
          </reference>
        </references>
      </pivotArea>
    </format>
    <format dxfId="4016">
      <pivotArea type="all" dataOnly="0" outline="0" fieldPosition="0"/>
    </format>
    <format dxfId="4015">
      <pivotArea outline="0" collapsedLevelsAreSubtotals="1" fieldPosition="0"/>
    </format>
    <format dxfId="4014">
      <pivotArea field="1" type="button" dataOnly="0" labelOnly="1" outline="0" axis="axisRow" fieldPosition="0"/>
    </format>
    <format dxfId="4013">
      <pivotArea dataOnly="0" labelOnly="1" fieldPosition="0">
        <references count="1">
          <reference field="1" count="0"/>
        </references>
      </pivotArea>
    </format>
    <format dxfId="4012">
      <pivotArea dataOnly="0" labelOnly="1" outline="0" axis="axisValues" fieldPosition="0"/>
    </format>
    <format dxfId="4011">
      <pivotArea type="all" dataOnly="0" outline="0" fieldPosition="0"/>
    </format>
    <format dxfId="4010">
      <pivotArea outline="0" collapsedLevelsAreSubtotals="1" fieldPosition="0"/>
    </format>
    <format dxfId="4009">
      <pivotArea field="1" type="button" dataOnly="0" labelOnly="1" outline="0" axis="axisRow" fieldPosition="0"/>
    </format>
    <format dxfId="4008">
      <pivotArea dataOnly="0" labelOnly="1" fieldPosition="0">
        <references count="1">
          <reference field="1" count="0"/>
        </references>
      </pivotArea>
    </format>
    <format dxfId="4007">
      <pivotArea dataOnly="0" labelOnly="1" outline="0" axis="axisValues" fieldPosition="0"/>
    </format>
    <format dxfId="4006">
      <pivotArea field="1" type="button" dataOnly="0" labelOnly="1" outline="0" axis="axisRow" fieldPosition="0"/>
    </format>
    <format dxfId="4005">
      <pivotArea dataOnly="0" labelOnly="1" outline="0" axis="axisValues" fieldPosition="0"/>
    </format>
    <format dxfId="4004">
      <pivotArea dataOnly="0" labelOnly="1" fieldPosition="0">
        <references count="1">
          <reference field="1" count="0"/>
        </references>
      </pivotArea>
    </format>
    <format dxfId="4003">
      <pivotArea outline="0" collapsedLevelsAreSubtotals="1" fieldPosition="0"/>
    </format>
    <format dxfId="4002">
      <pivotArea outline="0" collapsedLevelsAreSubtotals="1" fieldPosition="0"/>
    </format>
    <format dxfId="4001">
      <pivotArea dataOnly="0" labelOnly="1" fieldPosition="0">
        <references count="1">
          <reference field="1" count="0"/>
        </references>
      </pivotArea>
    </format>
    <format dxfId="4000">
      <pivotArea outline="0" collapsedLevelsAreSubtotals="1" fieldPosition="0"/>
    </format>
    <format dxfId="3999">
      <pivotArea dataOnly="0" labelOnly="1" fieldPosition="0">
        <references count="1">
          <reference field="1" count="0"/>
        </references>
      </pivotArea>
    </format>
    <format dxfId="3998">
      <pivotArea outline="0" collapsedLevelsAreSubtotals="1" fieldPosition="0"/>
    </format>
    <format dxfId="3997">
      <pivotArea dataOnly="0" labelOnly="1" fieldPosition="0">
        <references count="1">
          <reference field="1" count="0"/>
        </references>
      </pivotArea>
    </format>
  </formats>
  <pivotTableStyleInfo name="PivotStyleLight16" showRowHeaders="1" showColHeaders="1" showRowStripes="0" showColStripes="0" showLastColumn="1"/>
  <filters count="1">
    <filter fld="1"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B6B539C-2008-4FD6-916C-5237EE9F1B8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Lowest Rental Day">
  <location ref="A3:B6" firstHeaderRow="1" firstDataRow="1" firstDataCol="1"/>
  <pivotFields count="20">
    <pivotField showAll="0"/>
    <pivotField axis="axisRow" showAll="0" measureFilter="1">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1"/>
  </rowFields>
  <rowItems count="3">
    <i>
      <x v="25"/>
    </i>
    <i>
      <x v="26"/>
    </i>
    <i>
      <x v="27"/>
    </i>
  </rowItems>
  <colItems count="1">
    <i/>
  </colItems>
  <dataFields count="1">
    <dataField name="Total Rental user" fld="18" baseField="1" baseItem="25" numFmtId="1"/>
  </dataFields>
  <formats count="29">
    <format dxfId="3996">
      <pivotArea dataOnly="0" labelOnly="1" fieldPosition="0">
        <references count="1">
          <reference field="1" count="0"/>
        </references>
      </pivotArea>
    </format>
    <format dxfId="3995">
      <pivotArea outline="0" collapsedLevelsAreSubtotals="1" fieldPosition="0"/>
    </format>
    <format dxfId="3994">
      <pivotArea type="all" dataOnly="0" outline="0" fieldPosition="0"/>
    </format>
    <format dxfId="3993">
      <pivotArea outline="0" collapsedLevelsAreSubtotals="1" fieldPosition="0"/>
    </format>
    <format dxfId="3992">
      <pivotArea field="1" type="button" dataOnly="0" labelOnly="1" outline="0" axis="axisRow" fieldPosition="0"/>
    </format>
    <format dxfId="3991">
      <pivotArea dataOnly="0" labelOnly="1" fieldPosition="0">
        <references count="1">
          <reference field="1" count="0"/>
        </references>
      </pivotArea>
    </format>
    <format dxfId="3990">
      <pivotArea dataOnly="0" labelOnly="1" outline="0" axis="axisValues" fieldPosition="0"/>
    </format>
    <format dxfId="3989">
      <pivotArea type="all" dataOnly="0" outline="0" fieldPosition="0"/>
    </format>
    <format dxfId="3988">
      <pivotArea outline="0" collapsedLevelsAreSubtotals="1" fieldPosition="0"/>
    </format>
    <format dxfId="3987">
      <pivotArea field="1" type="button" dataOnly="0" labelOnly="1" outline="0" axis="axisRow" fieldPosition="0"/>
    </format>
    <format dxfId="3986">
      <pivotArea dataOnly="0" labelOnly="1" fieldPosition="0">
        <references count="1">
          <reference field="1" count="0"/>
        </references>
      </pivotArea>
    </format>
    <format dxfId="3985">
      <pivotArea dataOnly="0" labelOnly="1" outline="0" axis="axisValues" fieldPosition="0"/>
    </format>
    <format dxfId="3984">
      <pivotArea type="all" dataOnly="0" outline="0" fieldPosition="0"/>
    </format>
    <format dxfId="3983">
      <pivotArea outline="0" collapsedLevelsAreSubtotals="1" fieldPosition="0"/>
    </format>
    <format dxfId="3982">
      <pivotArea field="1" type="button" dataOnly="0" labelOnly="1" outline="0" axis="axisRow" fieldPosition="0"/>
    </format>
    <format dxfId="3981">
      <pivotArea dataOnly="0" labelOnly="1" fieldPosition="0">
        <references count="1">
          <reference field="1" count="0"/>
        </references>
      </pivotArea>
    </format>
    <format dxfId="3980">
      <pivotArea dataOnly="0" labelOnly="1" outline="0" axis="axisValues" fieldPosition="0"/>
    </format>
    <format dxfId="3979">
      <pivotArea type="all" dataOnly="0" outline="0" fieldPosition="0"/>
    </format>
    <format dxfId="3978">
      <pivotArea outline="0" collapsedLevelsAreSubtotals="1" fieldPosition="0"/>
    </format>
    <format dxfId="3977">
      <pivotArea field="1" type="button" dataOnly="0" labelOnly="1" outline="0" axis="axisRow" fieldPosition="0"/>
    </format>
    <format dxfId="3976">
      <pivotArea dataOnly="0" labelOnly="1" fieldPosition="0">
        <references count="1">
          <reference field="1" count="0"/>
        </references>
      </pivotArea>
    </format>
    <format dxfId="3975">
      <pivotArea dataOnly="0" labelOnly="1" outline="0" axis="axisValues" fieldPosition="0"/>
    </format>
    <format dxfId="3974">
      <pivotArea type="all" dataOnly="0" outline="0" fieldPosition="0"/>
    </format>
    <format dxfId="3973">
      <pivotArea outline="0" collapsedLevelsAreSubtotals="1" fieldPosition="0"/>
    </format>
    <format dxfId="3972">
      <pivotArea field="1" type="button" dataOnly="0" labelOnly="1" outline="0" axis="axisRow" fieldPosition="0"/>
    </format>
    <format dxfId="3971">
      <pivotArea dataOnly="0" labelOnly="1" fieldPosition="0">
        <references count="1">
          <reference field="1" count="0"/>
        </references>
      </pivotArea>
    </format>
    <format dxfId="3970">
      <pivotArea dataOnly="0" labelOnly="1" outline="0" axis="axisValues" fieldPosition="0"/>
    </format>
    <format dxfId="3969">
      <pivotArea field="1" type="button" dataOnly="0" labelOnly="1" outline="0" axis="axisRow" fieldPosition="0"/>
    </format>
    <format dxfId="3968">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C824A6A-ABA9-4685-B269-CBF37B8523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0">
    <pivotField showAll="0"/>
    <pivotField showAll="0"/>
    <pivotField showAll="0"/>
    <pivotField showAll="0"/>
    <pivotField showAll="0"/>
    <pivotField showAll="0"/>
    <pivotField showAll="0"/>
    <pivotField showAll="0"/>
    <pivotField showAll="0"/>
    <pivotField showAll="0"/>
    <pivotField axis="axisRow" showAll="0">
      <items count="5">
        <item x="0"/>
        <item x="3"/>
        <item x="2"/>
        <item x="1"/>
        <item t="default"/>
      </items>
    </pivotField>
    <pivotField showAll="0"/>
    <pivotField showAll="0"/>
    <pivotField numFmtId="2" showAll="0"/>
    <pivotField numFmtId="9" showAll="0"/>
    <pivotField numFmtId="2" showAll="0"/>
    <pivotField numFmtId="1" showAll="0"/>
    <pivotField numFmtId="1" showAll="0"/>
    <pivotField dataField="1" numFmtId="1" showAll="0"/>
    <pivotField dragToRow="0" dragToCol="0" dragToPage="0" showAll="0" defaultSubtotal="0"/>
  </pivotFields>
  <rowFields count="1">
    <field x="10"/>
  </rowFields>
  <rowItems count="5">
    <i>
      <x/>
    </i>
    <i>
      <x v="1"/>
    </i>
    <i>
      <x v="2"/>
    </i>
    <i>
      <x v="3"/>
    </i>
    <i t="grand">
      <x/>
    </i>
  </rowItems>
  <colItems count="1">
    <i/>
  </colItems>
  <dataFields count="1">
    <dataField name="Sum of Total Rental_user" fld="18" baseField="0" baseItem="0" numFmtId="1"/>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 chart="4" format="1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73008F91-A725-4AFF-BF02-711FCBAD8ED8}" autoFormatId="16" applyNumberFormats="0" applyBorderFormats="0" applyFontFormats="0" applyPatternFormats="0" applyAlignmentFormats="0" applyWidthHeightFormats="0">
  <queryTableRefresh nextId="26">
    <queryTableFields count="19">
      <queryTableField id="1" name="Instant" tableColumnId="1"/>
      <queryTableField id="24" dataBound="0" tableColumnId="22"/>
      <queryTableField id="3" name="Year" tableColumnId="3"/>
      <queryTableField id="4" name="Month" tableColumnId="4"/>
      <queryTableField id="5" name="Season" tableColumnId="5"/>
      <queryTableField id="6" name="Hour" tableColumnId="6"/>
      <queryTableField id="25" dataBound="0" tableColumnId="23"/>
      <queryTableField id="7" name="Holiday" tableColumnId="7"/>
      <queryTableField id="8" name="Weekday" tableColumnId="8"/>
      <queryTableField id="18" dataBound="0" tableColumnId="18"/>
      <queryTableField id="9" name="Weather Situation" tableColumnId="9"/>
      <queryTableField id="10" name="Temp" tableColumnId="10"/>
      <queryTableField id="19" name="Temp_2" tableColumnId="19"/>
      <queryTableField id="11" name="Atemp" tableColumnId="11"/>
      <queryTableField id="12" name="Humidity" tableColumnId="12"/>
      <queryTableField id="13" name="Windspeed" tableColumnId="13"/>
      <queryTableField id="14" name="Casual_user" tableColumnId="14"/>
      <queryTableField id="15" name="Registered_user" tableColumnId="15"/>
      <queryTableField id="16" name="Total Rental_user" tableColumnId="16"/>
    </queryTableFields>
    <queryTableDeletedFields count="1">
      <deletedField name="Dteday"/>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7BC789F-E22E-4B53-BADD-279A419D918F}"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FEA37F5D-94E0-4A38-9E7C-92DD6003BD61}"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1F059B97-3B62-4B53-A5F5-92340DB50826}" sourceName="Time Slot">
  <pivotTables>
    <pivotTable tabId="21" name="PivotTable11"/>
    <pivotTable tabId="25" name="PivotTable10"/>
    <pivotTable tabId="25" name="PivotTable7"/>
    <pivotTable tabId="25" name="PivotTable8"/>
    <pivotTable tabId="25" name="PivotTable9"/>
    <pivotTable tabId="17" name="PivotTable7"/>
    <pivotTable tabId="18" name="PivotTable8"/>
    <pivotTable tabId="31" name="PivotTable2"/>
    <pivotTable tabId="33" name="PivotTable4"/>
    <pivotTable tabId="34" name="PivotTable5"/>
    <pivotTable tabId="35" name="PivotTable6"/>
    <pivotTable tabId="37" name="PivotTable1"/>
    <pivotTable tabId="38" name="PivotTable3"/>
    <pivotTable tabId="23" name="PivotTable13"/>
    <pivotTable tabId="36" name="PivotTable11"/>
    <pivotTable tabId="29" name="PivotTable1"/>
    <pivotTable tabId="22" name="PivotTable12"/>
    <pivotTable tabId="25" name="PivotTable6"/>
    <pivotTable tabId="25" name="PivotTable11"/>
  </pivotTables>
  <data>
    <tabular pivotCacheId="2046179352">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1DB3CAA8-6ACF-44B1-9168-5D9557AE6356}" sourceName="Holiday">
  <pivotTables>
    <pivotTable tabId="21" name="PivotTable11"/>
    <pivotTable tabId="25" name="PivotTable10"/>
    <pivotTable tabId="25" name="PivotTable7"/>
    <pivotTable tabId="25" name="PivotTable8"/>
    <pivotTable tabId="25" name="PivotTable9"/>
    <pivotTable tabId="17" name="PivotTable7"/>
    <pivotTable tabId="18" name="PivotTable8"/>
    <pivotTable tabId="31" name="PivotTable2"/>
    <pivotTable tabId="33" name="PivotTable4"/>
    <pivotTable tabId="34" name="PivotTable5"/>
    <pivotTable tabId="35" name="PivotTable6"/>
    <pivotTable tabId="37" name="PivotTable1"/>
    <pivotTable tabId="38" name="PivotTable3"/>
    <pivotTable tabId="23" name="PivotTable13"/>
    <pivotTable tabId="36" name="PivotTable11"/>
    <pivotTable tabId="29" name="PivotTable1"/>
    <pivotTable tabId="22" name="PivotTable12"/>
    <pivotTable tabId="25" name="PivotTable6"/>
    <pivotTable tabId="25" name="PivotTable11"/>
  </pivotTables>
  <data>
    <tabular pivotCacheId="204617935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9F07234C-E330-47CF-858E-7CD7AE3AFA46}" sourceName="Weekday">
  <pivotTables>
    <pivotTable tabId="21" name="PivotTable11"/>
    <pivotTable tabId="25" name="PivotTable10"/>
    <pivotTable tabId="25" name="PivotTable7"/>
    <pivotTable tabId="25" name="PivotTable8"/>
    <pivotTable tabId="25" name="PivotTable9"/>
    <pivotTable tabId="17" name="PivotTable7"/>
    <pivotTable tabId="18" name="PivotTable8"/>
    <pivotTable tabId="31" name="PivotTable2"/>
    <pivotTable tabId="33" name="PivotTable4"/>
    <pivotTable tabId="34" name="PivotTable5"/>
    <pivotTable tabId="35" name="PivotTable6"/>
    <pivotTable tabId="37" name="PivotTable1"/>
    <pivotTable tabId="38" name="PivotTable3"/>
    <pivotTable tabId="23" name="PivotTable13"/>
    <pivotTable tabId="36" name="PivotTable11"/>
    <pivotTable tabId="29" name="PivotTable1"/>
    <pivotTable tabId="22" name="PivotTable12"/>
    <pivotTable tabId="25" name="PivotTable6"/>
    <pivotTable tabId="25" name="PivotTable11"/>
  </pivotTables>
  <data>
    <tabular pivotCacheId="2046179352">
      <items count="7">
        <i x="1" s="1"/>
        <i x="2" s="1"/>
        <i x="3" s="1"/>
        <i x="4" s="1"/>
        <i x="5"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vs_Weekday" xr10:uid="{CBF48E37-303D-4757-B818-D11675D542E1}" sourceName="Weekend vs Weekday">
  <pivotTables>
    <pivotTable tabId="21" name="PivotTable11"/>
    <pivotTable tabId="25" name="PivotTable10"/>
    <pivotTable tabId="25" name="PivotTable7"/>
    <pivotTable tabId="25" name="PivotTable8"/>
    <pivotTable tabId="25" name="PivotTable9"/>
    <pivotTable tabId="17" name="PivotTable7"/>
    <pivotTable tabId="18" name="PivotTable8"/>
    <pivotTable tabId="31" name="PivotTable2"/>
    <pivotTable tabId="33" name="PivotTable4"/>
    <pivotTable tabId="34" name="PivotTable5"/>
    <pivotTable tabId="35" name="PivotTable6"/>
    <pivotTable tabId="37" name="PivotTable1"/>
    <pivotTable tabId="38" name="PivotTable3"/>
    <pivotTable tabId="23" name="PivotTable13"/>
    <pivotTable tabId="36" name="PivotTable11"/>
    <pivotTable tabId="29" name="PivotTable1"/>
    <pivotTable tabId="22" name="PivotTable12"/>
    <pivotTable tabId="25" name="PivotTable6"/>
    <pivotTable tabId="25" name="PivotTable11"/>
  </pivotTables>
  <data>
    <tabular pivotCacheId="2046179352">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8611412F-29FA-4497-BCA1-8ED0F7ACE7CD}" sourceName="Weather Situation">
  <pivotTables>
    <pivotTable tabId="40" name="PivotTable5"/>
    <pivotTable tabId="21" name="PivotTable11"/>
    <pivotTable tabId="25" name="PivotTable10"/>
    <pivotTable tabId="25" name="PivotTable7"/>
    <pivotTable tabId="25" name="PivotTable8"/>
    <pivotTable tabId="25" name="PivotTable9"/>
    <pivotTable tabId="17" name="PivotTable7"/>
    <pivotTable tabId="18" name="PivotTable8"/>
    <pivotTable tabId="31" name="PivotTable2"/>
    <pivotTable tabId="33" name="PivotTable4"/>
    <pivotTable tabId="34" name="PivotTable5"/>
    <pivotTable tabId="35" name="PivotTable6"/>
    <pivotTable tabId="37" name="PivotTable1"/>
    <pivotTable tabId="38" name="PivotTable3"/>
    <pivotTable tabId="23" name="PivotTable13"/>
    <pivotTable tabId="36" name="PivotTable11"/>
    <pivotTable tabId="29" name="PivotTable1"/>
    <pivotTable tabId="22" name="PivotTable12"/>
    <pivotTable tabId="25" name="PivotTable6"/>
    <pivotTable tabId="25" name="PivotTable11"/>
  </pivotTables>
  <data>
    <tabular pivotCacheId="2046179352">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Slot" xr10:uid="{DD1CB906-9B75-4E65-A1D0-AC8E67F5654D}" cache="Slicer_Time_Slot" caption="Time Slot" rowHeight="234950"/>
  <slicer name="Holiday" xr10:uid="{02F6B2FD-1BD6-4CD4-B0D4-E896AC100185}" cache="Slicer_Holiday" caption="Holiday" rowHeight="234950"/>
  <slicer name="Weekday" xr10:uid="{2B1C8D1F-72E9-4BE3-A554-680F0E02BBC1}" cache="Slicer_Weekday" caption="Weekday" startItem="1" rowHeight="234950"/>
  <slicer name="Weekend vs Weekday" xr10:uid="{0A324555-BDEF-4378-9C81-084532A9CD7E}" cache="Slicer_Weekend_vs_Weekday" caption="Weekend vs Weekday" rowHeight="234950"/>
  <slicer name="Weather Situation" xr10:uid="{03356451-C04D-4E65-A54C-D258717F467D}" cache="Slicer_Weather_Situation" caption="Weather Situation"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3D02DE-C9CC-4A8A-8D7B-9EFFA6759A46}" name="Table4" displayName="Table4" ref="A3:S613" totalsRowShown="0">
  <autoFilter ref="A3:S613" xr:uid="{EF3D02DE-C9CC-4A8A-8D7B-9EFFA6759A46}"/>
  <tableColumns count="19">
    <tableColumn id="1" xr3:uid="{45DEA835-15B4-459C-B2CA-9420755FBC19}" name="Instant"/>
    <tableColumn id="2" xr3:uid="{83738028-B0CC-4E16-82AF-76C184A9B404}" name="Day"/>
    <tableColumn id="3" xr3:uid="{7AA0DD1D-BD3D-4C77-96A5-2C6E96950917}" name="Month"/>
    <tableColumn id="4" xr3:uid="{F2F9DA4F-60FE-4CED-A950-1216E623DD8E}" name="Year"/>
    <tableColumn id="5" xr3:uid="{C752B91E-D8E0-426A-834D-7AECDC38E1B8}" name="Season"/>
    <tableColumn id="6" xr3:uid="{82BF096E-F8B4-4E89-A96F-52420C727220}" name="Hour"/>
    <tableColumn id="7" xr3:uid="{22781199-1AAA-4D18-BEDA-B1623890D126}" name="Time Slot"/>
    <tableColumn id="8" xr3:uid="{B8E125F7-7A4F-4ACD-BD42-41A4BD53F6A5}" name="Holiday"/>
    <tableColumn id="9" xr3:uid="{E73DB766-A22D-48AB-8608-B59625527DF7}" name="Weekday"/>
    <tableColumn id="10" xr3:uid="{C107DB45-C584-4A90-92F9-F0E86CDCE8C0}" name="Weekend vs Weekday"/>
    <tableColumn id="11" xr3:uid="{814578D5-4A41-4639-B870-CBF767161709}" name="Weather Situation"/>
    <tableColumn id="12" xr3:uid="{A1A9411F-DEC2-497B-8672-335B6204CD07}" name="Temp"/>
    <tableColumn id="13" xr3:uid="{D480C712-9AFD-4E9B-B4A3-E391A3E70840}" name="Temp_2"/>
    <tableColumn id="14" xr3:uid="{CD19CB3F-4E1C-4C40-BE80-15B37F949AB9}" name="Atemp"/>
    <tableColumn id="15" xr3:uid="{529ACBE3-37F4-495A-A7F2-600983BA591C}" name="Humidity"/>
    <tableColumn id="16" xr3:uid="{9FD25461-8693-4A73-A91E-663428952FCA}" name="Windspeed"/>
    <tableColumn id="17" xr3:uid="{8C161456-5081-4F0C-B9A5-456D2331CB13}" name="Casual_user"/>
    <tableColumn id="18" xr3:uid="{45F9D2A8-30ED-4F20-8D12-9D0BD54E034A}" name="Registered_user"/>
    <tableColumn id="19" xr3:uid="{60B38687-7527-4B1B-A1B0-971938970A21}" name="Total Rental_us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22713D-F265-410F-94F5-5F4141F49FF6}" name="Dataset_AFinal" displayName="Dataset_AFinal" ref="A1:S614" tableType="queryTable" totalsRowShown="0" headerRowDxfId="4350" dataDxfId="4348" headerRowBorderDxfId="4349" tableBorderDxfId="4347" totalsRowBorderDxfId="4346">
  <tableColumns count="19">
    <tableColumn id="1" xr3:uid="{A4B648FD-8F00-4224-9134-2802C9EA0AF0}" uniqueName="1" name="Instant" queryTableFieldId="1" dataDxfId="4345"/>
    <tableColumn id="22" xr3:uid="{D3FDD571-E94E-4F61-BED7-4BC84C655B26}" uniqueName="22" name="Day" queryTableFieldId="24" dataDxfId="4344">
      <calculatedColumnFormula>LEFT(#REF!,2)</calculatedColumnFormula>
    </tableColumn>
    <tableColumn id="3" xr3:uid="{664EB85A-EC6F-463D-A592-66B308830667}" uniqueName="3" name="Month" queryTableFieldId="3" dataDxfId="4343"/>
    <tableColumn id="4" xr3:uid="{F8422969-47B6-4F3C-9B21-31135472788A}" uniqueName="4" name="Year" queryTableFieldId="4" dataDxfId="4342"/>
    <tableColumn id="5" xr3:uid="{817B0C42-9F4A-4C46-8EFF-E41AF3CA1388}" uniqueName="5" name="Season" queryTableFieldId="5" dataDxfId="4341"/>
    <tableColumn id="6" xr3:uid="{CFEAE249-F3C2-4B8D-BC72-89A0263F2E8B}" uniqueName="6" name="Hour" queryTableFieldId="6" dataDxfId="4340"/>
    <tableColumn id="23" xr3:uid="{7A8145B5-9262-4713-8DFB-74EF1C050312}" uniqueName="23" name="Time Slot" queryTableFieldId="25" dataDxfId="4339">
      <calculatedColumnFormula>IF(F2&lt;6,"Night",IF(F2&lt;12,"Morning",IF(F2&lt;18,"Afternoon","Evening")))</calculatedColumnFormula>
    </tableColumn>
    <tableColumn id="7" xr3:uid="{F1FC6D1E-9D30-4FB4-8585-7F2F78FFFD36}" uniqueName="7" name="Holiday" queryTableFieldId="7" dataDxfId="4338"/>
    <tableColumn id="8" xr3:uid="{4B264A9A-BFDC-41AA-9885-1FD64C79CE15}" uniqueName="8" name="Weekday" queryTableFieldId="8" dataDxfId="4337"/>
    <tableColumn id="18" xr3:uid="{C10F10AE-45F6-4BA4-8218-05214D5B6344}" uniqueName="18" name="Weekend vs Weekday" queryTableFieldId="18" dataDxfId="4336">
      <calculatedColumnFormula>IF(OR(Dataset_AFinal[[#This Row],[Weekday]]="Saturday",Dataset_AFinal[[#This Row],[Weekday]]="Sunday"),"Weekend", "Weekday")</calculatedColumnFormula>
    </tableColumn>
    <tableColumn id="9" xr3:uid="{972CB61B-FD7A-44A4-9ADA-B66D7BF83FBA}" uniqueName="9" name="Weather Situation" queryTableFieldId="9" dataDxfId="4335"/>
    <tableColumn id="10" xr3:uid="{33527397-6501-4F8C-8E6E-8446C52C30FC}" uniqueName="10" name="Temp" queryTableFieldId="10" dataDxfId="4334"/>
    <tableColumn id="19" xr3:uid="{358DB93F-6149-4F15-9A58-06417623E6D9}" uniqueName="19" name="Temp_2" queryTableFieldId="19" dataDxfId="4333"/>
    <tableColumn id="11" xr3:uid="{472A6396-C409-49EF-892E-4CFF74CC9F5A}" uniqueName="11" name="Atemp" queryTableFieldId="11" dataDxfId="4332"/>
    <tableColumn id="12" xr3:uid="{3AFF20D4-8DF3-4471-BE2B-17FF6F7DE8E1}" uniqueName="12" name="Humidity" queryTableFieldId="12" dataDxfId="4331"/>
    <tableColumn id="13" xr3:uid="{FC10EA7B-223A-45D6-8E04-59C92E811C93}" uniqueName="13" name="Windspeed" queryTableFieldId="13" dataDxfId="4330"/>
    <tableColumn id="14" xr3:uid="{C1905EB6-163D-4358-835D-4AC68E6E197E}" uniqueName="14" name="Casual_user" queryTableFieldId="14" dataDxfId="4329"/>
    <tableColumn id="15" xr3:uid="{F2A4FCE0-EC80-4D6E-8118-0CDF0C54A2D3}" uniqueName="15" name="Registered_user" queryTableFieldId="15" dataDxfId="4328"/>
    <tableColumn id="16" xr3:uid="{845BC0C0-8B08-426F-B6D9-D0A9F824B295}" uniqueName="16" name="Total Rental_user" queryTableFieldId="16" dataDxfId="43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4E9289-46BE-4669-BA02-079963378433}" name="dataset_2_xlsx" displayName="dataset_2_xlsx" ref="A1:G611" tableType="queryTable" totalsRowShown="0">
  <autoFilter ref="A1:G611" xr:uid="{5A4E9289-46BE-4669-BA02-079963378433}"/>
  <tableColumns count="7">
    <tableColumn id="1" xr3:uid="{791FD94D-ADB6-4DE4-B924-4C386CCA2BAF}" uniqueName="1" name="instant" queryTableFieldId="1"/>
    <tableColumn id="2" xr3:uid="{42B06D1A-3A30-4570-B9B9-9AA58E370B20}" uniqueName="2" name="atemp" queryTableFieldId="2"/>
    <tableColumn id="3" xr3:uid="{D7804399-D1D7-4948-92FD-200CDE465F41}" uniqueName="3" name="hum" queryTableFieldId="3"/>
    <tableColumn id="4" xr3:uid="{7DC573FE-4ACC-47FF-BBB0-06C22A8474F1}" uniqueName="4" name="windspeed" queryTableFieldId="4"/>
    <tableColumn id="5" xr3:uid="{AAFD0DB3-15CB-4EB3-938D-829887CDF275}" uniqueName="5" name="casual" queryTableFieldId="5"/>
    <tableColumn id="6" xr3:uid="{6530A4BF-E339-40E4-8712-C58DC675826B}" uniqueName="6" name="registered" queryTableFieldId="6"/>
    <tableColumn id="7" xr3:uid="{60283847-9EAD-42AC-830C-B77CF9514819}" uniqueName="7" name="cnt" queryTableField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55BAE6-FF0E-4FE3-A45A-327D826ED6C1}" name="dataset_1_xlsx" displayName="dataset_1_xlsx" ref="A1:J611" tableType="queryTable" totalsRowShown="0">
  <autoFilter ref="A1:J611" xr:uid="{EC55BAE6-FF0E-4FE3-A45A-327D826ED6C1}"/>
  <tableColumns count="10">
    <tableColumn id="1" xr3:uid="{ED5EE008-3FD4-47B5-8D42-AACA67FBECAB}" uniqueName="1" name="instant" queryTableFieldId="1"/>
    <tableColumn id="2" xr3:uid="{798D80EA-758F-47B9-A083-6934AAE18334}" uniqueName="2" name="dteday" queryTableFieldId="2" dataDxfId="3967"/>
    <tableColumn id="3" xr3:uid="{EFAE0963-CEC2-4BBE-BD6C-9C9302297F3E}" uniqueName="3" name="season" queryTableFieldId="3"/>
    <tableColumn id="4" xr3:uid="{3ABC56AC-6164-4EB2-B175-B3F62E83B4AD}" uniqueName="4" name="yr" queryTableFieldId="4"/>
    <tableColumn id="5" xr3:uid="{9AAE45CA-1ACB-471F-82CF-37232EF4532D}" uniqueName="5" name="mnth" queryTableFieldId="5"/>
    <tableColumn id="6" xr3:uid="{F2476416-4688-4363-8798-DDB12BE75106}" uniqueName="6" name="hr" queryTableFieldId="6"/>
    <tableColumn id="7" xr3:uid="{5C6C6D3A-4FA8-4DC9-B601-53F7F89B9951}" uniqueName="7" name="holiday" queryTableFieldId="7"/>
    <tableColumn id="8" xr3:uid="{4A13E4F7-B6AB-4894-987A-B23E80AEBE35}" uniqueName="8" name="weekday" queryTableFieldId="8"/>
    <tableColumn id="9" xr3:uid="{57413B69-CF34-405F-B3BE-FAA835AFCA57}" uniqueName="9" name="weathersit" queryTableFieldId="9"/>
    <tableColumn id="10" xr3:uid="{0EE7C263-3853-4C02-8FDC-7662AB5864B3}" uniqueName="10" name="temp"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47F8-06A5-4C5D-8EF5-A93FF6C06486}">
  <dimension ref="A1:S613"/>
  <sheetViews>
    <sheetView topLeftCell="D1" workbookViewId="0">
      <selection activeCell="S1" sqref="S1"/>
    </sheetView>
  </sheetViews>
  <sheetFormatPr defaultRowHeight="14.4" x14ac:dyDescent="0.3"/>
  <cols>
    <col min="1" max="1" width="9.109375" bestFit="1" customWidth="1"/>
    <col min="2" max="4" width="9" bestFit="1" customWidth="1"/>
    <col min="5" max="5" width="9.21875" bestFit="1" customWidth="1"/>
    <col min="6" max="6" width="9" bestFit="1" customWidth="1"/>
    <col min="7" max="7" width="11" bestFit="1" customWidth="1"/>
    <col min="8" max="8" width="9.5546875" bestFit="1" customWidth="1"/>
    <col min="9" max="9" width="11.109375" bestFit="1" customWidth="1"/>
    <col min="10" max="10" width="22" bestFit="1" customWidth="1"/>
    <col min="11" max="11" width="18.5546875" bestFit="1" customWidth="1"/>
    <col min="12" max="12" width="9" bestFit="1" customWidth="1"/>
    <col min="13" max="13" width="12.33203125" bestFit="1" customWidth="1"/>
    <col min="14" max="14" width="9" bestFit="1" customWidth="1"/>
    <col min="15" max="15" width="10.88671875" bestFit="1" customWidth="1"/>
    <col min="16" max="16" width="12.6640625" bestFit="1" customWidth="1"/>
    <col min="17" max="17" width="13.21875" bestFit="1" customWidth="1"/>
    <col min="18" max="18" width="16.6640625" bestFit="1" customWidth="1"/>
    <col min="19" max="19" width="17.88671875" bestFit="1" customWidth="1"/>
  </cols>
  <sheetData>
    <row r="1" spans="1:19" x14ac:dyDescent="0.3">
      <c r="A1" s="34" t="s">
        <v>130</v>
      </c>
    </row>
    <row r="3" spans="1:19" x14ac:dyDescent="0.3">
      <c r="A3" t="s">
        <v>16</v>
      </c>
      <c r="B3" t="s">
        <v>77</v>
      </c>
      <c r="C3" t="s">
        <v>18</v>
      </c>
      <c r="D3" t="s">
        <v>17</v>
      </c>
      <c r="E3" t="s">
        <v>19</v>
      </c>
      <c r="F3" t="s">
        <v>20</v>
      </c>
      <c r="G3" t="s">
        <v>107</v>
      </c>
      <c r="H3" t="s">
        <v>21</v>
      </c>
      <c r="I3" t="s">
        <v>22</v>
      </c>
      <c r="J3" t="s">
        <v>36</v>
      </c>
      <c r="K3" t="s">
        <v>23</v>
      </c>
      <c r="L3" t="s">
        <v>24</v>
      </c>
      <c r="M3" t="s">
        <v>39</v>
      </c>
      <c r="N3" t="s">
        <v>25</v>
      </c>
      <c r="O3" t="s">
        <v>26</v>
      </c>
      <c r="P3" t="s">
        <v>27</v>
      </c>
      <c r="Q3" t="s">
        <v>28</v>
      </c>
      <c r="R3" t="s">
        <v>29</v>
      </c>
      <c r="S3" t="s">
        <v>30</v>
      </c>
    </row>
    <row r="4" spans="1:19" x14ac:dyDescent="0.3">
      <c r="A4">
        <v>1</v>
      </c>
      <c r="B4" t="s">
        <v>78</v>
      </c>
      <c r="C4" t="s">
        <v>78</v>
      </c>
      <c r="D4" t="s">
        <v>79</v>
      </c>
      <c r="E4" t="s">
        <v>31</v>
      </c>
      <c r="F4">
        <v>0</v>
      </c>
      <c r="G4" t="s">
        <v>116</v>
      </c>
      <c r="H4" t="b">
        <v>0</v>
      </c>
      <c r="I4" t="s">
        <v>52</v>
      </c>
      <c r="J4" t="s">
        <v>38</v>
      </c>
      <c r="K4" t="s">
        <v>32</v>
      </c>
      <c r="L4">
        <v>0.24</v>
      </c>
      <c r="M4" t="s">
        <v>40</v>
      </c>
      <c r="N4">
        <v>0.28789999999999999</v>
      </c>
      <c r="O4">
        <v>0.81</v>
      </c>
      <c r="P4">
        <v>0</v>
      </c>
      <c r="Q4">
        <v>3</v>
      </c>
      <c r="R4">
        <v>13</v>
      </c>
      <c r="S4">
        <v>16</v>
      </c>
    </row>
    <row r="5" spans="1:19" x14ac:dyDescent="0.3">
      <c r="A5">
        <v>2</v>
      </c>
      <c r="B5" t="s">
        <v>78</v>
      </c>
      <c r="C5" t="s">
        <v>78</v>
      </c>
      <c r="D5" t="s">
        <v>79</v>
      </c>
      <c r="E5" t="s">
        <v>31</v>
      </c>
      <c r="F5">
        <v>1</v>
      </c>
      <c r="G5" t="s">
        <v>116</v>
      </c>
      <c r="H5" t="b">
        <v>0</v>
      </c>
      <c r="I5" t="s">
        <v>52</v>
      </c>
      <c r="J5" t="s">
        <v>38</v>
      </c>
      <c r="K5" t="s">
        <v>32</v>
      </c>
      <c r="L5">
        <v>0.22</v>
      </c>
      <c r="M5" t="s">
        <v>40</v>
      </c>
      <c r="N5">
        <v>0.2727</v>
      </c>
      <c r="O5">
        <v>0.8</v>
      </c>
      <c r="P5">
        <v>0</v>
      </c>
      <c r="Q5">
        <v>8</v>
      </c>
      <c r="R5">
        <v>32</v>
      </c>
      <c r="S5">
        <v>40</v>
      </c>
    </row>
    <row r="6" spans="1:19" x14ac:dyDescent="0.3">
      <c r="A6">
        <v>3</v>
      </c>
      <c r="B6" t="s">
        <v>78</v>
      </c>
      <c r="C6" t="s">
        <v>78</v>
      </c>
      <c r="D6" t="s">
        <v>79</v>
      </c>
      <c r="E6" t="s">
        <v>31</v>
      </c>
      <c r="F6">
        <v>2</v>
      </c>
      <c r="G6" t="s">
        <v>116</v>
      </c>
      <c r="H6" t="b">
        <v>0</v>
      </c>
      <c r="I6" t="s">
        <v>52</v>
      </c>
      <c r="J6" t="s">
        <v>38</v>
      </c>
      <c r="K6" t="s">
        <v>32</v>
      </c>
      <c r="L6">
        <v>0.22</v>
      </c>
      <c r="M6" t="s">
        <v>40</v>
      </c>
      <c r="N6">
        <v>0.2727</v>
      </c>
      <c r="O6">
        <v>0.8</v>
      </c>
      <c r="P6">
        <v>0</v>
      </c>
      <c r="Q6">
        <v>5</v>
      </c>
      <c r="R6">
        <v>27</v>
      </c>
      <c r="S6">
        <v>32</v>
      </c>
    </row>
    <row r="7" spans="1:19" x14ac:dyDescent="0.3">
      <c r="A7">
        <v>4</v>
      </c>
      <c r="B7" t="s">
        <v>78</v>
      </c>
      <c r="C7" t="s">
        <v>78</v>
      </c>
      <c r="D7" t="s">
        <v>79</v>
      </c>
      <c r="E7" t="s">
        <v>31</v>
      </c>
      <c r="F7">
        <v>3</v>
      </c>
      <c r="G7" t="s">
        <v>116</v>
      </c>
      <c r="H7" t="b">
        <v>0</v>
      </c>
      <c r="I7" t="s">
        <v>52</v>
      </c>
      <c r="J7" t="s">
        <v>38</v>
      </c>
      <c r="K7" t="s">
        <v>32</v>
      </c>
      <c r="L7">
        <v>0.24</v>
      </c>
      <c r="M7" t="s">
        <v>40</v>
      </c>
      <c r="N7">
        <v>0.28789999999999999</v>
      </c>
      <c r="O7">
        <v>0.75</v>
      </c>
      <c r="P7">
        <v>0</v>
      </c>
      <c r="Q7">
        <v>3</v>
      </c>
      <c r="R7">
        <v>10</v>
      </c>
      <c r="S7">
        <v>13</v>
      </c>
    </row>
    <row r="8" spans="1:19" x14ac:dyDescent="0.3">
      <c r="A8">
        <v>5</v>
      </c>
      <c r="B8" t="s">
        <v>78</v>
      </c>
      <c r="C8" t="s">
        <v>78</v>
      </c>
      <c r="D8" t="s">
        <v>79</v>
      </c>
      <c r="E8" t="s">
        <v>31</v>
      </c>
      <c r="F8">
        <v>4</v>
      </c>
      <c r="G8" t="s">
        <v>116</v>
      </c>
      <c r="H8" t="b">
        <v>0</v>
      </c>
      <c r="I8" t="s">
        <v>52</v>
      </c>
      <c r="J8" t="s">
        <v>38</v>
      </c>
      <c r="K8" t="s">
        <v>32</v>
      </c>
      <c r="L8">
        <v>0.24</v>
      </c>
      <c r="M8" t="s">
        <v>40</v>
      </c>
      <c r="N8">
        <v>0.28789999999999999</v>
      </c>
      <c r="O8">
        <v>0.75</v>
      </c>
      <c r="P8">
        <v>0</v>
      </c>
      <c r="Q8">
        <v>0</v>
      </c>
      <c r="R8">
        <v>1</v>
      </c>
      <c r="S8">
        <v>1</v>
      </c>
    </row>
    <row r="9" spans="1:19" x14ac:dyDescent="0.3">
      <c r="A9">
        <v>6</v>
      </c>
      <c r="B9" t="s">
        <v>78</v>
      </c>
      <c r="C9" t="s">
        <v>78</v>
      </c>
      <c r="D9" t="s">
        <v>79</v>
      </c>
      <c r="E9" t="s">
        <v>31</v>
      </c>
      <c r="F9">
        <v>5</v>
      </c>
      <c r="G9" t="s">
        <v>116</v>
      </c>
      <c r="H9" t="b">
        <v>0</v>
      </c>
      <c r="I9" t="s">
        <v>52</v>
      </c>
      <c r="J9" t="s">
        <v>38</v>
      </c>
      <c r="K9" t="s">
        <v>33</v>
      </c>
      <c r="L9">
        <v>0.24</v>
      </c>
      <c r="M9" t="s">
        <v>40</v>
      </c>
      <c r="N9">
        <v>0.2576</v>
      </c>
      <c r="O9">
        <v>0.75</v>
      </c>
      <c r="P9">
        <v>8.9599999999999999E-2</v>
      </c>
      <c r="Q9">
        <v>0</v>
      </c>
      <c r="R9">
        <v>1</v>
      </c>
      <c r="S9">
        <v>1</v>
      </c>
    </row>
    <row r="10" spans="1:19" x14ac:dyDescent="0.3">
      <c r="A10">
        <v>7</v>
      </c>
      <c r="B10" t="s">
        <v>78</v>
      </c>
      <c r="C10" t="s">
        <v>78</v>
      </c>
      <c r="D10" t="s">
        <v>79</v>
      </c>
      <c r="E10" t="s">
        <v>31</v>
      </c>
      <c r="F10">
        <v>6</v>
      </c>
      <c r="G10" t="s">
        <v>115</v>
      </c>
      <c r="H10" t="b">
        <v>0</v>
      </c>
      <c r="I10" t="s">
        <v>52</v>
      </c>
      <c r="J10" t="s">
        <v>38</v>
      </c>
      <c r="K10" t="s">
        <v>32</v>
      </c>
      <c r="L10">
        <v>0.22</v>
      </c>
      <c r="M10" t="s">
        <v>40</v>
      </c>
      <c r="N10">
        <v>0.2727</v>
      </c>
      <c r="O10">
        <v>0.8</v>
      </c>
      <c r="P10">
        <v>0</v>
      </c>
      <c r="Q10">
        <v>2</v>
      </c>
      <c r="R10">
        <v>0</v>
      </c>
      <c r="S10">
        <v>2</v>
      </c>
    </row>
    <row r="11" spans="1:19" x14ac:dyDescent="0.3">
      <c r="A11">
        <v>8</v>
      </c>
      <c r="B11" t="s">
        <v>78</v>
      </c>
      <c r="C11" t="s">
        <v>78</v>
      </c>
      <c r="D11" t="s">
        <v>79</v>
      </c>
      <c r="E11" t="s">
        <v>31</v>
      </c>
      <c r="F11">
        <v>7</v>
      </c>
      <c r="G11" t="s">
        <v>115</v>
      </c>
      <c r="H11" t="b">
        <v>0</v>
      </c>
      <c r="I11" t="s">
        <v>52</v>
      </c>
      <c r="J11" t="s">
        <v>38</v>
      </c>
      <c r="K11" t="s">
        <v>32</v>
      </c>
      <c r="L11">
        <v>0.2</v>
      </c>
      <c r="M11" t="s">
        <v>40</v>
      </c>
      <c r="N11">
        <v>0.2576</v>
      </c>
      <c r="O11">
        <v>0.86</v>
      </c>
      <c r="P11">
        <v>0</v>
      </c>
      <c r="Q11">
        <v>1</v>
      </c>
      <c r="R11">
        <v>2</v>
      </c>
      <c r="S11">
        <v>3</v>
      </c>
    </row>
    <row r="12" spans="1:19" x14ac:dyDescent="0.3">
      <c r="A12">
        <v>9</v>
      </c>
      <c r="B12" t="s">
        <v>78</v>
      </c>
      <c r="C12" t="s">
        <v>78</v>
      </c>
      <c r="D12" t="s">
        <v>79</v>
      </c>
      <c r="E12" t="s">
        <v>31</v>
      </c>
      <c r="F12">
        <v>8</v>
      </c>
      <c r="G12" t="s">
        <v>115</v>
      </c>
      <c r="H12" t="b">
        <v>0</v>
      </c>
      <c r="I12" t="s">
        <v>52</v>
      </c>
      <c r="J12" t="s">
        <v>38</v>
      </c>
      <c r="K12" t="s">
        <v>32</v>
      </c>
      <c r="L12">
        <v>0.24</v>
      </c>
      <c r="M12" t="s">
        <v>40</v>
      </c>
      <c r="N12">
        <v>0.2</v>
      </c>
      <c r="O12">
        <v>0.75</v>
      </c>
      <c r="P12">
        <v>0</v>
      </c>
      <c r="Q12">
        <v>1</v>
      </c>
      <c r="R12">
        <v>7</v>
      </c>
      <c r="S12">
        <v>8</v>
      </c>
    </row>
    <row r="13" spans="1:19" x14ac:dyDescent="0.3">
      <c r="A13">
        <v>10</v>
      </c>
      <c r="B13" t="s">
        <v>78</v>
      </c>
      <c r="C13" t="s">
        <v>78</v>
      </c>
      <c r="D13" t="s">
        <v>79</v>
      </c>
      <c r="E13" t="s">
        <v>31</v>
      </c>
      <c r="F13">
        <v>9</v>
      </c>
      <c r="G13" t="s">
        <v>115</v>
      </c>
      <c r="H13" t="b">
        <v>0</v>
      </c>
      <c r="I13" t="s">
        <v>52</v>
      </c>
      <c r="J13" t="s">
        <v>38</v>
      </c>
      <c r="K13" t="s">
        <v>32</v>
      </c>
      <c r="L13">
        <v>0.32</v>
      </c>
      <c r="M13" t="s">
        <v>41</v>
      </c>
      <c r="N13">
        <v>0.34849999999999998</v>
      </c>
      <c r="O13">
        <v>0.76</v>
      </c>
      <c r="P13">
        <v>0</v>
      </c>
      <c r="Q13">
        <v>8</v>
      </c>
      <c r="R13">
        <v>6</v>
      </c>
      <c r="S13">
        <v>14</v>
      </c>
    </row>
    <row r="14" spans="1:19" x14ac:dyDescent="0.3">
      <c r="A14">
        <v>11</v>
      </c>
      <c r="B14" t="s">
        <v>78</v>
      </c>
      <c r="C14" t="s">
        <v>78</v>
      </c>
      <c r="D14" t="s">
        <v>79</v>
      </c>
      <c r="E14" t="s">
        <v>31</v>
      </c>
      <c r="F14">
        <v>10</v>
      </c>
      <c r="G14" t="s">
        <v>115</v>
      </c>
      <c r="H14" t="b">
        <v>0</v>
      </c>
      <c r="I14" t="s">
        <v>52</v>
      </c>
      <c r="J14" t="s">
        <v>38</v>
      </c>
      <c r="K14" t="s">
        <v>32</v>
      </c>
      <c r="L14">
        <v>0.38</v>
      </c>
      <c r="M14" t="s">
        <v>42</v>
      </c>
      <c r="N14">
        <v>0.39389999999999997</v>
      </c>
      <c r="O14">
        <v>0.76</v>
      </c>
      <c r="P14">
        <v>0.25369999999999998</v>
      </c>
      <c r="Q14">
        <v>12</v>
      </c>
      <c r="R14">
        <v>24</v>
      </c>
      <c r="S14">
        <v>36</v>
      </c>
    </row>
    <row r="15" spans="1:19" x14ac:dyDescent="0.3">
      <c r="A15">
        <v>12</v>
      </c>
      <c r="B15" t="s">
        <v>78</v>
      </c>
      <c r="C15" t="s">
        <v>78</v>
      </c>
      <c r="D15" t="s">
        <v>79</v>
      </c>
      <c r="E15" t="s">
        <v>31</v>
      </c>
      <c r="F15">
        <v>11</v>
      </c>
      <c r="G15" t="s">
        <v>115</v>
      </c>
      <c r="H15" t="b">
        <v>0</v>
      </c>
      <c r="I15" t="s">
        <v>52</v>
      </c>
      <c r="J15" t="s">
        <v>38</v>
      </c>
      <c r="K15" t="s">
        <v>32</v>
      </c>
      <c r="L15">
        <v>0.36</v>
      </c>
      <c r="M15" t="s">
        <v>42</v>
      </c>
      <c r="N15">
        <v>0.33329999999999999</v>
      </c>
      <c r="O15">
        <v>0.81</v>
      </c>
      <c r="P15">
        <v>0.28360000000000002</v>
      </c>
      <c r="Q15">
        <v>26</v>
      </c>
      <c r="R15">
        <v>30</v>
      </c>
      <c r="S15">
        <v>56</v>
      </c>
    </row>
    <row r="16" spans="1:19" x14ac:dyDescent="0.3">
      <c r="A16">
        <v>13</v>
      </c>
      <c r="B16" t="s">
        <v>78</v>
      </c>
      <c r="C16" t="s">
        <v>78</v>
      </c>
      <c r="D16" t="s">
        <v>79</v>
      </c>
      <c r="E16" t="s">
        <v>31</v>
      </c>
      <c r="F16">
        <v>12</v>
      </c>
      <c r="G16" t="s">
        <v>114</v>
      </c>
      <c r="H16" t="b">
        <v>0</v>
      </c>
      <c r="I16" t="s">
        <v>52</v>
      </c>
      <c r="J16" t="s">
        <v>38</v>
      </c>
      <c r="K16" t="s">
        <v>32</v>
      </c>
      <c r="L16">
        <v>0.42</v>
      </c>
      <c r="M16" t="s">
        <v>43</v>
      </c>
      <c r="N16">
        <v>0.42420000000000002</v>
      </c>
      <c r="O16">
        <v>0.77</v>
      </c>
      <c r="P16">
        <v>0.28360000000000002</v>
      </c>
      <c r="Q16">
        <v>29</v>
      </c>
      <c r="R16">
        <v>55</v>
      </c>
      <c r="S16">
        <v>84</v>
      </c>
    </row>
    <row r="17" spans="1:19" x14ac:dyDescent="0.3">
      <c r="A17">
        <v>14</v>
      </c>
      <c r="B17" t="s">
        <v>78</v>
      </c>
      <c r="C17" t="s">
        <v>78</v>
      </c>
      <c r="D17" t="s">
        <v>79</v>
      </c>
      <c r="E17" t="s">
        <v>31</v>
      </c>
      <c r="F17">
        <v>13</v>
      </c>
      <c r="G17" t="s">
        <v>114</v>
      </c>
      <c r="H17" t="b">
        <v>0</v>
      </c>
      <c r="I17" t="s">
        <v>52</v>
      </c>
      <c r="J17" t="s">
        <v>38</v>
      </c>
      <c r="K17" t="s">
        <v>33</v>
      </c>
      <c r="L17">
        <v>0.46</v>
      </c>
      <c r="M17" t="s">
        <v>43</v>
      </c>
      <c r="N17">
        <v>0.45450000000000002</v>
      </c>
      <c r="O17">
        <v>0.72</v>
      </c>
      <c r="P17">
        <v>0.29849999999999999</v>
      </c>
      <c r="Q17">
        <v>47</v>
      </c>
      <c r="R17">
        <v>47</v>
      </c>
      <c r="S17">
        <v>94</v>
      </c>
    </row>
    <row r="18" spans="1:19" x14ac:dyDescent="0.3">
      <c r="A18">
        <v>15</v>
      </c>
      <c r="B18" t="s">
        <v>78</v>
      </c>
      <c r="C18" t="s">
        <v>78</v>
      </c>
      <c r="D18" t="s">
        <v>79</v>
      </c>
      <c r="E18" t="s">
        <v>31</v>
      </c>
      <c r="F18">
        <v>14</v>
      </c>
      <c r="G18" t="s">
        <v>114</v>
      </c>
      <c r="H18" t="b">
        <v>0</v>
      </c>
      <c r="I18" t="s">
        <v>52</v>
      </c>
      <c r="J18" t="s">
        <v>38</v>
      </c>
      <c r="K18" t="s">
        <v>33</v>
      </c>
      <c r="L18">
        <v>0.46</v>
      </c>
      <c r="M18" t="s">
        <v>43</v>
      </c>
      <c r="N18">
        <v>0.45450000000000002</v>
      </c>
      <c r="O18">
        <v>0.72</v>
      </c>
      <c r="P18">
        <v>0.28360000000000002</v>
      </c>
      <c r="Q18">
        <v>35</v>
      </c>
      <c r="R18">
        <v>71</v>
      </c>
      <c r="S18">
        <v>106</v>
      </c>
    </row>
    <row r="19" spans="1:19" x14ac:dyDescent="0.3">
      <c r="A19">
        <v>16</v>
      </c>
      <c r="B19" t="s">
        <v>78</v>
      </c>
      <c r="C19" t="s">
        <v>78</v>
      </c>
      <c r="D19" t="s">
        <v>79</v>
      </c>
      <c r="E19" t="s">
        <v>31</v>
      </c>
      <c r="F19">
        <v>15</v>
      </c>
      <c r="G19" t="s">
        <v>114</v>
      </c>
      <c r="H19" t="b">
        <v>0</v>
      </c>
      <c r="I19" t="s">
        <v>52</v>
      </c>
      <c r="J19" t="s">
        <v>38</v>
      </c>
      <c r="K19" t="s">
        <v>33</v>
      </c>
      <c r="L19">
        <v>0.44</v>
      </c>
      <c r="M19" t="s">
        <v>43</v>
      </c>
      <c r="N19">
        <v>0.43940000000000001</v>
      </c>
      <c r="O19">
        <v>0.77</v>
      </c>
      <c r="P19">
        <v>0.29849999999999999</v>
      </c>
      <c r="Q19">
        <v>40</v>
      </c>
      <c r="R19">
        <v>70</v>
      </c>
      <c r="S19">
        <v>110</v>
      </c>
    </row>
    <row r="20" spans="1:19" x14ac:dyDescent="0.3">
      <c r="A20">
        <v>17</v>
      </c>
      <c r="B20" t="s">
        <v>78</v>
      </c>
      <c r="C20" t="s">
        <v>78</v>
      </c>
      <c r="D20" t="s">
        <v>79</v>
      </c>
      <c r="E20" t="s">
        <v>31</v>
      </c>
      <c r="F20">
        <v>16</v>
      </c>
      <c r="G20" t="s">
        <v>114</v>
      </c>
      <c r="H20" t="b">
        <v>0</v>
      </c>
      <c r="I20" t="s">
        <v>52</v>
      </c>
      <c r="J20" t="s">
        <v>38</v>
      </c>
      <c r="K20" t="s">
        <v>33</v>
      </c>
      <c r="L20">
        <v>0.42</v>
      </c>
      <c r="M20" t="s">
        <v>43</v>
      </c>
      <c r="N20">
        <v>0.42420000000000002</v>
      </c>
      <c r="O20">
        <v>0.82</v>
      </c>
      <c r="P20">
        <v>0.29849999999999999</v>
      </c>
      <c r="Q20">
        <v>41</v>
      </c>
      <c r="R20">
        <v>52</v>
      </c>
      <c r="S20">
        <v>93</v>
      </c>
    </row>
    <row r="21" spans="1:19" x14ac:dyDescent="0.3">
      <c r="A21">
        <v>18</v>
      </c>
      <c r="B21" t="s">
        <v>78</v>
      </c>
      <c r="C21" t="s">
        <v>78</v>
      </c>
      <c r="D21" t="s">
        <v>79</v>
      </c>
      <c r="E21" t="s">
        <v>31</v>
      </c>
      <c r="F21">
        <v>17</v>
      </c>
      <c r="G21" t="s">
        <v>114</v>
      </c>
      <c r="H21" t="b">
        <v>0</v>
      </c>
      <c r="I21" t="s">
        <v>52</v>
      </c>
      <c r="J21" t="s">
        <v>38</v>
      </c>
      <c r="K21" t="s">
        <v>33</v>
      </c>
      <c r="L21">
        <v>0.44</v>
      </c>
      <c r="M21" t="s">
        <v>43</v>
      </c>
      <c r="N21">
        <v>0.2</v>
      </c>
      <c r="O21">
        <v>0.82</v>
      </c>
      <c r="P21">
        <v>0.28360000000000002</v>
      </c>
      <c r="Q21">
        <v>15</v>
      </c>
      <c r="R21">
        <v>52</v>
      </c>
      <c r="S21">
        <v>67</v>
      </c>
    </row>
    <row r="22" spans="1:19" x14ac:dyDescent="0.3">
      <c r="A22">
        <v>19</v>
      </c>
      <c r="B22" t="s">
        <v>78</v>
      </c>
      <c r="C22" t="s">
        <v>78</v>
      </c>
      <c r="D22" t="s">
        <v>79</v>
      </c>
      <c r="E22" t="s">
        <v>31</v>
      </c>
      <c r="F22">
        <v>18</v>
      </c>
      <c r="G22" t="s">
        <v>113</v>
      </c>
      <c r="H22" t="b">
        <v>0</v>
      </c>
      <c r="I22" t="s">
        <v>52</v>
      </c>
      <c r="J22" t="s">
        <v>38</v>
      </c>
      <c r="K22" t="s">
        <v>34</v>
      </c>
      <c r="L22">
        <v>0.42</v>
      </c>
      <c r="M22" t="s">
        <v>43</v>
      </c>
      <c r="N22">
        <v>0.42420000000000002</v>
      </c>
      <c r="O22">
        <v>0.88</v>
      </c>
      <c r="P22">
        <v>0.25369999999999998</v>
      </c>
      <c r="Q22">
        <v>9</v>
      </c>
      <c r="R22">
        <v>26</v>
      </c>
      <c r="S22">
        <v>35</v>
      </c>
    </row>
    <row r="23" spans="1:19" x14ac:dyDescent="0.3">
      <c r="A23">
        <v>20</v>
      </c>
      <c r="B23" t="s">
        <v>78</v>
      </c>
      <c r="C23" t="s">
        <v>78</v>
      </c>
      <c r="D23" t="s">
        <v>79</v>
      </c>
      <c r="E23" t="s">
        <v>31</v>
      </c>
      <c r="F23">
        <v>19</v>
      </c>
      <c r="G23" t="s">
        <v>113</v>
      </c>
      <c r="H23" t="b">
        <v>0</v>
      </c>
      <c r="I23" t="s">
        <v>52</v>
      </c>
      <c r="J23" t="s">
        <v>38</v>
      </c>
      <c r="K23" t="s">
        <v>34</v>
      </c>
      <c r="L23">
        <v>0.42</v>
      </c>
      <c r="M23" t="s">
        <v>43</v>
      </c>
      <c r="N23">
        <v>0.42420000000000002</v>
      </c>
      <c r="O23">
        <v>0.88</v>
      </c>
      <c r="P23">
        <v>0.25369999999999998</v>
      </c>
      <c r="Q23">
        <v>6</v>
      </c>
      <c r="R23">
        <v>31</v>
      </c>
      <c r="S23">
        <v>37</v>
      </c>
    </row>
    <row r="24" spans="1:19" x14ac:dyDescent="0.3">
      <c r="A24">
        <v>21</v>
      </c>
      <c r="B24" t="s">
        <v>78</v>
      </c>
      <c r="C24" t="s">
        <v>78</v>
      </c>
      <c r="D24" t="s">
        <v>79</v>
      </c>
      <c r="E24" t="s">
        <v>31</v>
      </c>
      <c r="F24">
        <v>20</v>
      </c>
      <c r="G24" t="s">
        <v>113</v>
      </c>
      <c r="H24" t="b">
        <v>0</v>
      </c>
      <c r="I24" t="s">
        <v>52</v>
      </c>
      <c r="J24" t="s">
        <v>38</v>
      </c>
      <c r="K24" t="s">
        <v>33</v>
      </c>
      <c r="L24">
        <v>0.4</v>
      </c>
      <c r="M24" t="s">
        <v>42</v>
      </c>
      <c r="N24">
        <v>0.40910000000000002</v>
      </c>
      <c r="O24">
        <v>0.87</v>
      </c>
      <c r="P24">
        <v>0.25369999999999998</v>
      </c>
      <c r="Q24">
        <v>11</v>
      </c>
      <c r="R24">
        <v>25</v>
      </c>
      <c r="S24">
        <v>36</v>
      </c>
    </row>
    <row r="25" spans="1:19" x14ac:dyDescent="0.3">
      <c r="A25">
        <v>22</v>
      </c>
      <c r="B25" t="s">
        <v>78</v>
      </c>
      <c r="C25" t="s">
        <v>78</v>
      </c>
      <c r="D25" t="s">
        <v>79</v>
      </c>
      <c r="E25" t="s">
        <v>31</v>
      </c>
      <c r="F25">
        <v>21</v>
      </c>
      <c r="G25" t="s">
        <v>113</v>
      </c>
      <c r="H25" t="b">
        <v>0</v>
      </c>
      <c r="I25" t="s">
        <v>52</v>
      </c>
      <c r="J25" t="s">
        <v>38</v>
      </c>
      <c r="K25" t="s">
        <v>33</v>
      </c>
      <c r="L25">
        <v>0.4</v>
      </c>
      <c r="M25" t="s">
        <v>42</v>
      </c>
      <c r="N25">
        <v>0.40910000000000002</v>
      </c>
      <c r="O25">
        <v>0.87</v>
      </c>
      <c r="P25">
        <v>0.19400000000000001</v>
      </c>
      <c r="Q25">
        <v>3</v>
      </c>
      <c r="R25">
        <v>31</v>
      </c>
      <c r="S25">
        <v>34</v>
      </c>
    </row>
    <row r="26" spans="1:19" x14ac:dyDescent="0.3">
      <c r="A26">
        <v>23</v>
      </c>
      <c r="B26" t="s">
        <v>78</v>
      </c>
      <c r="C26" t="s">
        <v>78</v>
      </c>
      <c r="D26" t="s">
        <v>79</v>
      </c>
      <c r="E26" t="s">
        <v>31</v>
      </c>
      <c r="F26">
        <v>22</v>
      </c>
      <c r="G26" t="s">
        <v>113</v>
      </c>
      <c r="H26" t="b">
        <v>0</v>
      </c>
      <c r="I26" t="s">
        <v>52</v>
      </c>
      <c r="J26" t="s">
        <v>38</v>
      </c>
      <c r="K26" t="s">
        <v>33</v>
      </c>
      <c r="L26">
        <v>0.4</v>
      </c>
      <c r="M26" t="s">
        <v>42</v>
      </c>
      <c r="N26">
        <v>0.40910000000000002</v>
      </c>
      <c r="O26">
        <v>0.94</v>
      </c>
      <c r="P26">
        <v>0.22389999999999999</v>
      </c>
      <c r="Q26">
        <v>11</v>
      </c>
      <c r="R26">
        <v>17</v>
      </c>
      <c r="S26">
        <v>28</v>
      </c>
    </row>
    <row r="27" spans="1:19" x14ac:dyDescent="0.3">
      <c r="A27">
        <v>24</v>
      </c>
      <c r="B27" t="s">
        <v>78</v>
      </c>
      <c r="C27" t="s">
        <v>78</v>
      </c>
      <c r="D27" t="s">
        <v>79</v>
      </c>
      <c r="E27" t="s">
        <v>31</v>
      </c>
      <c r="F27">
        <v>23</v>
      </c>
      <c r="G27" t="s">
        <v>113</v>
      </c>
      <c r="H27" t="b">
        <v>0</v>
      </c>
      <c r="I27" t="s">
        <v>52</v>
      </c>
      <c r="J27" t="s">
        <v>38</v>
      </c>
      <c r="K27" t="s">
        <v>33</v>
      </c>
      <c r="L27">
        <v>0.46</v>
      </c>
      <c r="M27" t="s">
        <v>43</v>
      </c>
      <c r="N27">
        <v>0.2</v>
      </c>
      <c r="O27">
        <v>0.88</v>
      </c>
      <c r="P27">
        <v>0.29849999999999999</v>
      </c>
      <c r="Q27">
        <v>15</v>
      </c>
      <c r="R27">
        <v>24</v>
      </c>
      <c r="S27">
        <v>39</v>
      </c>
    </row>
    <row r="28" spans="1:19" x14ac:dyDescent="0.3">
      <c r="A28">
        <v>25</v>
      </c>
      <c r="B28" t="s">
        <v>80</v>
      </c>
      <c r="C28" t="s">
        <v>78</v>
      </c>
      <c r="D28" t="s">
        <v>79</v>
      </c>
      <c r="E28" t="s">
        <v>31</v>
      </c>
      <c r="F28">
        <v>0</v>
      </c>
      <c r="G28" t="s">
        <v>116</v>
      </c>
      <c r="H28" t="b">
        <v>0</v>
      </c>
      <c r="I28" t="s">
        <v>53</v>
      </c>
      <c r="J28" t="s">
        <v>38</v>
      </c>
      <c r="K28" t="s">
        <v>33</v>
      </c>
      <c r="L28">
        <v>0.46</v>
      </c>
      <c r="M28" t="s">
        <v>43</v>
      </c>
      <c r="N28">
        <v>0.45450000000000002</v>
      </c>
      <c r="O28">
        <v>0.88</v>
      </c>
      <c r="P28">
        <v>0.29849999999999999</v>
      </c>
      <c r="Q28">
        <v>4</v>
      </c>
      <c r="R28">
        <v>13</v>
      </c>
      <c r="S28">
        <v>17</v>
      </c>
    </row>
    <row r="29" spans="1:19" x14ac:dyDescent="0.3">
      <c r="A29">
        <v>26</v>
      </c>
      <c r="B29" t="s">
        <v>80</v>
      </c>
      <c r="C29" t="s">
        <v>78</v>
      </c>
      <c r="D29" t="s">
        <v>79</v>
      </c>
      <c r="E29" t="s">
        <v>31</v>
      </c>
      <c r="F29">
        <v>1</v>
      </c>
      <c r="G29" t="s">
        <v>116</v>
      </c>
      <c r="H29" t="b">
        <v>0</v>
      </c>
      <c r="I29" t="s">
        <v>53</v>
      </c>
      <c r="J29" t="s">
        <v>38</v>
      </c>
      <c r="K29" t="s">
        <v>33</v>
      </c>
      <c r="L29">
        <v>0.44</v>
      </c>
      <c r="M29" t="s">
        <v>43</v>
      </c>
      <c r="N29">
        <v>0.43940000000000001</v>
      </c>
      <c r="O29">
        <v>0.94</v>
      </c>
      <c r="P29">
        <v>0.25369999999999998</v>
      </c>
      <c r="Q29">
        <v>1</v>
      </c>
      <c r="R29">
        <v>16</v>
      </c>
      <c r="S29">
        <v>17</v>
      </c>
    </row>
    <row r="30" spans="1:19" x14ac:dyDescent="0.3">
      <c r="A30">
        <v>27</v>
      </c>
      <c r="B30" t="s">
        <v>80</v>
      </c>
      <c r="C30" t="s">
        <v>78</v>
      </c>
      <c r="D30" t="s">
        <v>79</v>
      </c>
      <c r="E30" t="s">
        <v>31</v>
      </c>
      <c r="F30">
        <v>2</v>
      </c>
      <c r="G30" t="s">
        <v>116</v>
      </c>
      <c r="H30" t="b">
        <v>0</v>
      </c>
      <c r="I30" t="s">
        <v>53</v>
      </c>
      <c r="J30" t="s">
        <v>38</v>
      </c>
      <c r="K30" t="s">
        <v>33</v>
      </c>
      <c r="L30">
        <v>0.42</v>
      </c>
      <c r="M30" t="s">
        <v>43</v>
      </c>
      <c r="N30">
        <v>0.42420000000000002</v>
      </c>
      <c r="O30">
        <v>1</v>
      </c>
      <c r="P30">
        <v>0.28360000000000002</v>
      </c>
      <c r="Q30">
        <v>1</v>
      </c>
      <c r="R30">
        <v>8</v>
      </c>
      <c r="S30">
        <v>9</v>
      </c>
    </row>
    <row r="31" spans="1:19" x14ac:dyDescent="0.3">
      <c r="A31">
        <v>28</v>
      </c>
      <c r="B31" t="s">
        <v>80</v>
      </c>
      <c r="C31" t="s">
        <v>78</v>
      </c>
      <c r="D31" t="s">
        <v>79</v>
      </c>
      <c r="E31" t="s">
        <v>31</v>
      </c>
      <c r="F31">
        <v>3</v>
      </c>
      <c r="G31" t="s">
        <v>116</v>
      </c>
      <c r="H31" t="b">
        <v>0</v>
      </c>
      <c r="I31" t="s">
        <v>53</v>
      </c>
      <c r="J31" t="s">
        <v>38</v>
      </c>
      <c r="K31" t="s">
        <v>33</v>
      </c>
      <c r="L31">
        <v>0.46</v>
      </c>
      <c r="M31" t="s">
        <v>43</v>
      </c>
      <c r="N31">
        <v>0.45450000000000002</v>
      </c>
      <c r="O31">
        <v>0.94</v>
      </c>
      <c r="P31">
        <v>0.19400000000000001</v>
      </c>
      <c r="Q31">
        <v>2</v>
      </c>
      <c r="R31">
        <v>4</v>
      </c>
      <c r="S31">
        <v>6</v>
      </c>
    </row>
    <row r="32" spans="1:19" x14ac:dyDescent="0.3">
      <c r="A32">
        <v>29</v>
      </c>
      <c r="B32" t="s">
        <v>80</v>
      </c>
      <c r="C32" t="s">
        <v>78</v>
      </c>
      <c r="D32" t="s">
        <v>79</v>
      </c>
      <c r="E32" t="s">
        <v>31</v>
      </c>
      <c r="F32">
        <v>4</v>
      </c>
      <c r="G32" t="s">
        <v>116</v>
      </c>
      <c r="H32" t="b">
        <v>0</v>
      </c>
      <c r="I32" t="s">
        <v>53</v>
      </c>
      <c r="J32" t="s">
        <v>38</v>
      </c>
      <c r="K32" t="s">
        <v>33</v>
      </c>
      <c r="L32">
        <v>0.46</v>
      </c>
      <c r="M32" t="s">
        <v>43</v>
      </c>
      <c r="N32">
        <v>0.2</v>
      </c>
      <c r="O32">
        <v>0.94</v>
      </c>
      <c r="P32">
        <v>0.19400000000000001</v>
      </c>
      <c r="Q32">
        <v>2</v>
      </c>
      <c r="R32">
        <v>1</v>
      </c>
      <c r="S32">
        <v>3</v>
      </c>
    </row>
    <row r="33" spans="1:19" x14ac:dyDescent="0.3">
      <c r="A33">
        <v>30</v>
      </c>
      <c r="B33" t="s">
        <v>80</v>
      </c>
      <c r="C33" t="s">
        <v>78</v>
      </c>
      <c r="D33" t="s">
        <v>79</v>
      </c>
      <c r="E33" t="s">
        <v>31</v>
      </c>
      <c r="F33">
        <v>6</v>
      </c>
      <c r="G33" t="s">
        <v>115</v>
      </c>
      <c r="H33" t="b">
        <v>0</v>
      </c>
      <c r="I33" t="s">
        <v>53</v>
      </c>
      <c r="J33" t="s">
        <v>38</v>
      </c>
      <c r="K33" t="s">
        <v>34</v>
      </c>
      <c r="L33">
        <v>0.42</v>
      </c>
      <c r="M33" t="s">
        <v>43</v>
      </c>
      <c r="N33">
        <v>0.42420000000000002</v>
      </c>
      <c r="O33">
        <v>0.77</v>
      </c>
      <c r="P33">
        <v>0.29849999999999999</v>
      </c>
      <c r="Q33">
        <v>0</v>
      </c>
      <c r="R33">
        <v>2</v>
      </c>
      <c r="S33">
        <v>2</v>
      </c>
    </row>
    <row r="34" spans="1:19" x14ac:dyDescent="0.3">
      <c r="A34">
        <v>31</v>
      </c>
      <c r="B34" t="s">
        <v>80</v>
      </c>
      <c r="C34" t="s">
        <v>78</v>
      </c>
      <c r="D34" t="s">
        <v>79</v>
      </c>
      <c r="E34" t="s">
        <v>31</v>
      </c>
      <c r="F34">
        <v>7</v>
      </c>
      <c r="G34" t="s">
        <v>115</v>
      </c>
      <c r="H34" t="b">
        <v>0</v>
      </c>
      <c r="I34" t="s">
        <v>53</v>
      </c>
      <c r="J34" t="s">
        <v>38</v>
      </c>
      <c r="K34" t="s">
        <v>33</v>
      </c>
      <c r="L34">
        <v>0.4</v>
      </c>
      <c r="M34" t="s">
        <v>42</v>
      </c>
      <c r="N34">
        <v>0.40910000000000002</v>
      </c>
      <c r="O34">
        <v>0.76</v>
      </c>
      <c r="P34">
        <v>0.19400000000000001</v>
      </c>
      <c r="Q34">
        <v>0</v>
      </c>
      <c r="R34">
        <v>1</v>
      </c>
      <c r="S34">
        <v>1</v>
      </c>
    </row>
    <row r="35" spans="1:19" x14ac:dyDescent="0.3">
      <c r="A35">
        <v>32</v>
      </c>
      <c r="B35" t="s">
        <v>80</v>
      </c>
      <c r="C35" t="s">
        <v>78</v>
      </c>
      <c r="D35" t="s">
        <v>79</v>
      </c>
      <c r="E35" t="s">
        <v>31</v>
      </c>
      <c r="F35">
        <v>8</v>
      </c>
      <c r="G35" t="s">
        <v>115</v>
      </c>
      <c r="H35" t="b">
        <v>0</v>
      </c>
      <c r="I35" t="s">
        <v>53</v>
      </c>
      <c r="J35" t="s">
        <v>38</v>
      </c>
      <c r="K35" t="s">
        <v>34</v>
      </c>
      <c r="L35">
        <v>0.4</v>
      </c>
      <c r="M35" t="s">
        <v>42</v>
      </c>
      <c r="N35">
        <v>0.40910000000000002</v>
      </c>
      <c r="O35">
        <v>0.71</v>
      </c>
      <c r="P35">
        <v>0.22389999999999999</v>
      </c>
      <c r="Q35">
        <v>0</v>
      </c>
      <c r="R35">
        <v>8</v>
      </c>
      <c r="S35">
        <v>8</v>
      </c>
    </row>
    <row r="36" spans="1:19" x14ac:dyDescent="0.3">
      <c r="A36">
        <v>33</v>
      </c>
      <c r="B36" t="s">
        <v>80</v>
      </c>
      <c r="C36" t="s">
        <v>78</v>
      </c>
      <c r="D36" t="s">
        <v>79</v>
      </c>
      <c r="E36" t="s">
        <v>31</v>
      </c>
      <c r="F36">
        <v>9</v>
      </c>
      <c r="G36" t="s">
        <v>115</v>
      </c>
      <c r="H36" t="b">
        <v>0</v>
      </c>
      <c r="I36" t="s">
        <v>53</v>
      </c>
      <c r="J36" t="s">
        <v>38</v>
      </c>
      <c r="K36" t="s">
        <v>33</v>
      </c>
      <c r="L36">
        <v>0.38</v>
      </c>
      <c r="M36" t="s">
        <v>42</v>
      </c>
      <c r="N36">
        <v>0.2</v>
      </c>
      <c r="O36">
        <v>0.76</v>
      </c>
      <c r="P36">
        <v>0.22389999999999999</v>
      </c>
      <c r="Q36">
        <v>1</v>
      </c>
      <c r="R36">
        <v>19</v>
      </c>
      <c r="S36">
        <v>20</v>
      </c>
    </row>
    <row r="37" spans="1:19" x14ac:dyDescent="0.3">
      <c r="A37">
        <v>34</v>
      </c>
      <c r="B37" t="s">
        <v>80</v>
      </c>
      <c r="C37" t="s">
        <v>78</v>
      </c>
      <c r="D37" t="s">
        <v>79</v>
      </c>
      <c r="E37" t="s">
        <v>31</v>
      </c>
      <c r="F37">
        <v>10</v>
      </c>
      <c r="G37" t="s">
        <v>115</v>
      </c>
      <c r="H37" t="b">
        <v>0</v>
      </c>
      <c r="I37" t="s">
        <v>53</v>
      </c>
      <c r="J37" t="s">
        <v>38</v>
      </c>
      <c r="K37" t="s">
        <v>33</v>
      </c>
      <c r="L37">
        <v>0.36</v>
      </c>
      <c r="M37" t="s">
        <v>42</v>
      </c>
      <c r="N37">
        <v>0.34849999999999998</v>
      </c>
      <c r="O37">
        <v>0.81</v>
      </c>
      <c r="P37">
        <v>0.22389999999999999</v>
      </c>
      <c r="Q37">
        <v>7</v>
      </c>
      <c r="R37">
        <v>46</v>
      </c>
      <c r="S37">
        <v>53</v>
      </c>
    </row>
    <row r="38" spans="1:19" x14ac:dyDescent="0.3">
      <c r="A38">
        <v>35</v>
      </c>
      <c r="B38" t="s">
        <v>80</v>
      </c>
      <c r="C38" t="s">
        <v>78</v>
      </c>
      <c r="D38" t="s">
        <v>79</v>
      </c>
      <c r="E38" t="s">
        <v>31</v>
      </c>
      <c r="F38">
        <v>11</v>
      </c>
      <c r="G38" t="s">
        <v>115</v>
      </c>
      <c r="H38" t="b">
        <v>0</v>
      </c>
      <c r="I38" t="s">
        <v>53</v>
      </c>
      <c r="J38" t="s">
        <v>38</v>
      </c>
      <c r="K38" t="s">
        <v>33</v>
      </c>
      <c r="L38">
        <v>0.36</v>
      </c>
      <c r="M38" t="s">
        <v>42</v>
      </c>
      <c r="N38">
        <v>0.33329999999999999</v>
      </c>
      <c r="O38">
        <v>0.71</v>
      </c>
      <c r="P38">
        <v>0.25369999999999998</v>
      </c>
      <c r="Q38">
        <v>16</v>
      </c>
      <c r="R38">
        <v>54</v>
      </c>
      <c r="S38">
        <v>70</v>
      </c>
    </row>
    <row r="39" spans="1:19" x14ac:dyDescent="0.3">
      <c r="A39">
        <v>36</v>
      </c>
      <c r="B39" t="s">
        <v>80</v>
      </c>
      <c r="C39" t="s">
        <v>78</v>
      </c>
      <c r="D39" t="s">
        <v>79</v>
      </c>
      <c r="E39" t="s">
        <v>31</v>
      </c>
      <c r="F39">
        <v>12</v>
      </c>
      <c r="G39" t="s">
        <v>114</v>
      </c>
      <c r="H39" t="b">
        <v>0</v>
      </c>
      <c r="I39" t="s">
        <v>53</v>
      </c>
      <c r="J39" t="s">
        <v>38</v>
      </c>
      <c r="K39" t="s">
        <v>33</v>
      </c>
      <c r="L39">
        <v>0.36</v>
      </c>
      <c r="M39" t="s">
        <v>42</v>
      </c>
      <c r="N39">
        <v>0.33329999999999999</v>
      </c>
      <c r="O39">
        <v>0.66</v>
      </c>
      <c r="P39">
        <v>0.29849999999999999</v>
      </c>
      <c r="Q39">
        <v>20</v>
      </c>
      <c r="R39">
        <v>73</v>
      </c>
      <c r="S39">
        <v>93</v>
      </c>
    </row>
    <row r="40" spans="1:19" x14ac:dyDescent="0.3">
      <c r="A40">
        <v>37</v>
      </c>
      <c r="B40" t="s">
        <v>80</v>
      </c>
      <c r="C40" t="s">
        <v>78</v>
      </c>
      <c r="D40" t="s">
        <v>79</v>
      </c>
      <c r="E40" t="s">
        <v>31</v>
      </c>
      <c r="F40">
        <v>13</v>
      </c>
      <c r="G40" t="s">
        <v>114</v>
      </c>
      <c r="H40" t="b">
        <v>0</v>
      </c>
      <c r="I40" t="s">
        <v>53</v>
      </c>
      <c r="J40" t="s">
        <v>38</v>
      </c>
      <c r="K40" t="s">
        <v>33</v>
      </c>
      <c r="L40">
        <v>0.36</v>
      </c>
      <c r="M40" t="s">
        <v>42</v>
      </c>
      <c r="N40">
        <v>0.34849999999999998</v>
      </c>
      <c r="O40">
        <v>0.66</v>
      </c>
      <c r="P40">
        <v>0.1343</v>
      </c>
      <c r="Q40">
        <v>11</v>
      </c>
      <c r="R40">
        <v>64</v>
      </c>
      <c r="S40">
        <v>75</v>
      </c>
    </row>
    <row r="41" spans="1:19" x14ac:dyDescent="0.3">
      <c r="A41">
        <v>38</v>
      </c>
      <c r="B41" t="s">
        <v>80</v>
      </c>
      <c r="C41" t="s">
        <v>78</v>
      </c>
      <c r="D41" t="s">
        <v>79</v>
      </c>
      <c r="E41" t="s">
        <v>31</v>
      </c>
      <c r="F41">
        <v>14</v>
      </c>
      <c r="G41" t="s">
        <v>114</v>
      </c>
      <c r="H41" t="b">
        <v>0</v>
      </c>
      <c r="I41" t="s">
        <v>53</v>
      </c>
      <c r="J41" t="s">
        <v>38</v>
      </c>
      <c r="K41" t="s">
        <v>34</v>
      </c>
      <c r="L41">
        <v>0.36</v>
      </c>
      <c r="M41" t="s">
        <v>42</v>
      </c>
      <c r="N41">
        <v>0.2</v>
      </c>
      <c r="O41">
        <v>0.76</v>
      </c>
      <c r="P41">
        <v>0.19400000000000001</v>
      </c>
      <c r="Q41">
        <v>4</v>
      </c>
      <c r="R41">
        <v>55</v>
      </c>
      <c r="S41">
        <v>59</v>
      </c>
    </row>
    <row r="42" spans="1:19" x14ac:dyDescent="0.3">
      <c r="A42">
        <v>39</v>
      </c>
      <c r="B42" t="s">
        <v>80</v>
      </c>
      <c r="C42" t="s">
        <v>78</v>
      </c>
      <c r="D42" t="s">
        <v>79</v>
      </c>
      <c r="E42" t="s">
        <v>31</v>
      </c>
      <c r="F42">
        <v>15</v>
      </c>
      <c r="G42" t="s">
        <v>114</v>
      </c>
      <c r="H42" t="b">
        <v>0</v>
      </c>
      <c r="I42" t="s">
        <v>53</v>
      </c>
      <c r="J42" t="s">
        <v>38</v>
      </c>
      <c r="K42" t="s">
        <v>34</v>
      </c>
      <c r="L42">
        <v>0.34</v>
      </c>
      <c r="M42" t="s">
        <v>42</v>
      </c>
      <c r="N42">
        <v>0.33329999999999999</v>
      </c>
      <c r="O42">
        <v>0.81</v>
      </c>
      <c r="P42">
        <v>0.16420000000000001</v>
      </c>
      <c r="Q42">
        <v>19</v>
      </c>
      <c r="R42">
        <v>55</v>
      </c>
      <c r="S42">
        <v>74</v>
      </c>
    </row>
    <row r="43" spans="1:19" x14ac:dyDescent="0.3">
      <c r="A43">
        <v>40</v>
      </c>
      <c r="B43" t="s">
        <v>80</v>
      </c>
      <c r="C43" t="s">
        <v>78</v>
      </c>
      <c r="D43" t="s">
        <v>79</v>
      </c>
      <c r="E43" t="s">
        <v>31</v>
      </c>
      <c r="F43">
        <v>16</v>
      </c>
      <c r="G43" t="s">
        <v>114</v>
      </c>
      <c r="H43" t="b">
        <v>0</v>
      </c>
      <c r="I43" t="s">
        <v>53</v>
      </c>
      <c r="J43" t="s">
        <v>38</v>
      </c>
      <c r="K43" t="s">
        <v>34</v>
      </c>
      <c r="L43">
        <v>0.34</v>
      </c>
      <c r="M43" t="s">
        <v>42</v>
      </c>
      <c r="N43">
        <v>0.33329999999999999</v>
      </c>
      <c r="O43">
        <v>0.71</v>
      </c>
      <c r="P43">
        <v>0.16420000000000001</v>
      </c>
      <c r="Q43">
        <v>9</v>
      </c>
      <c r="R43">
        <v>67</v>
      </c>
      <c r="S43">
        <v>76</v>
      </c>
    </row>
    <row r="44" spans="1:19" x14ac:dyDescent="0.3">
      <c r="A44">
        <v>41</v>
      </c>
      <c r="B44" t="s">
        <v>80</v>
      </c>
      <c r="C44" t="s">
        <v>78</v>
      </c>
      <c r="D44" t="s">
        <v>79</v>
      </c>
      <c r="E44" t="s">
        <v>31</v>
      </c>
      <c r="F44">
        <v>17</v>
      </c>
      <c r="G44" t="s">
        <v>114</v>
      </c>
      <c r="H44" t="b">
        <v>0</v>
      </c>
      <c r="I44" t="s">
        <v>53</v>
      </c>
      <c r="J44" t="s">
        <v>38</v>
      </c>
      <c r="K44" t="s">
        <v>32</v>
      </c>
      <c r="L44">
        <v>0.34</v>
      </c>
      <c r="M44" t="s">
        <v>42</v>
      </c>
      <c r="N44">
        <v>0.33329999999999999</v>
      </c>
      <c r="O44">
        <v>0.56999999999999995</v>
      </c>
      <c r="P44">
        <v>0.19400000000000001</v>
      </c>
      <c r="Q44">
        <v>7</v>
      </c>
      <c r="R44">
        <v>58</v>
      </c>
      <c r="S44">
        <v>65</v>
      </c>
    </row>
    <row r="45" spans="1:19" x14ac:dyDescent="0.3">
      <c r="A45">
        <v>42</v>
      </c>
      <c r="B45" t="s">
        <v>80</v>
      </c>
      <c r="C45" t="s">
        <v>78</v>
      </c>
      <c r="D45" t="s">
        <v>79</v>
      </c>
      <c r="E45" t="s">
        <v>31</v>
      </c>
      <c r="F45">
        <v>18</v>
      </c>
      <c r="G45" t="s">
        <v>113</v>
      </c>
      <c r="H45" t="b">
        <v>0</v>
      </c>
      <c r="I45" t="s">
        <v>53</v>
      </c>
      <c r="J45" t="s">
        <v>38</v>
      </c>
      <c r="K45" t="s">
        <v>33</v>
      </c>
      <c r="L45">
        <v>0.36</v>
      </c>
      <c r="M45" t="s">
        <v>42</v>
      </c>
      <c r="N45">
        <v>0.33329999999999999</v>
      </c>
      <c r="O45">
        <v>0.46</v>
      </c>
      <c r="P45">
        <v>0.32840000000000003</v>
      </c>
      <c r="Q45">
        <v>10</v>
      </c>
      <c r="R45">
        <v>43</v>
      </c>
      <c r="S45">
        <v>53</v>
      </c>
    </row>
    <row r="46" spans="1:19" x14ac:dyDescent="0.3">
      <c r="A46">
        <v>43</v>
      </c>
      <c r="B46" t="s">
        <v>80</v>
      </c>
      <c r="C46" t="s">
        <v>78</v>
      </c>
      <c r="D46" t="s">
        <v>79</v>
      </c>
      <c r="E46" t="s">
        <v>31</v>
      </c>
      <c r="F46">
        <v>19</v>
      </c>
      <c r="G46" t="s">
        <v>113</v>
      </c>
      <c r="H46" t="b">
        <v>0</v>
      </c>
      <c r="I46" t="s">
        <v>53</v>
      </c>
      <c r="J46" t="s">
        <v>38</v>
      </c>
      <c r="K46" t="s">
        <v>32</v>
      </c>
      <c r="L46">
        <v>0.32</v>
      </c>
      <c r="M46" t="s">
        <v>41</v>
      </c>
      <c r="N46">
        <v>0.28789999999999999</v>
      </c>
      <c r="O46">
        <v>0.42</v>
      </c>
      <c r="P46">
        <v>0.44779999999999998</v>
      </c>
      <c r="Q46">
        <v>1</v>
      </c>
      <c r="R46">
        <v>29</v>
      </c>
      <c r="S46">
        <v>30</v>
      </c>
    </row>
    <row r="47" spans="1:19" x14ac:dyDescent="0.3">
      <c r="A47">
        <v>44</v>
      </c>
      <c r="B47" t="s">
        <v>80</v>
      </c>
      <c r="C47" t="s">
        <v>78</v>
      </c>
      <c r="D47" t="s">
        <v>79</v>
      </c>
      <c r="E47" t="s">
        <v>31</v>
      </c>
      <c r="F47">
        <v>20</v>
      </c>
      <c r="G47" t="s">
        <v>113</v>
      </c>
      <c r="H47" t="b">
        <v>0</v>
      </c>
      <c r="I47" t="s">
        <v>53</v>
      </c>
      <c r="J47" t="s">
        <v>38</v>
      </c>
      <c r="K47" t="s">
        <v>32</v>
      </c>
      <c r="L47">
        <v>0.3</v>
      </c>
      <c r="M47" t="s">
        <v>41</v>
      </c>
      <c r="N47">
        <v>0.2</v>
      </c>
      <c r="O47">
        <v>0.39</v>
      </c>
      <c r="P47">
        <v>0.35820000000000002</v>
      </c>
      <c r="Q47">
        <v>5</v>
      </c>
      <c r="R47">
        <v>17</v>
      </c>
      <c r="S47">
        <v>22</v>
      </c>
    </row>
    <row r="48" spans="1:19" x14ac:dyDescent="0.3">
      <c r="A48">
        <v>45</v>
      </c>
      <c r="B48" t="s">
        <v>80</v>
      </c>
      <c r="C48" t="s">
        <v>78</v>
      </c>
      <c r="D48" t="s">
        <v>79</v>
      </c>
      <c r="E48" t="s">
        <v>31</v>
      </c>
      <c r="F48">
        <v>21</v>
      </c>
      <c r="G48" t="s">
        <v>113</v>
      </c>
      <c r="H48" t="b">
        <v>0</v>
      </c>
      <c r="I48" t="s">
        <v>53</v>
      </c>
      <c r="J48" t="s">
        <v>38</v>
      </c>
      <c r="K48" t="s">
        <v>32</v>
      </c>
      <c r="L48">
        <v>0.26</v>
      </c>
      <c r="M48" t="s">
        <v>41</v>
      </c>
      <c r="N48">
        <v>0.2273</v>
      </c>
      <c r="O48">
        <v>0.44</v>
      </c>
      <c r="P48">
        <v>0.32840000000000003</v>
      </c>
      <c r="Q48">
        <v>11</v>
      </c>
      <c r="R48">
        <v>20</v>
      </c>
      <c r="S48">
        <v>31</v>
      </c>
    </row>
    <row r="49" spans="1:19" x14ac:dyDescent="0.3">
      <c r="A49">
        <v>46</v>
      </c>
      <c r="B49" t="s">
        <v>80</v>
      </c>
      <c r="C49" t="s">
        <v>78</v>
      </c>
      <c r="D49" t="s">
        <v>79</v>
      </c>
      <c r="E49" t="s">
        <v>31</v>
      </c>
      <c r="F49">
        <v>22</v>
      </c>
      <c r="G49" t="s">
        <v>113</v>
      </c>
      <c r="H49" t="b">
        <v>0</v>
      </c>
      <c r="I49" t="s">
        <v>53</v>
      </c>
      <c r="J49" t="s">
        <v>38</v>
      </c>
      <c r="K49" t="s">
        <v>32</v>
      </c>
      <c r="L49">
        <v>0.24</v>
      </c>
      <c r="M49" t="s">
        <v>40</v>
      </c>
      <c r="N49">
        <v>0.21210000000000001</v>
      </c>
      <c r="O49">
        <v>0.44</v>
      </c>
      <c r="P49">
        <v>0.29849999999999999</v>
      </c>
      <c r="Q49">
        <v>0</v>
      </c>
      <c r="R49">
        <v>9</v>
      </c>
      <c r="S49">
        <v>9</v>
      </c>
    </row>
    <row r="50" spans="1:19" x14ac:dyDescent="0.3">
      <c r="A50">
        <v>47</v>
      </c>
      <c r="B50" t="s">
        <v>80</v>
      </c>
      <c r="C50" t="s">
        <v>78</v>
      </c>
      <c r="D50" t="s">
        <v>79</v>
      </c>
      <c r="E50" t="s">
        <v>31</v>
      </c>
      <c r="F50">
        <v>23</v>
      </c>
      <c r="G50" t="s">
        <v>113</v>
      </c>
      <c r="H50" t="b">
        <v>0</v>
      </c>
      <c r="I50" t="s">
        <v>53</v>
      </c>
      <c r="J50" t="s">
        <v>38</v>
      </c>
      <c r="K50" t="s">
        <v>32</v>
      </c>
      <c r="L50">
        <v>0.22</v>
      </c>
      <c r="M50" t="s">
        <v>40</v>
      </c>
      <c r="N50">
        <v>0.2273</v>
      </c>
      <c r="O50">
        <v>0.47</v>
      </c>
      <c r="P50">
        <v>0.16420000000000001</v>
      </c>
      <c r="Q50">
        <v>0</v>
      </c>
      <c r="R50">
        <v>8</v>
      </c>
      <c r="S50">
        <v>8</v>
      </c>
    </row>
    <row r="51" spans="1:19" x14ac:dyDescent="0.3">
      <c r="A51">
        <v>48</v>
      </c>
      <c r="B51" t="s">
        <v>81</v>
      </c>
      <c r="C51" t="s">
        <v>78</v>
      </c>
      <c r="D51" t="s">
        <v>79</v>
      </c>
      <c r="E51" t="s">
        <v>31</v>
      </c>
      <c r="F51">
        <v>0</v>
      </c>
      <c r="G51" t="s">
        <v>116</v>
      </c>
      <c r="H51" t="b">
        <v>0</v>
      </c>
      <c r="I51" t="s">
        <v>54</v>
      </c>
      <c r="J51" t="s">
        <v>22</v>
      </c>
      <c r="K51" t="s">
        <v>32</v>
      </c>
      <c r="L51">
        <v>0.22</v>
      </c>
      <c r="M51" t="s">
        <v>40</v>
      </c>
      <c r="N51">
        <v>0.19700000000000001</v>
      </c>
      <c r="O51">
        <v>0.44</v>
      </c>
      <c r="P51">
        <v>0.35820000000000002</v>
      </c>
      <c r="Q51">
        <v>0</v>
      </c>
      <c r="R51">
        <v>5</v>
      </c>
      <c r="S51">
        <v>5</v>
      </c>
    </row>
    <row r="52" spans="1:19" x14ac:dyDescent="0.3">
      <c r="A52">
        <v>49</v>
      </c>
      <c r="B52" t="s">
        <v>81</v>
      </c>
      <c r="C52" t="s">
        <v>78</v>
      </c>
      <c r="D52" t="s">
        <v>79</v>
      </c>
      <c r="E52" t="s">
        <v>31</v>
      </c>
      <c r="F52">
        <v>1</v>
      </c>
      <c r="G52" t="s">
        <v>116</v>
      </c>
      <c r="H52" t="b">
        <v>0</v>
      </c>
      <c r="I52" t="s">
        <v>54</v>
      </c>
      <c r="J52" t="s">
        <v>22</v>
      </c>
      <c r="K52" t="s">
        <v>32</v>
      </c>
      <c r="L52">
        <v>0.2</v>
      </c>
      <c r="M52" t="s">
        <v>40</v>
      </c>
      <c r="N52">
        <v>0.2</v>
      </c>
      <c r="O52">
        <v>0.44</v>
      </c>
      <c r="P52">
        <v>0.41789999999999999</v>
      </c>
      <c r="Q52">
        <v>0</v>
      </c>
      <c r="R52">
        <v>2</v>
      </c>
      <c r="S52">
        <v>2</v>
      </c>
    </row>
    <row r="53" spans="1:19" x14ac:dyDescent="0.3">
      <c r="A53">
        <v>50</v>
      </c>
      <c r="B53" t="s">
        <v>81</v>
      </c>
      <c r="C53" t="s">
        <v>78</v>
      </c>
      <c r="D53" t="s">
        <v>79</v>
      </c>
      <c r="E53" t="s">
        <v>31</v>
      </c>
      <c r="F53">
        <v>4</v>
      </c>
      <c r="G53" t="s">
        <v>116</v>
      </c>
      <c r="H53" t="b">
        <v>0</v>
      </c>
      <c r="I53" t="s">
        <v>54</v>
      </c>
      <c r="J53" t="s">
        <v>22</v>
      </c>
      <c r="K53" t="s">
        <v>32</v>
      </c>
      <c r="L53">
        <v>0.16</v>
      </c>
      <c r="M53" t="s">
        <v>40</v>
      </c>
      <c r="N53">
        <v>0.13639999999999999</v>
      </c>
      <c r="O53">
        <v>0.47</v>
      </c>
      <c r="P53">
        <v>0.3881</v>
      </c>
      <c r="Q53">
        <v>0</v>
      </c>
      <c r="R53">
        <v>1</v>
      </c>
      <c r="S53">
        <v>1</v>
      </c>
    </row>
    <row r="54" spans="1:19" x14ac:dyDescent="0.3">
      <c r="A54">
        <v>51</v>
      </c>
      <c r="B54" t="s">
        <v>81</v>
      </c>
      <c r="C54" t="s">
        <v>78</v>
      </c>
      <c r="D54" t="s">
        <v>79</v>
      </c>
      <c r="E54" t="s">
        <v>31</v>
      </c>
      <c r="F54">
        <v>5</v>
      </c>
      <c r="G54" t="s">
        <v>116</v>
      </c>
      <c r="H54" t="b">
        <v>0</v>
      </c>
      <c r="I54" t="s">
        <v>54</v>
      </c>
      <c r="J54" t="s">
        <v>22</v>
      </c>
      <c r="K54" t="s">
        <v>32</v>
      </c>
      <c r="L54">
        <v>0.16</v>
      </c>
      <c r="M54" t="s">
        <v>40</v>
      </c>
      <c r="N54">
        <v>0.13639999999999999</v>
      </c>
      <c r="O54">
        <v>0.47</v>
      </c>
      <c r="P54">
        <v>0.28360000000000002</v>
      </c>
      <c r="Q54">
        <v>0</v>
      </c>
      <c r="R54">
        <v>3</v>
      </c>
      <c r="S54">
        <v>3</v>
      </c>
    </row>
    <row r="55" spans="1:19" x14ac:dyDescent="0.3">
      <c r="A55">
        <v>52</v>
      </c>
      <c r="B55" t="s">
        <v>81</v>
      </c>
      <c r="C55" t="s">
        <v>78</v>
      </c>
      <c r="D55" t="s">
        <v>79</v>
      </c>
      <c r="E55" t="s">
        <v>31</v>
      </c>
      <c r="F55">
        <v>6</v>
      </c>
      <c r="G55" t="s">
        <v>115</v>
      </c>
      <c r="H55" t="b">
        <v>0</v>
      </c>
      <c r="I55" t="s">
        <v>54</v>
      </c>
      <c r="J55" t="s">
        <v>22</v>
      </c>
      <c r="K55" t="s">
        <v>32</v>
      </c>
      <c r="L55">
        <v>0.14000000000000001</v>
      </c>
      <c r="M55" t="s">
        <v>44</v>
      </c>
      <c r="N55">
        <v>0.1061</v>
      </c>
      <c r="O55">
        <v>0.5</v>
      </c>
      <c r="P55">
        <v>0.3881</v>
      </c>
      <c r="Q55">
        <v>0</v>
      </c>
      <c r="R55">
        <v>30</v>
      </c>
      <c r="S55">
        <v>30</v>
      </c>
    </row>
    <row r="56" spans="1:19" x14ac:dyDescent="0.3">
      <c r="A56">
        <v>53</v>
      </c>
      <c r="B56" t="s">
        <v>81</v>
      </c>
      <c r="C56" t="s">
        <v>78</v>
      </c>
      <c r="D56" t="s">
        <v>79</v>
      </c>
      <c r="E56" t="s">
        <v>31</v>
      </c>
      <c r="F56">
        <v>7</v>
      </c>
      <c r="G56" t="s">
        <v>115</v>
      </c>
      <c r="H56" t="b">
        <v>0</v>
      </c>
      <c r="I56" t="s">
        <v>54</v>
      </c>
      <c r="J56" t="s">
        <v>22</v>
      </c>
      <c r="K56" t="s">
        <v>32</v>
      </c>
      <c r="L56">
        <v>0.14000000000000001</v>
      </c>
      <c r="M56" t="s">
        <v>44</v>
      </c>
      <c r="N56">
        <v>0.13639999999999999</v>
      </c>
      <c r="O56">
        <v>0.5</v>
      </c>
      <c r="P56">
        <v>0.19400000000000001</v>
      </c>
      <c r="Q56">
        <v>1</v>
      </c>
      <c r="R56">
        <v>63</v>
      </c>
      <c r="S56">
        <v>64</v>
      </c>
    </row>
    <row r="57" spans="1:19" x14ac:dyDescent="0.3">
      <c r="A57">
        <v>54</v>
      </c>
      <c r="B57" t="s">
        <v>81</v>
      </c>
      <c r="C57" t="s">
        <v>78</v>
      </c>
      <c r="D57" t="s">
        <v>79</v>
      </c>
      <c r="E57" t="s">
        <v>31</v>
      </c>
      <c r="F57">
        <v>8</v>
      </c>
      <c r="G57" t="s">
        <v>115</v>
      </c>
      <c r="H57" t="b">
        <v>0</v>
      </c>
      <c r="I57" t="s">
        <v>54</v>
      </c>
      <c r="J57" t="s">
        <v>22</v>
      </c>
      <c r="K57" t="s">
        <v>32</v>
      </c>
      <c r="L57">
        <v>0.14000000000000001</v>
      </c>
      <c r="M57" t="s">
        <v>44</v>
      </c>
      <c r="N57">
        <v>0.1212</v>
      </c>
      <c r="O57">
        <v>0.5</v>
      </c>
      <c r="P57">
        <v>0.28360000000000002</v>
      </c>
      <c r="Q57">
        <v>1</v>
      </c>
      <c r="R57">
        <v>153</v>
      </c>
      <c r="S57">
        <v>154</v>
      </c>
    </row>
    <row r="58" spans="1:19" x14ac:dyDescent="0.3">
      <c r="A58">
        <v>55</v>
      </c>
      <c r="B58" t="s">
        <v>81</v>
      </c>
      <c r="C58" t="s">
        <v>78</v>
      </c>
      <c r="D58" t="s">
        <v>79</v>
      </c>
      <c r="E58" t="s">
        <v>31</v>
      </c>
      <c r="F58">
        <v>9</v>
      </c>
      <c r="G58" t="s">
        <v>115</v>
      </c>
      <c r="H58" t="b">
        <v>0</v>
      </c>
      <c r="I58" t="s">
        <v>54</v>
      </c>
      <c r="J58" t="s">
        <v>22</v>
      </c>
      <c r="K58" t="s">
        <v>32</v>
      </c>
      <c r="L58">
        <v>0.16</v>
      </c>
      <c r="M58" t="s">
        <v>40</v>
      </c>
      <c r="N58">
        <v>0.13639999999999999</v>
      </c>
      <c r="O58">
        <v>0.43</v>
      </c>
      <c r="P58">
        <v>0.3881</v>
      </c>
      <c r="Q58">
        <v>7</v>
      </c>
      <c r="R58">
        <v>81</v>
      </c>
      <c r="S58">
        <v>88</v>
      </c>
    </row>
    <row r="59" spans="1:19" x14ac:dyDescent="0.3">
      <c r="A59">
        <v>56</v>
      </c>
      <c r="B59" t="s">
        <v>81</v>
      </c>
      <c r="C59" t="s">
        <v>78</v>
      </c>
      <c r="D59" t="s">
        <v>79</v>
      </c>
      <c r="E59" t="s">
        <v>31</v>
      </c>
      <c r="F59">
        <v>10</v>
      </c>
      <c r="G59" t="s">
        <v>115</v>
      </c>
      <c r="H59" t="b">
        <v>0</v>
      </c>
      <c r="I59" t="s">
        <v>54</v>
      </c>
      <c r="J59" t="s">
        <v>22</v>
      </c>
      <c r="K59" t="s">
        <v>32</v>
      </c>
      <c r="L59">
        <v>0.18</v>
      </c>
      <c r="M59" t="s">
        <v>40</v>
      </c>
      <c r="N59">
        <v>0.16669999999999999</v>
      </c>
      <c r="O59">
        <v>0.43</v>
      </c>
      <c r="P59">
        <v>0.25369999999999998</v>
      </c>
      <c r="Q59">
        <v>11</v>
      </c>
      <c r="R59">
        <v>33</v>
      </c>
      <c r="S59">
        <v>44</v>
      </c>
    </row>
    <row r="60" spans="1:19" x14ac:dyDescent="0.3">
      <c r="A60">
        <v>57</v>
      </c>
      <c r="B60" t="s">
        <v>81</v>
      </c>
      <c r="C60" t="s">
        <v>78</v>
      </c>
      <c r="D60" t="s">
        <v>79</v>
      </c>
      <c r="E60" t="s">
        <v>31</v>
      </c>
      <c r="F60">
        <v>11</v>
      </c>
      <c r="G60" t="s">
        <v>115</v>
      </c>
      <c r="H60" t="b">
        <v>0</v>
      </c>
      <c r="I60" t="s">
        <v>54</v>
      </c>
      <c r="J60" t="s">
        <v>22</v>
      </c>
      <c r="K60" t="s">
        <v>32</v>
      </c>
      <c r="L60">
        <v>0.2</v>
      </c>
      <c r="M60" t="s">
        <v>40</v>
      </c>
      <c r="N60">
        <v>0.18179999999999999</v>
      </c>
      <c r="O60">
        <v>0.4</v>
      </c>
      <c r="P60">
        <v>0.32840000000000003</v>
      </c>
      <c r="Q60">
        <v>10</v>
      </c>
      <c r="R60">
        <v>41</v>
      </c>
      <c r="S60">
        <v>51</v>
      </c>
    </row>
    <row r="61" spans="1:19" x14ac:dyDescent="0.3">
      <c r="A61">
        <v>58</v>
      </c>
      <c r="B61" t="s">
        <v>81</v>
      </c>
      <c r="C61" t="s">
        <v>78</v>
      </c>
      <c r="D61" t="s">
        <v>79</v>
      </c>
      <c r="E61" t="s">
        <v>31</v>
      </c>
      <c r="F61">
        <v>12</v>
      </c>
      <c r="G61" t="s">
        <v>114</v>
      </c>
      <c r="H61" t="b">
        <v>0</v>
      </c>
      <c r="I61" t="s">
        <v>54</v>
      </c>
      <c r="J61" t="s">
        <v>22</v>
      </c>
      <c r="K61" t="s">
        <v>32</v>
      </c>
      <c r="L61">
        <v>0.22</v>
      </c>
      <c r="M61" t="s">
        <v>40</v>
      </c>
      <c r="N61">
        <v>0.21210000000000001</v>
      </c>
      <c r="O61">
        <v>0.35</v>
      </c>
      <c r="P61">
        <v>0.29849999999999999</v>
      </c>
      <c r="Q61">
        <v>13</v>
      </c>
      <c r="R61">
        <v>48</v>
      </c>
      <c r="S61">
        <v>61</v>
      </c>
    </row>
    <row r="62" spans="1:19" x14ac:dyDescent="0.3">
      <c r="A62">
        <v>59</v>
      </c>
      <c r="B62" t="s">
        <v>81</v>
      </c>
      <c r="C62" t="s">
        <v>78</v>
      </c>
      <c r="D62" t="s">
        <v>79</v>
      </c>
      <c r="E62" t="s">
        <v>31</v>
      </c>
      <c r="F62">
        <v>13</v>
      </c>
      <c r="G62" t="s">
        <v>114</v>
      </c>
      <c r="H62" t="b">
        <v>0</v>
      </c>
      <c r="I62" t="s">
        <v>54</v>
      </c>
      <c r="J62" t="s">
        <v>22</v>
      </c>
      <c r="K62" t="s">
        <v>32</v>
      </c>
      <c r="L62">
        <v>0.24</v>
      </c>
      <c r="M62" t="s">
        <v>40</v>
      </c>
      <c r="N62">
        <v>0.2</v>
      </c>
      <c r="O62">
        <v>0.35</v>
      </c>
      <c r="P62">
        <v>0.28360000000000002</v>
      </c>
      <c r="Q62">
        <v>8</v>
      </c>
      <c r="R62">
        <v>53</v>
      </c>
      <c r="S62">
        <v>61</v>
      </c>
    </row>
    <row r="63" spans="1:19" x14ac:dyDescent="0.3">
      <c r="A63">
        <v>60</v>
      </c>
      <c r="B63" t="s">
        <v>81</v>
      </c>
      <c r="C63" t="s">
        <v>78</v>
      </c>
      <c r="D63" t="s">
        <v>79</v>
      </c>
      <c r="E63" t="s">
        <v>31</v>
      </c>
      <c r="F63">
        <v>14</v>
      </c>
      <c r="G63" t="s">
        <v>114</v>
      </c>
      <c r="H63" t="b">
        <v>0</v>
      </c>
      <c r="I63" t="s">
        <v>54</v>
      </c>
      <c r="J63" t="s">
        <v>22</v>
      </c>
      <c r="K63" t="s">
        <v>32</v>
      </c>
      <c r="L63">
        <v>0.26</v>
      </c>
      <c r="M63" t="s">
        <v>41</v>
      </c>
      <c r="N63">
        <v>0.2424</v>
      </c>
      <c r="O63">
        <v>0.3</v>
      </c>
      <c r="P63">
        <v>0.28360000000000002</v>
      </c>
      <c r="Q63">
        <v>11</v>
      </c>
      <c r="R63">
        <v>66</v>
      </c>
      <c r="S63">
        <v>77</v>
      </c>
    </row>
    <row r="64" spans="1:19" x14ac:dyDescent="0.3">
      <c r="A64">
        <v>61</v>
      </c>
      <c r="B64" t="s">
        <v>81</v>
      </c>
      <c r="C64" t="s">
        <v>78</v>
      </c>
      <c r="D64" t="s">
        <v>79</v>
      </c>
      <c r="E64" t="s">
        <v>31</v>
      </c>
      <c r="F64">
        <v>15</v>
      </c>
      <c r="G64" t="s">
        <v>114</v>
      </c>
      <c r="H64" t="b">
        <v>0</v>
      </c>
      <c r="I64" t="s">
        <v>54</v>
      </c>
      <c r="J64" t="s">
        <v>22</v>
      </c>
      <c r="K64" t="s">
        <v>32</v>
      </c>
      <c r="L64">
        <v>0.26</v>
      </c>
      <c r="M64" t="s">
        <v>41</v>
      </c>
      <c r="N64">
        <v>0.2424</v>
      </c>
      <c r="O64">
        <v>0.3</v>
      </c>
      <c r="P64">
        <v>0.25369999999999998</v>
      </c>
      <c r="Q64">
        <v>14</v>
      </c>
      <c r="R64">
        <v>58</v>
      </c>
      <c r="S64">
        <v>72</v>
      </c>
    </row>
    <row r="65" spans="1:19" x14ac:dyDescent="0.3">
      <c r="A65">
        <v>62</v>
      </c>
      <c r="B65" t="s">
        <v>81</v>
      </c>
      <c r="C65" t="s">
        <v>78</v>
      </c>
      <c r="D65" t="s">
        <v>79</v>
      </c>
      <c r="E65" t="s">
        <v>31</v>
      </c>
      <c r="F65">
        <v>16</v>
      </c>
      <c r="G65" t="s">
        <v>114</v>
      </c>
      <c r="H65" t="b">
        <v>0</v>
      </c>
      <c r="I65" t="s">
        <v>54</v>
      </c>
      <c r="J65" t="s">
        <v>22</v>
      </c>
      <c r="K65" t="s">
        <v>32</v>
      </c>
      <c r="L65">
        <v>0.26</v>
      </c>
      <c r="M65" t="s">
        <v>41</v>
      </c>
      <c r="N65">
        <v>0.2424</v>
      </c>
      <c r="O65">
        <v>0.3</v>
      </c>
      <c r="P65">
        <v>0.25369999999999998</v>
      </c>
      <c r="Q65">
        <v>9</v>
      </c>
      <c r="R65">
        <v>67</v>
      </c>
      <c r="S65">
        <v>76</v>
      </c>
    </row>
    <row r="66" spans="1:19" x14ac:dyDescent="0.3">
      <c r="A66">
        <v>63</v>
      </c>
      <c r="B66" t="s">
        <v>81</v>
      </c>
      <c r="C66" t="s">
        <v>78</v>
      </c>
      <c r="D66" t="s">
        <v>79</v>
      </c>
      <c r="E66" t="s">
        <v>31</v>
      </c>
      <c r="F66">
        <v>17</v>
      </c>
      <c r="G66" t="s">
        <v>114</v>
      </c>
      <c r="H66" t="b">
        <v>0</v>
      </c>
      <c r="I66" t="s">
        <v>54</v>
      </c>
      <c r="J66" t="s">
        <v>22</v>
      </c>
      <c r="K66" t="s">
        <v>32</v>
      </c>
      <c r="L66">
        <v>0.24</v>
      </c>
      <c r="M66" t="s">
        <v>40</v>
      </c>
      <c r="N66">
        <v>0.2273</v>
      </c>
      <c r="O66">
        <v>0.3</v>
      </c>
      <c r="P66">
        <v>0.22389999999999999</v>
      </c>
      <c r="Q66">
        <v>11</v>
      </c>
      <c r="R66">
        <v>146</v>
      </c>
      <c r="S66">
        <v>157</v>
      </c>
    </row>
    <row r="67" spans="1:19" x14ac:dyDescent="0.3">
      <c r="A67">
        <v>64</v>
      </c>
      <c r="B67" t="s">
        <v>81</v>
      </c>
      <c r="C67" t="s">
        <v>78</v>
      </c>
      <c r="D67" t="s">
        <v>79</v>
      </c>
      <c r="E67" t="s">
        <v>31</v>
      </c>
      <c r="F67">
        <v>18</v>
      </c>
      <c r="G67" t="s">
        <v>113</v>
      </c>
      <c r="H67" t="b">
        <v>0</v>
      </c>
      <c r="I67" t="s">
        <v>54</v>
      </c>
      <c r="J67" t="s">
        <v>22</v>
      </c>
      <c r="K67" t="s">
        <v>32</v>
      </c>
      <c r="L67">
        <v>0.24</v>
      </c>
      <c r="M67" t="s">
        <v>40</v>
      </c>
      <c r="N67">
        <v>0.2576</v>
      </c>
      <c r="O67">
        <v>0.32</v>
      </c>
      <c r="P67">
        <v>0.1045</v>
      </c>
      <c r="Q67">
        <v>9</v>
      </c>
      <c r="R67">
        <v>148</v>
      </c>
      <c r="S67">
        <v>157</v>
      </c>
    </row>
    <row r="68" spans="1:19" x14ac:dyDescent="0.3">
      <c r="A68">
        <v>65</v>
      </c>
      <c r="B68" t="s">
        <v>81</v>
      </c>
      <c r="C68" t="s">
        <v>78</v>
      </c>
      <c r="D68" t="s">
        <v>79</v>
      </c>
      <c r="E68" t="s">
        <v>31</v>
      </c>
      <c r="F68">
        <v>19</v>
      </c>
      <c r="G68" t="s">
        <v>113</v>
      </c>
      <c r="H68" t="b">
        <v>0</v>
      </c>
      <c r="I68" t="s">
        <v>54</v>
      </c>
      <c r="J68" t="s">
        <v>22</v>
      </c>
      <c r="K68" t="s">
        <v>32</v>
      </c>
      <c r="L68">
        <v>0.2</v>
      </c>
      <c r="M68" t="s">
        <v>40</v>
      </c>
      <c r="N68">
        <v>0.2576</v>
      </c>
      <c r="O68">
        <v>0.47</v>
      </c>
      <c r="P68">
        <v>0</v>
      </c>
      <c r="Q68">
        <v>8</v>
      </c>
      <c r="R68">
        <v>102</v>
      </c>
      <c r="S68">
        <v>110</v>
      </c>
    </row>
    <row r="69" spans="1:19" x14ac:dyDescent="0.3">
      <c r="A69">
        <v>66</v>
      </c>
      <c r="B69" t="s">
        <v>81</v>
      </c>
      <c r="C69" t="s">
        <v>78</v>
      </c>
      <c r="D69" t="s">
        <v>79</v>
      </c>
      <c r="E69" t="s">
        <v>31</v>
      </c>
      <c r="F69">
        <v>20</v>
      </c>
      <c r="G69" t="s">
        <v>113</v>
      </c>
      <c r="H69" t="b">
        <v>0</v>
      </c>
      <c r="I69" t="s">
        <v>54</v>
      </c>
      <c r="J69" t="s">
        <v>22</v>
      </c>
      <c r="K69" t="s">
        <v>32</v>
      </c>
      <c r="L69">
        <v>0.2</v>
      </c>
      <c r="M69" t="s">
        <v>40</v>
      </c>
      <c r="N69">
        <v>0.2</v>
      </c>
      <c r="O69">
        <v>0.47</v>
      </c>
      <c r="P69">
        <v>0.1045</v>
      </c>
      <c r="Q69">
        <v>3</v>
      </c>
      <c r="R69">
        <v>49</v>
      </c>
      <c r="S69">
        <v>52</v>
      </c>
    </row>
    <row r="70" spans="1:19" x14ac:dyDescent="0.3">
      <c r="A70">
        <v>67</v>
      </c>
      <c r="B70" t="s">
        <v>81</v>
      </c>
      <c r="C70" t="s">
        <v>78</v>
      </c>
      <c r="D70" t="s">
        <v>79</v>
      </c>
      <c r="E70" t="s">
        <v>31</v>
      </c>
      <c r="F70">
        <v>21</v>
      </c>
      <c r="G70" t="s">
        <v>113</v>
      </c>
      <c r="H70" t="b">
        <v>0</v>
      </c>
      <c r="I70" t="s">
        <v>54</v>
      </c>
      <c r="J70" t="s">
        <v>22</v>
      </c>
      <c r="K70" t="s">
        <v>32</v>
      </c>
      <c r="L70">
        <v>0.18</v>
      </c>
      <c r="M70" t="s">
        <v>40</v>
      </c>
      <c r="N70">
        <v>0.19700000000000001</v>
      </c>
      <c r="O70">
        <v>0.64</v>
      </c>
      <c r="P70">
        <v>0.1343</v>
      </c>
      <c r="Q70">
        <v>3</v>
      </c>
      <c r="R70">
        <v>49</v>
      </c>
      <c r="S70">
        <v>52</v>
      </c>
    </row>
    <row r="71" spans="1:19" x14ac:dyDescent="0.3">
      <c r="A71">
        <v>68</v>
      </c>
      <c r="B71" t="s">
        <v>81</v>
      </c>
      <c r="C71" t="s">
        <v>78</v>
      </c>
      <c r="D71" t="s">
        <v>79</v>
      </c>
      <c r="E71" t="s">
        <v>31</v>
      </c>
      <c r="F71">
        <v>22</v>
      </c>
      <c r="G71" t="s">
        <v>113</v>
      </c>
      <c r="H71" t="b">
        <v>0</v>
      </c>
      <c r="I71" t="s">
        <v>54</v>
      </c>
      <c r="J71" t="s">
        <v>22</v>
      </c>
      <c r="K71" t="s">
        <v>32</v>
      </c>
      <c r="L71">
        <v>0.14000000000000001</v>
      </c>
      <c r="M71" t="s">
        <v>44</v>
      </c>
      <c r="N71">
        <v>0.1515</v>
      </c>
      <c r="O71">
        <v>0.69</v>
      </c>
      <c r="P71">
        <v>0.1343</v>
      </c>
      <c r="Q71">
        <v>0</v>
      </c>
      <c r="R71">
        <v>20</v>
      </c>
      <c r="S71">
        <v>20</v>
      </c>
    </row>
    <row r="72" spans="1:19" x14ac:dyDescent="0.3">
      <c r="A72">
        <v>69</v>
      </c>
      <c r="B72" t="s">
        <v>81</v>
      </c>
      <c r="C72" t="s">
        <v>78</v>
      </c>
      <c r="D72" t="s">
        <v>79</v>
      </c>
      <c r="E72" t="s">
        <v>31</v>
      </c>
      <c r="F72">
        <v>23</v>
      </c>
      <c r="G72" t="s">
        <v>113</v>
      </c>
      <c r="H72" t="b">
        <v>0</v>
      </c>
      <c r="I72" t="s">
        <v>54</v>
      </c>
      <c r="J72" t="s">
        <v>22</v>
      </c>
      <c r="K72" t="s">
        <v>32</v>
      </c>
      <c r="L72">
        <v>0.18</v>
      </c>
      <c r="M72" t="s">
        <v>40</v>
      </c>
      <c r="N72">
        <v>0.21210000000000001</v>
      </c>
      <c r="O72">
        <v>0.55000000000000004</v>
      </c>
      <c r="P72">
        <v>0.1045</v>
      </c>
      <c r="Q72">
        <v>1</v>
      </c>
      <c r="R72">
        <v>11</v>
      </c>
      <c r="S72">
        <v>12</v>
      </c>
    </row>
    <row r="73" spans="1:19" x14ac:dyDescent="0.3">
      <c r="A73">
        <v>70</v>
      </c>
      <c r="B73" t="s">
        <v>82</v>
      </c>
      <c r="C73" t="s">
        <v>78</v>
      </c>
      <c r="D73" t="s">
        <v>79</v>
      </c>
      <c r="E73" t="s">
        <v>31</v>
      </c>
      <c r="F73">
        <v>0</v>
      </c>
      <c r="G73" t="s">
        <v>116</v>
      </c>
      <c r="H73" t="b">
        <v>0</v>
      </c>
      <c r="I73" t="s">
        <v>55</v>
      </c>
      <c r="J73" t="s">
        <v>22</v>
      </c>
      <c r="K73" t="s">
        <v>32</v>
      </c>
      <c r="L73">
        <v>0.16</v>
      </c>
      <c r="M73" t="s">
        <v>40</v>
      </c>
      <c r="N73">
        <v>0.2</v>
      </c>
      <c r="O73">
        <v>0.55000000000000004</v>
      </c>
      <c r="P73">
        <v>0.1045</v>
      </c>
      <c r="Q73">
        <v>0</v>
      </c>
      <c r="R73">
        <v>5</v>
      </c>
      <c r="S73">
        <v>5</v>
      </c>
    </row>
    <row r="74" spans="1:19" x14ac:dyDescent="0.3">
      <c r="A74">
        <v>71</v>
      </c>
      <c r="B74" t="s">
        <v>82</v>
      </c>
      <c r="C74" t="s">
        <v>78</v>
      </c>
      <c r="D74" t="s">
        <v>79</v>
      </c>
      <c r="E74" t="s">
        <v>31</v>
      </c>
      <c r="F74">
        <v>1</v>
      </c>
      <c r="G74" t="s">
        <v>116</v>
      </c>
      <c r="H74" t="b">
        <v>0</v>
      </c>
      <c r="I74" t="s">
        <v>55</v>
      </c>
      <c r="J74" t="s">
        <v>22</v>
      </c>
      <c r="K74" t="s">
        <v>32</v>
      </c>
      <c r="L74">
        <v>0.16</v>
      </c>
      <c r="M74" t="s">
        <v>40</v>
      </c>
      <c r="N74">
        <v>0.18179999999999999</v>
      </c>
      <c r="O74">
        <v>0.59</v>
      </c>
      <c r="P74">
        <v>0.1045</v>
      </c>
      <c r="Q74">
        <v>0</v>
      </c>
      <c r="R74">
        <v>2</v>
      </c>
      <c r="S74">
        <v>2</v>
      </c>
    </row>
    <row r="75" spans="1:19" x14ac:dyDescent="0.3">
      <c r="A75">
        <v>72</v>
      </c>
      <c r="B75" t="s">
        <v>82</v>
      </c>
      <c r="C75" t="s">
        <v>78</v>
      </c>
      <c r="D75" t="s">
        <v>79</v>
      </c>
      <c r="E75" t="s">
        <v>31</v>
      </c>
      <c r="F75">
        <v>2</v>
      </c>
      <c r="G75" t="s">
        <v>116</v>
      </c>
      <c r="H75" t="b">
        <v>0</v>
      </c>
      <c r="I75" t="s">
        <v>55</v>
      </c>
      <c r="J75" t="s">
        <v>22</v>
      </c>
      <c r="K75" t="s">
        <v>32</v>
      </c>
      <c r="L75">
        <v>0.14000000000000001</v>
      </c>
      <c r="M75" t="s">
        <v>44</v>
      </c>
      <c r="N75">
        <v>0.1515</v>
      </c>
      <c r="O75">
        <v>0.63</v>
      </c>
      <c r="P75">
        <v>0.1343</v>
      </c>
      <c r="Q75">
        <v>0</v>
      </c>
      <c r="R75">
        <v>1</v>
      </c>
      <c r="S75">
        <v>1</v>
      </c>
    </row>
    <row r="76" spans="1:19" x14ac:dyDescent="0.3">
      <c r="A76">
        <v>73</v>
      </c>
      <c r="B76" t="s">
        <v>82</v>
      </c>
      <c r="C76" t="s">
        <v>78</v>
      </c>
      <c r="D76" t="s">
        <v>79</v>
      </c>
      <c r="E76" t="s">
        <v>31</v>
      </c>
      <c r="F76">
        <v>4</v>
      </c>
      <c r="G76" t="s">
        <v>116</v>
      </c>
      <c r="H76" t="b">
        <v>0</v>
      </c>
      <c r="I76" t="s">
        <v>55</v>
      </c>
      <c r="J76" t="s">
        <v>22</v>
      </c>
      <c r="K76" t="s">
        <v>32</v>
      </c>
      <c r="L76">
        <v>0.14000000000000001</v>
      </c>
      <c r="M76" t="s">
        <v>44</v>
      </c>
      <c r="N76">
        <v>0.18179999999999999</v>
      </c>
      <c r="O76">
        <v>0.63</v>
      </c>
      <c r="P76">
        <v>8.9599999999999999E-2</v>
      </c>
      <c r="Q76">
        <v>0</v>
      </c>
      <c r="R76">
        <v>2</v>
      </c>
      <c r="S76">
        <v>2</v>
      </c>
    </row>
    <row r="77" spans="1:19" x14ac:dyDescent="0.3">
      <c r="A77">
        <v>74</v>
      </c>
      <c r="B77" t="s">
        <v>82</v>
      </c>
      <c r="C77" t="s">
        <v>78</v>
      </c>
      <c r="D77" t="s">
        <v>79</v>
      </c>
      <c r="E77" t="s">
        <v>31</v>
      </c>
      <c r="F77">
        <v>5</v>
      </c>
      <c r="G77" t="s">
        <v>116</v>
      </c>
      <c r="H77" t="b">
        <v>0</v>
      </c>
      <c r="I77" t="s">
        <v>55</v>
      </c>
      <c r="J77" t="s">
        <v>22</v>
      </c>
      <c r="K77" t="s">
        <v>32</v>
      </c>
      <c r="L77">
        <v>0.12</v>
      </c>
      <c r="M77" t="s">
        <v>44</v>
      </c>
      <c r="N77">
        <v>0.1515</v>
      </c>
      <c r="O77">
        <v>0.68</v>
      </c>
      <c r="P77">
        <v>0.1045</v>
      </c>
      <c r="Q77">
        <v>0</v>
      </c>
      <c r="R77">
        <v>4</v>
      </c>
      <c r="S77">
        <v>4</v>
      </c>
    </row>
    <row r="78" spans="1:19" x14ac:dyDescent="0.3">
      <c r="A78">
        <v>75</v>
      </c>
      <c r="B78" t="s">
        <v>82</v>
      </c>
      <c r="C78" t="s">
        <v>78</v>
      </c>
      <c r="D78" t="s">
        <v>79</v>
      </c>
      <c r="E78" t="s">
        <v>31</v>
      </c>
      <c r="F78">
        <v>6</v>
      </c>
      <c r="G78" t="s">
        <v>115</v>
      </c>
      <c r="H78" t="b">
        <v>0</v>
      </c>
      <c r="I78" t="s">
        <v>55</v>
      </c>
      <c r="J78" t="s">
        <v>22</v>
      </c>
      <c r="K78" t="s">
        <v>32</v>
      </c>
      <c r="L78">
        <v>0.12</v>
      </c>
      <c r="M78" t="s">
        <v>44</v>
      </c>
      <c r="N78">
        <v>0.1515</v>
      </c>
      <c r="O78">
        <v>0.74</v>
      </c>
      <c r="P78">
        <v>0.1045</v>
      </c>
      <c r="Q78">
        <v>0</v>
      </c>
      <c r="R78">
        <v>36</v>
      </c>
      <c r="S78">
        <v>36</v>
      </c>
    </row>
    <row r="79" spans="1:19" x14ac:dyDescent="0.3">
      <c r="A79">
        <v>76</v>
      </c>
      <c r="B79" t="s">
        <v>82</v>
      </c>
      <c r="C79" t="s">
        <v>78</v>
      </c>
      <c r="D79" t="s">
        <v>79</v>
      </c>
      <c r="E79" t="s">
        <v>31</v>
      </c>
      <c r="F79">
        <v>7</v>
      </c>
      <c r="G79" t="s">
        <v>115</v>
      </c>
      <c r="H79" t="b">
        <v>0</v>
      </c>
      <c r="I79" t="s">
        <v>55</v>
      </c>
      <c r="J79" t="s">
        <v>22</v>
      </c>
      <c r="K79" t="s">
        <v>32</v>
      </c>
      <c r="L79">
        <v>0.12</v>
      </c>
      <c r="M79" t="s">
        <v>44</v>
      </c>
      <c r="N79">
        <v>0.1515</v>
      </c>
      <c r="O79">
        <v>0.74</v>
      </c>
      <c r="P79">
        <v>0.1343</v>
      </c>
      <c r="Q79">
        <v>2</v>
      </c>
      <c r="R79">
        <v>92</v>
      </c>
      <c r="S79">
        <v>94</v>
      </c>
    </row>
    <row r="80" spans="1:19" x14ac:dyDescent="0.3">
      <c r="A80">
        <v>77</v>
      </c>
      <c r="B80" t="s">
        <v>82</v>
      </c>
      <c r="C80" t="s">
        <v>78</v>
      </c>
      <c r="D80" t="s">
        <v>79</v>
      </c>
      <c r="E80" t="s">
        <v>31</v>
      </c>
      <c r="F80">
        <v>8</v>
      </c>
      <c r="G80" t="s">
        <v>115</v>
      </c>
      <c r="H80" t="b">
        <v>0</v>
      </c>
      <c r="I80" t="s">
        <v>55</v>
      </c>
      <c r="J80" t="s">
        <v>22</v>
      </c>
      <c r="K80" t="s">
        <v>32</v>
      </c>
      <c r="L80">
        <v>0.14000000000000001</v>
      </c>
      <c r="M80" t="s">
        <v>44</v>
      </c>
      <c r="N80">
        <v>0.1515</v>
      </c>
      <c r="O80">
        <v>0.69</v>
      </c>
      <c r="P80">
        <v>0.16420000000000001</v>
      </c>
      <c r="Q80">
        <v>2</v>
      </c>
      <c r="R80">
        <v>177</v>
      </c>
      <c r="S80">
        <v>179</v>
      </c>
    </row>
    <row r="81" spans="1:19" x14ac:dyDescent="0.3">
      <c r="A81">
        <v>78</v>
      </c>
      <c r="B81" t="s">
        <v>82</v>
      </c>
      <c r="C81" t="s">
        <v>78</v>
      </c>
      <c r="D81" t="s">
        <v>79</v>
      </c>
      <c r="E81" t="s">
        <v>31</v>
      </c>
      <c r="F81">
        <v>9</v>
      </c>
      <c r="G81" t="s">
        <v>115</v>
      </c>
      <c r="H81" t="b">
        <v>0</v>
      </c>
      <c r="I81" t="s">
        <v>55</v>
      </c>
      <c r="J81" t="s">
        <v>22</v>
      </c>
      <c r="K81" t="s">
        <v>32</v>
      </c>
      <c r="L81">
        <v>0.16</v>
      </c>
      <c r="M81" t="s">
        <v>40</v>
      </c>
      <c r="N81">
        <v>0.1515</v>
      </c>
      <c r="O81">
        <v>0.64</v>
      </c>
      <c r="P81">
        <v>0.22389999999999999</v>
      </c>
      <c r="Q81">
        <v>2</v>
      </c>
      <c r="R81">
        <v>98</v>
      </c>
      <c r="S81">
        <v>100</v>
      </c>
    </row>
    <row r="82" spans="1:19" x14ac:dyDescent="0.3">
      <c r="A82">
        <v>79</v>
      </c>
      <c r="B82" t="s">
        <v>82</v>
      </c>
      <c r="C82" t="s">
        <v>78</v>
      </c>
      <c r="D82" t="s">
        <v>79</v>
      </c>
      <c r="E82" t="s">
        <v>31</v>
      </c>
      <c r="F82">
        <v>10</v>
      </c>
      <c r="G82" t="s">
        <v>115</v>
      </c>
      <c r="H82" t="b">
        <v>0</v>
      </c>
      <c r="I82" t="s">
        <v>55</v>
      </c>
      <c r="J82" t="s">
        <v>22</v>
      </c>
      <c r="K82" t="s">
        <v>33</v>
      </c>
      <c r="L82">
        <v>0.16</v>
      </c>
      <c r="M82" t="s">
        <v>40</v>
      </c>
      <c r="N82">
        <v>0.13639999999999999</v>
      </c>
      <c r="O82">
        <v>0.69</v>
      </c>
      <c r="P82">
        <v>0.32840000000000003</v>
      </c>
      <c r="Q82">
        <v>5</v>
      </c>
      <c r="R82">
        <v>37</v>
      </c>
      <c r="S82">
        <v>42</v>
      </c>
    </row>
    <row r="83" spans="1:19" x14ac:dyDescent="0.3">
      <c r="A83">
        <v>80</v>
      </c>
      <c r="B83" t="s">
        <v>82</v>
      </c>
      <c r="C83" t="s">
        <v>78</v>
      </c>
      <c r="D83" t="s">
        <v>79</v>
      </c>
      <c r="E83" t="s">
        <v>31</v>
      </c>
      <c r="F83">
        <v>11</v>
      </c>
      <c r="G83" t="s">
        <v>115</v>
      </c>
      <c r="H83" t="b">
        <v>0</v>
      </c>
      <c r="I83" t="s">
        <v>55</v>
      </c>
      <c r="J83" t="s">
        <v>22</v>
      </c>
      <c r="K83" t="s">
        <v>32</v>
      </c>
      <c r="L83">
        <v>0.22</v>
      </c>
      <c r="M83" t="s">
        <v>40</v>
      </c>
      <c r="N83">
        <v>0.21210000000000001</v>
      </c>
      <c r="O83">
        <v>0.51</v>
      </c>
      <c r="P83">
        <v>0.29849999999999999</v>
      </c>
      <c r="Q83">
        <v>7</v>
      </c>
      <c r="R83">
        <v>50</v>
      </c>
      <c r="S83">
        <v>57</v>
      </c>
    </row>
    <row r="84" spans="1:19" x14ac:dyDescent="0.3">
      <c r="A84">
        <v>81</v>
      </c>
      <c r="B84" t="s">
        <v>82</v>
      </c>
      <c r="C84" t="s">
        <v>78</v>
      </c>
      <c r="D84" t="s">
        <v>79</v>
      </c>
      <c r="E84" t="s">
        <v>31</v>
      </c>
      <c r="F84">
        <v>12</v>
      </c>
      <c r="G84" t="s">
        <v>114</v>
      </c>
      <c r="H84" t="b">
        <v>0</v>
      </c>
      <c r="I84" t="s">
        <v>55</v>
      </c>
      <c r="J84" t="s">
        <v>22</v>
      </c>
      <c r="K84" t="s">
        <v>32</v>
      </c>
      <c r="L84">
        <v>0.22</v>
      </c>
      <c r="M84" t="s">
        <v>40</v>
      </c>
      <c r="N84">
        <v>0.2273</v>
      </c>
      <c r="O84">
        <v>0.51</v>
      </c>
      <c r="P84">
        <v>0.16420000000000001</v>
      </c>
      <c r="Q84">
        <v>12</v>
      </c>
      <c r="R84">
        <v>66</v>
      </c>
      <c r="S84">
        <v>78</v>
      </c>
    </row>
    <row r="85" spans="1:19" x14ac:dyDescent="0.3">
      <c r="A85">
        <v>82</v>
      </c>
      <c r="B85" t="s">
        <v>82</v>
      </c>
      <c r="C85" t="s">
        <v>78</v>
      </c>
      <c r="D85" t="s">
        <v>79</v>
      </c>
      <c r="E85" t="s">
        <v>31</v>
      </c>
      <c r="F85">
        <v>13</v>
      </c>
      <c r="G85" t="s">
        <v>114</v>
      </c>
      <c r="H85" t="b">
        <v>0</v>
      </c>
      <c r="I85" t="s">
        <v>55</v>
      </c>
      <c r="J85" t="s">
        <v>22</v>
      </c>
      <c r="K85" t="s">
        <v>32</v>
      </c>
      <c r="L85">
        <v>0.24</v>
      </c>
      <c r="M85" t="s">
        <v>40</v>
      </c>
      <c r="N85">
        <v>0.2273</v>
      </c>
      <c r="O85">
        <v>0.56000000000000005</v>
      </c>
      <c r="P85">
        <v>0.19400000000000001</v>
      </c>
      <c r="Q85">
        <v>18</v>
      </c>
      <c r="R85">
        <v>79</v>
      </c>
      <c r="S85">
        <v>97</v>
      </c>
    </row>
    <row r="86" spans="1:19" x14ac:dyDescent="0.3">
      <c r="A86">
        <v>83</v>
      </c>
      <c r="B86" t="s">
        <v>82</v>
      </c>
      <c r="C86" t="s">
        <v>78</v>
      </c>
      <c r="D86" t="s">
        <v>79</v>
      </c>
      <c r="E86" t="s">
        <v>31</v>
      </c>
      <c r="F86">
        <v>14</v>
      </c>
      <c r="G86" t="s">
        <v>114</v>
      </c>
      <c r="H86" t="b">
        <v>0</v>
      </c>
      <c r="I86" t="s">
        <v>55</v>
      </c>
      <c r="J86" t="s">
        <v>22</v>
      </c>
      <c r="K86" t="s">
        <v>32</v>
      </c>
      <c r="L86">
        <v>0.26</v>
      </c>
      <c r="M86" t="s">
        <v>41</v>
      </c>
      <c r="N86">
        <v>0.2576</v>
      </c>
      <c r="O86">
        <v>0.52</v>
      </c>
      <c r="P86">
        <v>0.22389999999999999</v>
      </c>
      <c r="Q86">
        <v>9</v>
      </c>
      <c r="R86">
        <v>54</v>
      </c>
      <c r="S86">
        <v>63</v>
      </c>
    </row>
    <row r="87" spans="1:19" x14ac:dyDescent="0.3">
      <c r="A87">
        <v>84</v>
      </c>
      <c r="B87" t="s">
        <v>82</v>
      </c>
      <c r="C87" t="s">
        <v>78</v>
      </c>
      <c r="D87" t="s">
        <v>79</v>
      </c>
      <c r="E87" t="s">
        <v>31</v>
      </c>
      <c r="F87">
        <v>15</v>
      </c>
      <c r="G87" t="s">
        <v>114</v>
      </c>
      <c r="H87" t="b">
        <v>0</v>
      </c>
      <c r="I87" t="s">
        <v>55</v>
      </c>
      <c r="J87" t="s">
        <v>22</v>
      </c>
      <c r="K87" t="s">
        <v>32</v>
      </c>
      <c r="L87">
        <v>0.28000000000000003</v>
      </c>
      <c r="M87" t="s">
        <v>41</v>
      </c>
      <c r="N87">
        <v>0.2727</v>
      </c>
      <c r="O87">
        <v>0.52</v>
      </c>
      <c r="P87">
        <v>0.25369999999999998</v>
      </c>
      <c r="Q87">
        <v>17</v>
      </c>
      <c r="R87">
        <v>48</v>
      </c>
      <c r="S87">
        <v>65</v>
      </c>
    </row>
    <row r="88" spans="1:19" x14ac:dyDescent="0.3">
      <c r="A88">
        <v>85</v>
      </c>
      <c r="B88" t="s">
        <v>82</v>
      </c>
      <c r="C88" t="s">
        <v>78</v>
      </c>
      <c r="D88" t="s">
        <v>79</v>
      </c>
      <c r="E88" t="s">
        <v>31</v>
      </c>
      <c r="F88">
        <v>16</v>
      </c>
      <c r="G88" t="s">
        <v>114</v>
      </c>
      <c r="H88" t="b">
        <v>0</v>
      </c>
      <c r="I88" t="s">
        <v>55</v>
      </c>
      <c r="J88" t="s">
        <v>22</v>
      </c>
      <c r="K88" t="s">
        <v>32</v>
      </c>
      <c r="L88">
        <v>0.3</v>
      </c>
      <c r="M88" t="s">
        <v>41</v>
      </c>
      <c r="N88">
        <v>0.28789999999999999</v>
      </c>
      <c r="O88">
        <v>0.49</v>
      </c>
      <c r="P88">
        <v>0.25369999999999998</v>
      </c>
      <c r="Q88">
        <v>15</v>
      </c>
      <c r="R88">
        <v>68</v>
      </c>
      <c r="S88">
        <v>83</v>
      </c>
    </row>
    <row r="89" spans="1:19" x14ac:dyDescent="0.3">
      <c r="A89">
        <v>86</v>
      </c>
      <c r="B89" t="s">
        <v>82</v>
      </c>
      <c r="C89" t="s">
        <v>78</v>
      </c>
      <c r="D89" t="s">
        <v>79</v>
      </c>
      <c r="E89" t="s">
        <v>31</v>
      </c>
      <c r="F89">
        <v>17</v>
      </c>
      <c r="G89" t="s">
        <v>114</v>
      </c>
      <c r="H89" t="b">
        <v>0</v>
      </c>
      <c r="I89" t="s">
        <v>55</v>
      </c>
      <c r="J89" t="s">
        <v>22</v>
      </c>
      <c r="K89" t="s">
        <v>32</v>
      </c>
      <c r="L89">
        <v>0.28000000000000003</v>
      </c>
      <c r="M89" t="s">
        <v>41</v>
      </c>
      <c r="N89">
        <v>0.2727</v>
      </c>
      <c r="O89">
        <v>0.48</v>
      </c>
      <c r="P89">
        <v>0.22389999999999999</v>
      </c>
      <c r="Q89">
        <v>10</v>
      </c>
      <c r="R89">
        <v>202</v>
      </c>
      <c r="S89">
        <v>212</v>
      </c>
    </row>
    <row r="90" spans="1:19" x14ac:dyDescent="0.3">
      <c r="A90">
        <v>87</v>
      </c>
      <c r="B90" t="s">
        <v>82</v>
      </c>
      <c r="C90" t="s">
        <v>78</v>
      </c>
      <c r="D90" t="s">
        <v>79</v>
      </c>
      <c r="E90" t="s">
        <v>31</v>
      </c>
      <c r="F90">
        <v>18</v>
      </c>
      <c r="G90" t="s">
        <v>113</v>
      </c>
      <c r="H90" t="b">
        <v>0</v>
      </c>
      <c r="I90" t="s">
        <v>55</v>
      </c>
      <c r="J90" t="s">
        <v>22</v>
      </c>
      <c r="K90" t="s">
        <v>32</v>
      </c>
      <c r="L90">
        <v>0.26</v>
      </c>
      <c r="M90" t="s">
        <v>41</v>
      </c>
      <c r="N90">
        <v>0.2576</v>
      </c>
      <c r="O90">
        <v>0.48</v>
      </c>
      <c r="P90">
        <v>0.19400000000000001</v>
      </c>
      <c r="Q90">
        <v>3</v>
      </c>
      <c r="R90">
        <v>179</v>
      </c>
      <c r="S90">
        <v>182</v>
      </c>
    </row>
    <row r="91" spans="1:19" x14ac:dyDescent="0.3">
      <c r="A91">
        <v>88</v>
      </c>
      <c r="B91" t="s">
        <v>82</v>
      </c>
      <c r="C91" t="s">
        <v>78</v>
      </c>
      <c r="D91" t="s">
        <v>79</v>
      </c>
      <c r="E91" t="s">
        <v>31</v>
      </c>
      <c r="F91">
        <v>19</v>
      </c>
      <c r="G91" t="s">
        <v>113</v>
      </c>
      <c r="H91" t="b">
        <v>0</v>
      </c>
      <c r="I91" t="s">
        <v>55</v>
      </c>
      <c r="J91" t="s">
        <v>22</v>
      </c>
      <c r="K91" t="s">
        <v>32</v>
      </c>
      <c r="L91">
        <v>0.24</v>
      </c>
      <c r="M91" t="s">
        <v>40</v>
      </c>
      <c r="N91">
        <v>0.2576</v>
      </c>
      <c r="O91">
        <v>0.48</v>
      </c>
      <c r="P91">
        <v>0.1045</v>
      </c>
      <c r="Q91">
        <v>2</v>
      </c>
      <c r="R91">
        <v>110</v>
      </c>
      <c r="S91">
        <v>112</v>
      </c>
    </row>
    <row r="92" spans="1:19" x14ac:dyDescent="0.3">
      <c r="A92">
        <v>89</v>
      </c>
      <c r="B92" t="s">
        <v>82</v>
      </c>
      <c r="C92" t="s">
        <v>78</v>
      </c>
      <c r="D92" t="s">
        <v>79</v>
      </c>
      <c r="E92" t="s">
        <v>31</v>
      </c>
      <c r="F92">
        <v>20</v>
      </c>
      <c r="G92" t="s">
        <v>113</v>
      </c>
      <c r="H92" t="b">
        <v>0</v>
      </c>
      <c r="I92" t="s">
        <v>55</v>
      </c>
      <c r="J92" t="s">
        <v>22</v>
      </c>
      <c r="K92" t="s">
        <v>32</v>
      </c>
      <c r="L92">
        <v>0.24</v>
      </c>
      <c r="M92" t="s">
        <v>40</v>
      </c>
      <c r="N92">
        <v>0.2576</v>
      </c>
      <c r="O92">
        <v>0.48</v>
      </c>
      <c r="P92">
        <v>0.1045</v>
      </c>
      <c r="Q92">
        <v>1</v>
      </c>
      <c r="R92">
        <v>53</v>
      </c>
      <c r="S92">
        <v>54</v>
      </c>
    </row>
    <row r="93" spans="1:19" x14ac:dyDescent="0.3">
      <c r="A93">
        <v>90</v>
      </c>
      <c r="B93" t="s">
        <v>82</v>
      </c>
      <c r="C93" t="s">
        <v>78</v>
      </c>
      <c r="D93" t="s">
        <v>79</v>
      </c>
      <c r="E93" t="s">
        <v>31</v>
      </c>
      <c r="F93">
        <v>21</v>
      </c>
      <c r="G93" t="s">
        <v>113</v>
      </c>
      <c r="H93" t="b">
        <v>0</v>
      </c>
      <c r="I93" t="s">
        <v>55</v>
      </c>
      <c r="J93" t="s">
        <v>22</v>
      </c>
      <c r="K93" t="s">
        <v>32</v>
      </c>
      <c r="L93">
        <v>0.22</v>
      </c>
      <c r="M93" t="s">
        <v>40</v>
      </c>
      <c r="N93">
        <v>0.2727</v>
      </c>
      <c r="O93">
        <v>0.64</v>
      </c>
      <c r="P93">
        <v>0</v>
      </c>
      <c r="Q93">
        <v>0</v>
      </c>
      <c r="R93">
        <v>48</v>
      </c>
      <c r="S93">
        <v>48</v>
      </c>
    </row>
    <row r="94" spans="1:19" x14ac:dyDescent="0.3">
      <c r="A94">
        <v>91</v>
      </c>
      <c r="B94" t="s">
        <v>82</v>
      </c>
      <c r="C94" t="s">
        <v>78</v>
      </c>
      <c r="D94" t="s">
        <v>79</v>
      </c>
      <c r="E94" t="s">
        <v>31</v>
      </c>
      <c r="F94">
        <v>22</v>
      </c>
      <c r="G94" t="s">
        <v>113</v>
      </c>
      <c r="H94" t="b">
        <v>0</v>
      </c>
      <c r="I94" t="s">
        <v>55</v>
      </c>
      <c r="J94" t="s">
        <v>22</v>
      </c>
      <c r="K94" t="s">
        <v>32</v>
      </c>
      <c r="L94">
        <v>0.22</v>
      </c>
      <c r="M94" t="s">
        <v>40</v>
      </c>
      <c r="N94">
        <v>0.2576</v>
      </c>
      <c r="O94">
        <v>0.64</v>
      </c>
      <c r="P94">
        <v>8.9599999999999999E-2</v>
      </c>
      <c r="Q94">
        <v>1</v>
      </c>
      <c r="R94">
        <v>34</v>
      </c>
      <c r="S94">
        <v>35</v>
      </c>
    </row>
    <row r="95" spans="1:19" x14ac:dyDescent="0.3">
      <c r="A95">
        <v>92</v>
      </c>
      <c r="B95" t="s">
        <v>82</v>
      </c>
      <c r="C95" t="s">
        <v>78</v>
      </c>
      <c r="D95" t="s">
        <v>79</v>
      </c>
      <c r="E95" t="s">
        <v>31</v>
      </c>
      <c r="F95">
        <v>23</v>
      </c>
      <c r="G95" t="s">
        <v>113</v>
      </c>
      <c r="H95" t="b">
        <v>0</v>
      </c>
      <c r="I95" t="s">
        <v>55</v>
      </c>
      <c r="J95" t="s">
        <v>22</v>
      </c>
      <c r="K95" t="s">
        <v>32</v>
      </c>
      <c r="L95">
        <v>0.2</v>
      </c>
      <c r="M95" t="s">
        <v>40</v>
      </c>
      <c r="N95">
        <v>0.2273</v>
      </c>
      <c r="O95">
        <v>0.69</v>
      </c>
      <c r="P95">
        <v>8.9599999999999999E-2</v>
      </c>
      <c r="Q95">
        <v>2</v>
      </c>
      <c r="R95">
        <v>9</v>
      </c>
      <c r="S95">
        <v>11</v>
      </c>
    </row>
    <row r="96" spans="1:19" x14ac:dyDescent="0.3">
      <c r="A96">
        <v>93</v>
      </c>
      <c r="B96" t="s">
        <v>83</v>
      </c>
      <c r="C96" t="s">
        <v>78</v>
      </c>
      <c r="D96" t="s">
        <v>79</v>
      </c>
      <c r="E96" t="s">
        <v>31</v>
      </c>
      <c r="F96">
        <v>0</v>
      </c>
      <c r="G96" t="s">
        <v>116</v>
      </c>
      <c r="H96" t="b">
        <v>0</v>
      </c>
      <c r="I96" t="s">
        <v>56</v>
      </c>
      <c r="J96" t="s">
        <v>22</v>
      </c>
      <c r="K96" t="s">
        <v>32</v>
      </c>
      <c r="L96">
        <v>0.2</v>
      </c>
      <c r="M96" t="s">
        <v>40</v>
      </c>
      <c r="N96">
        <v>0.2576</v>
      </c>
      <c r="O96">
        <v>0.64</v>
      </c>
      <c r="P96">
        <v>0</v>
      </c>
      <c r="Q96">
        <v>0</v>
      </c>
      <c r="R96">
        <v>6</v>
      </c>
      <c r="S96">
        <v>6</v>
      </c>
    </row>
    <row r="97" spans="1:19" x14ac:dyDescent="0.3">
      <c r="A97">
        <v>94</v>
      </c>
      <c r="B97" t="s">
        <v>83</v>
      </c>
      <c r="C97" t="s">
        <v>78</v>
      </c>
      <c r="D97" t="s">
        <v>79</v>
      </c>
      <c r="E97" t="s">
        <v>31</v>
      </c>
      <c r="F97">
        <v>1</v>
      </c>
      <c r="G97" t="s">
        <v>116</v>
      </c>
      <c r="H97" t="b">
        <v>0</v>
      </c>
      <c r="I97" t="s">
        <v>56</v>
      </c>
      <c r="J97" t="s">
        <v>22</v>
      </c>
      <c r="K97" t="s">
        <v>32</v>
      </c>
      <c r="L97">
        <v>0.16</v>
      </c>
      <c r="M97" t="s">
        <v>40</v>
      </c>
      <c r="N97">
        <v>0.19700000000000001</v>
      </c>
      <c r="O97">
        <v>0.74</v>
      </c>
      <c r="P97">
        <v>8.9599999999999999E-2</v>
      </c>
      <c r="Q97">
        <v>0</v>
      </c>
      <c r="R97">
        <v>6</v>
      </c>
      <c r="S97">
        <v>6</v>
      </c>
    </row>
    <row r="98" spans="1:19" x14ac:dyDescent="0.3">
      <c r="A98">
        <v>95</v>
      </c>
      <c r="B98" t="s">
        <v>83</v>
      </c>
      <c r="C98" t="s">
        <v>78</v>
      </c>
      <c r="D98" t="s">
        <v>79</v>
      </c>
      <c r="E98" t="s">
        <v>31</v>
      </c>
      <c r="F98">
        <v>2</v>
      </c>
      <c r="G98" t="s">
        <v>116</v>
      </c>
      <c r="H98" t="b">
        <v>0</v>
      </c>
      <c r="I98" t="s">
        <v>56</v>
      </c>
      <c r="J98" t="s">
        <v>22</v>
      </c>
      <c r="K98" t="s">
        <v>32</v>
      </c>
      <c r="L98">
        <v>0.16</v>
      </c>
      <c r="M98" t="s">
        <v>40</v>
      </c>
      <c r="N98">
        <v>0.19700000000000001</v>
      </c>
      <c r="O98">
        <v>0.74</v>
      </c>
      <c r="P98">
        <v>8.9599999999999999E-2</v>
      </c>
      <c r="Q98">
        <v>0</v>
      </c>
      <c r="R98">
        <v>2</v>
      </c>
      <c r="S98">
        <v>2</v>
      </c>
    </row>
    <row r="99" spans="1:19" x14ac:dyDescent="0.3">
      <c r="A99">
        <v>96</v>
      </c>
      <c r="B99" t="s">
        <v>83</v>
      </c>
      <c r="C99" t="s">
        <v>78</v>
      </c>
      <c r="D99" t="s">
        <v>79</v>
      </c>
      <c r="E99" t="s">
        <v>31</v>
      </c>
      <c r="F99">
        <v>4</v>
      </c>
      <c r="G99" t="s">
        <v>116</v>
      </c>
      <c r="H99" t="b">
        <v>0</v>
      </c>
      <c r="I99" t="s">
        <v>56</v>
      </c>
      <c r="J99" t="s">
        <v>22</v>
      </c>
      <c r="K99" t="s">
        <v>32</v>
      </c>
      <c r="L99">
        <v>0.24</v>
      </c>
      <c r="M99" t="s">
        <v>40</v>
      </c>
      <c r="N99">
        <v>0.2273</v>
      </c>
      <c r="O99">
        <v>0.48</v>
      </c>
      <c r="P99">
        <v>0.22389999999999999</v>
      </c>
      <c r="Q99">
        <v>0</v>
      </c>
      <c r="R99">
        <v>2</v>
      </c>
      <c r="S99">
        <v>2</v>
      </c>
    </row>
    <row r="100" spans="1:19" x14ac:dyDescent="0.3">
      <c r="A100">
        <v>97</v>
      </c>
      <c r="B100" t="s">
        <v>83</v>
      </c>
      <c r="C100" t="s">
        <v>78</v>
      </c>
      <c r="D100" t="s">
        <v>79</v>
      </c>
      <c r="E100" t="s">
        <v>31</v>
      </c>
      <c r="F100">
        <v>5</v>
      </c>
      <c r="G100" t="s">
        <v>116</v>
      </c>
      <c r="H100" t="b">
        <v>0</v>
      </c>
      <c r="I100" t="s">
        <v>56</v>
      </c>
      <c r="J100" t="s">
        <v>22</v>
      </c>
      <c r="K100" t="s">
        <v>32</v>
      </c>
      <c r="L100">
        <v>0.22</v>
      </c>
      <c r="M100" t="s">
        <v>40</v>
      </c>
      <c r="N100">
        <v>0.2273</v>
      </c>
      <c r="O100">
        <v>0.47</v>
      </c>
      <c r="P100">
        <v>0.16420000000000001</v>
      </c>
      <c r="Q100">
        <v>0</v>
      </c>
      <c r="R100">
        <v>3</v>
      </c>
      <c r="S100">
        <v>3</v>
      </c>
    </row>
    <row r="101" spans="1:19" x14ac:dyDescent="0.3">
      <c r="A101">
        <v>98</v>
      </c>
      <c r="B101" t="s">
        <v>83</v>
      </c>
      <c r="C101" t="s">
        <v>78</v>
      </c>
      <c r="D101" t="s">
        <v>79</v>
      </c>
      <c r="E101" t="s">
        <v>31</v>
      </c>
      <c r="F101">
        <v>6</v>
      </c>
      <c r="G101" t="s">
        <v>115</v>
      </c>
      <c r="H101" t="b">
        <v>0</v>
      </c>
      <c r="I101" t="s">
        <v>56</v>
      </c>
      <c r="J101" t="s">
        <v>22</v>
      </c>
      <c r="K101" t="s">
        <v>32</v>
      </c>
      <c r="L101">
        <v>0.2</v>
      </c>
      <c r="M101" t="s">
        <v>40</v>
      </c>
      <c r="N101">
        <v>0.19700000000000001</v>
      </c>
      <c r="O101">
        <v>0.47</v>
      </c>
      <c r="P101">
        <v>0.22389999999999999</v>
      </c>
      <c r="Q101">
        <v>0</v>
      </c>
      <c r="R101">
        <v>33</v>
      </c>
      <c r="S101">
        <v>33</v>
      </c>
    </row>
    <row r="102" spans="1:19" x14ac:dyDescent="0.3">
      <c r="A102">
        <v>99</v>
      </c>
      <c r="B102" t="s">
        <v>83</v>
      </c>
      <c r="C102" t="s">
        <v>78</v>
      </c>
      <c r="D102" t="s">
        <v>79</v>
      </c>
      <c r="E102" t="s">
        <v>31</v>
      </c>
      <c r="F102">
        <v>7</v>
      </c>
      <c r="G102" t="s">
        <v>115</v>
      </c>
      <c r="H102" t="b">
        <v>0</v>
      </c>
      <c r="I102" t="s">
        <v>56</v>
      </c>
      <c r="J102" t="s">
        <v>22</v>
      </c>
      <c r="K102" t="s">
        <v>32</v>
      </c>
      <c r="L102">
        <v>0.18</v>
      </c>
      <c r="M102" t="s">
        <v>40</v>
      </c>
      <c r="N102">
        <v>0.18179999999999999</v>
      </c>
      <c r="O102">
        <v>0.43</v>
      </c>
      <c r="P102">
        <v>0.19400000000000001</v>
      </c>
      <c r="Q102">
        <v>1</v>
      </c>
      <c r="R102">
        <v>87</v>
      </c>
      <c r="S102">
        <v>88</v>
      </c>
    </row>
    <row r="103" spans="1:19" x14ac:dyDescent="0.3">
      <c r="A103">
        <v>100</v>
      </c>
      <c r="B103" t="s">
        <v>83</v>
      </c>
      <c r="C103" t="s">
        <v>78</v>
      </c>
      <c r="D103" t="s">
        <v>79</v>
      </c>
      <c r="E103" t="s">
        <v>31</v>
      </c>
      <c r="F103">
        <v>8</v>
      </c>
      <c r="G103" t="s">
        <v>115</v>
      </c>
      <c r="H103" t="b">
        <v>0</v>
      </c>
      <c r="I103" t="s">
        <v>56</v>
      </c>
      <c r="J103" t="s">
        <v>22</v>
      </c>
      <c r="K103" t="s">
        <v>32</v>
      </c>
      <c r="L103">
        <v>0.2</v>
      </c>
      <c r="M103" t="s">
        <v>40</v>
      </c>
      <c r="N103">
        <v>0.18179999999999999</v>
      </c>
      <c r="O103">
        <v>0.4</v>
      </c>
      <c r="P103">
        <v>0.29849999999999999</v>
      </c>
      <c r="Q103">
        <v>3</v>
      </c>
      <c r="R103">
        <v>192</v>
      </c>
      <c r="S103">
        <v>195</v>
      </c>
    </row>
    <row r="104" spans="1:19" x14ac:dyDescent="0.3">
      <c r="A104">
        <v>101</v>
      </c>
      <c r="B104" t="s">
        <v>83</v>
      </c>
      <c r="C104" t="s">
        <v>78</v>
      </c>
      <c r="D104" t="s">
        <v>79</v>
      </c>
      <c r="E104" t="s">
        <v>31</v>
      </c>
      <c r="F104">
        <v>9</v>
      </c>
      <c r="G104" t="s">
        <v>115</v>
      </c>
      <c r="H104" t="b">
        <v>0</v>
      </c>
      <c r="I104" t="s">
        <v>56</v>
      </c>
      <c r="J104" t="s">
        <v>22</v>
      </c>
      <c r="K104" t="s">
        <v>32</v>
      </c>
      <c r="L104">
        <v>0.22</v>
      </c>
      <c r="M104" t="s">
        <v>40</v>
      </c>
      <c r="N104">
        <v>0.19700000000000001</v>
      </c>
      <c r="O104">
        <v>0.37</v>
      </c>
      <c r="P104">
        <v>0.32840000000000003</v>
      </c>
      <c r="Q104">
        <v>6</v>
      </c>
      <c r="R104">
        <v>109</v>
      </c>
      <c r="S104">
        <v>115</v>
      </c>
    </row>
    <row r="105" spans="1:19" x14ac:dyDescent="0.3">
      <c r="A105">
        <v>102</v>
      </c>
      <c r="B105" t="s">
        <v>83</v>
      </c>
      <c r="C105" t="s">
        <v>78</v>
      </c>
      <c r="D105" t="s">
        <v>79</v>
      </c>
      <c r="E105" t="s">
        <v>31</v>
      </c>
      <c r="F105">
        <v>10</v>
      </c>
      <c r="G105" t="s">
        <v>115</v>
      </c>
      <c r="H105" t="b">
        <v>0</v>
      </c>
      <c r="I105" t="s">
        <v>56</v>
      </c>
      <c r="J105" t="s">
        <v>22</v>
      </c>
      <c r="K105" t="s">
        <v>32</v>
      </c>
      <c r="L105">
        <v>0.22</v>
      </c>
      <c r="M105" t="s">
        <v>40</v>
      </c>
      <c r="N105">
        <v>0.19700000000000001</v>
      </c>
      <c r="O105">
        <v>0.37</v>
      </c>
      <c r="P105">
        <v>0.32840000000000003</v>
      </c>
      <c r="Q105">
        <v>4</v>
      </c>
      <c r="R105">
        <v>53</v>
      </c>
      <c r="S105">
        <v>57</v>
      </c>
    </row>
    <row r="106" spans="1:19" x14ac:dyDescent="0.3">
      <c r="A106">
        <v>103</v>
      </c>
      <c r="B106" t="s">
        <v>83</v>
      </c>
      <c r="C106" t="s">
        <v>78</v>
      </c>
      <c r="D106" t="s">
        <v>79</v>
      </c>
      <c r="E106" t="s">
        <v>31</v>
      </c>
      <c r="F106">
        <v>11</v>
      </c>
      <c r="G106" t="s">
        <v>115</v>
      </c>
      <c r="H106" t="b">
        <v>0</v>
      </c>
      <c r="I106" t="s">
        <v>56</v>
      </c>
      <c r="J106" t="s">
        <v>22</v>
      </c>
      <c r="K106" t="s">
        <v>32</v>
      </c>
      <c r="L106">
        <v>0.26</v>
      </c>
      <c r="M106" t="s">
        <v>41</v>
      </c>
      <c r="N106">
        <v>0.2273</v>
      </c>
      <c r="O106">
        <v>0.33</v>
      </c>
      <c r="P106">
        <v>0.32840000000000003</v>
      </c>
      <c r="Q106">
        <v>12</v>
      </c>
      <c r="R106">
        <v>34</v>
      </c>
      <c r="S106">
        <v>46</v>
      </c>
    </row>
    <row r="107" spans="1:19" x14ac:dyDescent="0.3">
      <c r="A107">
        <v>104</v>
      </c>
      <c r="B107" t="s">
        <v>83</v>
      </c>
      <c r="C107" t="s">
        <v>78</v>
      </c>
      <c r="D107" t="s">
        <v>79</v>
      </c>
      <c r="E107" t="s">
        <v>31</v>
      </c>
      <c r="F107">
        <v>12</v>
      </c>
      <c r="G107" t="s">
        <v>114</v>
      </c>
      <c r="H107" t="b">
        <v>0</v>
      </c>
      <c r="I107" t="s">
        <v>56</v>
      </c>
      <c r="J107" t="s">
        <v>22</v>
      </c>
      <c r="K107" t="s">
        <v>32</v>
      </c>
      <c r="L107">
        <v>0.26</v>
      </c>
      <c r="M107" t="s">
        <v>41</v>
      </c>
      <c r="N107">
        <v>0.2273</v>
      </c>
      <c r="O107">
        <v>0.33</v>
      </c>
      <c r="P107">
        <v>0.32840000000000003</v>
      </c>
      <c r="Q107">
        <v>5</v>
      </c>
      <c r="R107">
        <v>74</v>
      </c>
      <c r="S107">
        <v>79</v>
      </c>
    </row>
    <row r="108" spans="1:19" x14ac:dyDescent="0.3">
      <c r="A108">
        <v>105</v>
      </c>
      <c r="B108" t="s">
        <v>83</v>
      </c>
      <c r="C108" t="s">
        <v>78</v>
      </c>
      <c r="D108" t="s">
        <v>79</v>
      </c>
      <c r="E108" t="s">
        <v>31</v>
      </c>
      <c r="F108">
        <v>13</v>
      </c>
      <c r="G108" t="s">
        <v>114</v>
      </c>
      <c r="H108" t="b">
        <v>0</v>
      </c>
      <c r="I108" t="s">
        <v>56</v>
      </c>
      <c r="J108" t="s">
        <v>22</v>
      </c>
      <c r="K108" t="s">
        <v>32</v>
      </c>
      <c r="L108">
        <v>0.28000000000000003</v>
      </c>
      <c r="M108" t="s">
        <v>41</v>
      </c>
      <c r="N108">
        <v>0.2576</v>
      </c>
      <c r="O108">
        <v>0.3</v>
      </c>
      <c r="P108">
        <v>0.29849999999999999</v>
      </c>
      <c r="Q108">
        <v>6</v>
      </c>
      <c r="R108">
        <v>65</v>
      </c>
      <c r="S108">
        <v>71</v>
      </c>
    </row>
    <row r="109" spans="1:19" x14ac:dyDescent="0.3">
      <c r="A109">
        <v>106</v>
      </c>
      <c r="B109" t="s">
        <v>83</v>
      </c>
      <c r="C109" t="s">
        <v>78</v>
      </c>
      <c r="D109" t="s">
        <v>79</v>
      </c>
      <c r="E109" t="s">
        <v>31</v>
      </c>
      <c r="F109">
        <v>14</v>
      </c>
      <c r="G109" t="s">
        <v>114</v>
      </c>
      <c r="H109" t="b">
        <v>0</v>
      </c>
      <c r="I109" t="s">
        <v>56</v>
      </c>
      <c r="J109" t="s">
        <v>22</v>
      </c>
      <c r="K109" t="s">
        <v>32</v>
      </c>
      <c r="L109">
        <v>0.3</v>
      </c>
      <c r="M109" t="s">
        <v>41</v>
      </c>
      <c r="N109">
        <v>0.28789999999999999</v>
      </c>
      <c r="O109">
        <v>0.28000000000000003</v>
      </c>
      <c r="P109">
        <v>0.19400000000000001</v>
      </c>
      <c r="Q109">
        <v>10</v>
      </c>
      <c r="R109">
        <v>52</v>
      </c>
      <c r="S109">
        <v>62</v>
      </c>
    </row>
    <row r="110" spans="1:19" x14ac:dyDescent="0.3">
      <c r="A110">
        <v>107</v>
      </c>
      <c r="B110" t="s">
        <v>83</v>
      </c>
      <c r="C110" t="s">
        <v>78</v>
      </c>
      <c r="D110" t="s">
        <v>79</v>
      </c>
      <c r="E110" t="s">
        <v>31</v>
      </c>
      <c r="F110">
        <v>15</v>
      </c>
      <c r="G110" t="s">
        <v>114</v>
      </c>
      <c r="H110" t="b">
        <v>0</v>
      </c>
      <c r="I110" t="s">
        <v>56</v>
      </c>
      <c r="J110" t="s">
        <v>22</v>
      </c>
      <c r="K110" t="s">
        <v>32</v>
      </c>
      <c r="L110">
        <v>0.3</v>
      </c>
      <c r="M110" t="s">
        <v>41</v>
      </c>
      <c r="N110">
        <v>0.28789999999999999</v>
      </c>
      <c r="O110">
        <v>0.28000000000000003</v>
      </c>
      <c r="P110">
        <v>0.19400000000000001</v>
      </c>
      <c r="Q110">
        <v>7</v>
      </c>
      <c r="R110">
        <v>55</v>
      </c>
      <c r="S110">
        <v>62</v>
      </c>
    </row>
    <row r="111" spans="1:19" x14ac:dyDescent="0.3">
      <c r="A111">
        <v>108</v>
      </c>
      <c r="B111" t="s">
        <v>83</v>
      </c>
      <c r="C111" t="s">
        <v>78</v>
      </c>
      <c r="D111" t="s">
        <v>79</v>
      </c>
      <c r="E111" t="s">
        <v>31</v>
      </c>
      <c r="F111">
        <v>16</v>
      </c>
      <c r="G111" t="s">
        <v>114</v>
      </c>
      <c r="H111" t="b">
        <v>0</v>
      </c>
      <c r="I111" t="s">
        <v>56</v>
      </c>
      <c r="J111" t="s">
        <v>22</v>
      </c>
      <c r="K111" t="s">
        <v>32</v>
      </c>
      <c r="L111">
        <v>0.3</v>
      </c>
      <c r="M111" t="s">
        <v>41</v>
      </c>
      <c r="N111">
        <v>0.31819999999999998</v>
      </c>
      <c r="O111">
        <v>0.28000000000000003</v>
      </c>
      <c r="P111">
        <v>8.9599999999999999E-2</v>
      </c>
      <c r="Q111">
        <v>4</v>
      </c>
      <c r="R111">
        <v>85</v>
      </c>
      <c r="S111">
        <v>89</v>
      </c>
    </row>
    <row r="112" spans="1:19" x14ac:dyDescent="0.3">
      <c r="A112">
        <v>109</v>
      </c>
      <c r="B112" t="s">
        <v>83</v>
      </c>
      <c r="C112" t="s">
        <v>78</v>
      </c>
      <c r="D112" t="s">
        <v>79</v>
      </c>
      <c r="E112" t="s">
        <v>31</v>
      </c>
      <c r="F112">
        <v>17</v>
      </c>
      <c r="G112" t="s">
        <v>114</v>
      </c>
      <c r="H112" t="b">
        <v>0</v>
      </c>
      <c r="I112" t="s">
        <v>56</v>
      </c>
      <c r="J112" t="s">
        <v>22</v>
      </c>
      <c r="K112" t="s">
        <v>32</v>
      </c>
      <c r="L112">
        <v>0.24</v>
      </c>
      <c r="M112" t="s">
        <v>40</v>
      </c>
      <c r="N112">
        <v>0.2273</v>
      </c>
      <c r="O112">
        <v>0.38</v>
      </c>
      <c r="P112">
        <v>0.19400000000000001</v>
      </c>
      <c r="Q112">
        <v>4</v>
      </c>
      <c r="R112">
        <v>186</v>
      </c>
      <c r="S112">
        <v>190</v>
      </c>
    </row>
    <row r="113" spans="1:19" x14ac:dyDescent="0.3">
      <c r="A113">
        <v>110</v>
      </c>
      <c r="B113" t="s">
        <v>83</v>
      </c>
      <c r="C113" t="s">
        <v>78</v>
      </c>
      <c r="D113" t="s">
        <v>79</v>
      </c>
      <c r="E113" t="s">
        <v>31</v>
      </c>
      <c r="F113">
        <v>18</v>
      </c>
      <c r="G113" t="s">
        <v>113</v>
      </c>
      <c r="H113" t="b">
        <v>0</v>
      </c>
      <c r="I113" t="s">
        <v>56</v>
      </c>
      <c r="J113" t="s">
        <v>22</v>
      </c>
      <c r="K113" t="s">
        <v>32</v>
      </c>
      <c r="L113">
        <v>0.24</v>
      </c>
      <c r="M113" t="s">
        <v>40</v>
      </c>
      <c r="N113">
        <v>0.2424</v>
      </c>
      <c r="O113">
        <v>0.38</v>
      </c>
      <c r="P113">
        <v>0.1343</v>
      </c>
      <c r="Q113">
        <v>3</v>
      </c>
      <c r="R113">
        <v>166</v>
      </c>
      <c r="S113">
        <v>169</v>
      </c>
    </row>
    <row r="114" spans="1:19" x14ac:dyDescent="0.3">
      <c r="A114">
        <v>111</v>
      </c>
      <c r="B114" t="s">
        <v>83</v>
      </c>
      <c r="C114" t="s">
        <v>78</v>
      </c>
      <c r="D114" t="s">
        <v>79</v>
      </c>
      <c r="E114" t="s">
        <v>31</v>
      </c>
      <c r="F114">
        <v>19</v>
      </c>
      <c r="G114" t="s">
        <v>113</v>
      </c>
      <c r="H114" t="b">
        <v>0</v>
      </c>
      <c r="I114" t="s">
        <v>56</v>
      </c>
      <c r="J114" t="s">
        <v>22</v>
      </c>
      <c r="K114" t="s">
        <v>32</v>
      </c>
      <c r="L114">
        <v>0.24</v>
      </c>
      <c r="M114" t="s">
        <v>40</v>
      </c>
      <c r="N114">
        <v>0.2576</v>
      </c>
      <c r="O114">
        <v>0.38</v>
      </c>
      <c r="P114">
        <v>0.1045</v>
      </c>
      <c r="Q114">
        <v>5</v>
      </c>
      <c r="R114">
        <v>127</v>
      </c>
      <c r="S114">
        <v>132</v>
      </c>
    </row>
    <row r="115" spans="1:19" x14ac:dyDescent="0.3">
      <c r="A115">
        <v>112</v>
      </c>
      <c r="B115" t="s">
        <v>83</v>
      </c>
      <c r="C115" t="s">
        <v>78</v>
      </c>
      <c r="D115" t="s">
        <v>79</v>
      </c>
      <c r="E115" t="s">
        <v>31</v>
      </c>
      <c r="F115">
        <v>20</v>
      </c>
      <c r="G115" t="s">
        <v>113</v>
      </c>
      <c r="H115" t="b">
        <v>0</v>
      </c>
      <c r="I115" t="s">
        <v>56</v>
      </c>
      <c r="J115" t="s">
        <v>22</v>
      </c>
      <c r="K115" t="s">
        <v>32</v>
      </c>
      <c r="L115">
        <v>0.22</v>
      </c>
      <c r="M115" t="s">
        <v>40</v>
      </c>
      <c r="N115">
        <v>0.2273</v>
      </c>
      <c r="O115">
        <v>0.47</v>
      </c>
      <c r="P115">
        <v>0.16420000000000001</v>
      </c>
      <c r="Q115">
        <v>7</v>
      </c>
      <c r="R115">
        <v>82</v>
      </c>
      <c r="S115">
        <v>89</v>
      </c>
    </row>
    <row r="116" spans="1:19" x14ac:dyDescent="0.3">
      <c r="A116">
        <v>113</v>
      </c>
      <c r="B116" t="s">
        <v>83</v>
      </c>
      <c r="C116" t="s">
        <v>78</v>
      </c>
      <c r="D116" t="s">
        <v>79</v>
      </c>
      <c r="E116" t="s">
        <v>31</v>
      </c>
      <c r="F116">
        <v>21</v>
      </c>
      <c r="G116" t="s">
        <v>113</v>
      </c>
      <c r="H116" t="b">
        <v>0</v>
      </c>
      <c r="I116" t="s">
        <v>56</v>
      </c>
      <c r="J116" t="s">
        <v>22</v>
      </c>
      <c r="K116" t="s">
        <v>32</v>
      </c>
      <c r="L116">
        <v>0.2</v>
      </c>
      <c r="M116" t="s">
        <v>40</v>
      </c>
      <c r="N116">
        <v>0.19700000000000001</v>
      </c>
      <c r="O116">
        <v>0.51</v>
      </c>
      <c r="P116">
        <v>0.19400000000000001</v>
      </c>
      <c r="Q116">
        <v>3</v>
      </c>
      <c r="R116">
        <v>40</v>
      </c>
      <c r="S116">
        <v>43</v>
      </c>
    </row>
    <row r="117" spans="1:19" x14ac:dyDescent="0.3">
      <c r="A117">
        <v>114</v>
      </c>
      <c r="B117" t="s">
        <v>83</v>
      </c>
      <c r="C117" t="s">
        <v>78</v>
      </c>
      <c r="D117" t="s">
        <v>79</v>
      </c>
      <c r="E117" t="s">
        <v>31</v>
      </c>
      <c r="F117">
        <v>22</v>
      </c>
      <c r="G117" t="s">
        <v>113</v>
      </c>
      <c r="H117" t="b">
        <v>0</v>
      </c>
      <c r="I117" t="s">
        <v>56</v>
      </c>
      <c r="J117" t="s">
        <v>22</v>
      </c>
      <c r="K117" t="s">
        <v>32</v>
      </c>
      <c r="L117">
        <v>0.18</v>
      </c>
      <c r="M117" t="s">
        <v>40</v>
      </c>
      <c r="N117">
        <v>0.19700000000000001</v>
      </c>
      <c r="O117">
        <v>0.55000000000000004</v>
      </c>
      <c r="P117">
        <v>0.1343</v>
      </c>
      <c r="Q117">
        <v>1</v>
      </c>
      <c r="R117">
        <v>41</v>
      </c>
      <c r="S117">
        <v>42</v>
      </c>
    </row>
    <row r="118" spans="1:19" x14ac:dyDescent="0.3">
      <c r="A118">
        <v>115</v>
      </c>
      <c r="B118" t="s">
        <v>83</v>
      </c>
      <c r="C118" t="s">
        <v>78</v>
      </c>
      <c r="D118" t="s">
        <v>79</v>
      </c>
      <c r="E118" t="s">
        <v>31</v>
      </c>
      <c r="F118">
        <v>23</v>
      </c>
      <c r="G118" t="s">
        <v>113</v>
      </c>
      <c r="H118" t="b">
        <v>0</v>
      </c>
      <c r="I118" t="s">
        <v>56</v>
      </c>
      <c r="J118" t="s">
        <v>22</v>
      </c>
      <c r="K118" t="s">
        <v>32</v>
      </c>
      <c r="L118">
        <v>0.2</v>
      </c>
      <c r="M118" t="s">
        <v>40</v>
      </c>
      <c r="N118">
        <v>0.2576</v>
      </c>
      <c r="O118">
        <v>0.47</v>
      </c>
      <c r="P118">
        <v>0</v>
      </c>
      <c r="Q118">
        <v>1</v>
      </c>
      <c r="R118">
        <v>18</v>
      </c>
      <c r="S118">
        <v>19</v>
      </c>
    </row>
    <row r="119" spans="1:19" x14ac:dyDescent="0.3">
      <c r="A119">
        <v>116</v>
      </c>
      <c r="B119" t="s">
        <v>84</v>
      </c>
      <c r="C119" t="s">
        <v>78</v>
      </c>
      <c r="D119" t="s">
        <v>79</v>
      </c>
      <c r="E119" t="s">
        <v>31</v>
      </c>
      <c r="F119">
        <v>0</v>
      </c>
      <c r="G119" t="s">
        <v>116</v>
      </c>
      <c r="H119" t="b">
        <v>0</v>
      </c>
      <c r="I119" t="s">
        <v>57</v>
      </c>
      <c r="J119" t="s">
        <v>22</v>
      </c>
      <c r="K119" t="s">
        <v>32</v>
      </c>
      <c r="L119">
        <v>0.18</v>
      </c>
      <c r="M119" t="s">
        <v>40</v>
      </c>
      <c r="N119">
        <v>0.2424</v>
      </c>
      <c r="O119">
        <v>0.55000000000000004</v>
      </c>
      <c r="P119">
        <v>0</v>
      </c>
      <c r="Q119">
        <v>0</v>
      </c>
      <c r="R119">
        <v>11</v>
      </c>
      <c r="S119">
        <v>11</v>
      </c>
    </row>
    <row r="120" spans="1:19" x14ac:dyDescent="0.3">
      <c r="A120">
        <v>117</v>
      </c>
      <c r="B120" t="s">
        <v>84</v>
      </c>
      <c r="C120" t="s">
        <v>78</v>
      </c>
      <c r="D120" t="s">
        <v>79</v>
      </c>
      <c r="E120" t="s">
        <v>31</v>
      </c>
      <c r="F120">
        <v>1</v>
      </c>
      <c r="G120" t="s">
        <v>116</v>
      </c>
      <c r="H120" t="b">
        <v>0</v>
      </c>
      <c r="I120" t="s">
        <v>57</v>
      </c>
      <c r="J120" t="s">
        <v>22</v>
      </c>
      <c r="K120" t="s">
        <v>32</v>
      </c>
      <c r="L120">
        <v>0.16</v>
      </c>
      <c r="M120" t="s">
        <v>40</v>
      </c>
      <c r="N120">
        <v>0.2273</v>
      </c>
      <c r="O120">
        <v>0.64</v>
      </c>
      <c r="P120">
        <v>0</v>
      </c>
      <c r="Q120">
        <v>0</v>
      </c>
      <c r="R120">
        <v>4</v>
      </c>
      <c r="S120">
        <v>4</v>
      </c>
    </row>
    <row r="121" spans="1:19" x14ac:dyDescent="0.3">
      <c r="A121">
        <v>118</v>
      </c>
      <c r="B121" t="s">
        <v>84</v>
      </c>
      <c r="C121" t="s">
        <v>78</v>
      </c>
      <c r="D121" t="s">
        <v>79</v>
      </c>
      <c r="E121" t="s">
        <v>31</v>
      </c>
      <c r="F121">
        <v>2</v>
      </c>
      <c r="G121" t="s">
        <v>116</v>
      </c>
      <c r="H121" t="b">
        <v>0</v>
      </c>
      <c r="I121" t="s">
        <v>57</v>
      </c>
      <c r="J121" t="s">
        <v>22</v>
      </c>
      <c r="K121" t="s">
        <v>32</v>
      </c>
      <c r="L121">
        <v>0.16</v>
      </c>
      <c r="M121" t="s">
        <v>40</v>
      </c>
      <c r="N121">
        <v>0.2273</v>
      </c>
      <c r="O121">
        <v>0.64</v>
      </c>
      <c r="P121">
        <v>0</v>
      </c>
      <c r="Q121">
        <v>0</v>
      </c>
      <c r="R121">
        <v>2</v>
      </c>
      <c r="S121">
        <v>2</v>
      </c>
    </row>
    <row r="122" spans="1:19" x14ac:dyDescent="0.3">
      <c r="A122">
        <v>119</v>
      </c>
      <c r="B122" t="s">
        <v>84</v>
      </c>
      <c r="C122" t="s">
        <v>78</v>
      </c>
      <c r="D122" t="s">
        <v>79</v>
      </c>
      <c r="E122" t="s">
        <v>31</v>
      </c>
      <c r="F122">
        <v>4</v>
      </c>
      <c r="G122" t="s">
        <v>116</v>
      </c>
      <c r="H122" t="b">
        <v>0</v>
      </c>
      <c r="I122" t="s">
        <v>57</v>
      </c>
      <c r="J122" t="s">
        <v>22</v>
      </c>
      <c r="K122" t="s">
        <v>33</v>
      </c>
      <c r="L122">
        <v>0.16</v>
      </c>
      <c r="M122" t="s">
        <v>40</v>
      </c>
      <c r="N122">
        <v>0.19700000000000001</v>
      </c>
      <c r="O122">
        <v>0.64</v>
      </c>
      <c r="P122">
        <v>8.9599999999999999E-2</v>
      </c>
      <c r="Q122">
        <v>0</v>
      </c>
      <c r="R122">
        <v>1</v>
      </c>
      <c r="S122">
        <v>1</v>
      </c>
    </row>
    <row r="123" spans="1:19" x14ac:dyDescent="0.3">
      <c r="A123">
        <v>120</v>
      </c>
      <c r="B123" t="s">
        <v>84</v>
      </c>
      <c r="C123" t="s">
        <v>78</v>
      </c>
      <c r="D123" t="s">
        <v>79</v>
      </c>
      <c r="E123" t="s">
        <v>31</v>
      </c>
      <c r="F123">
        <v>5</v>
      </c>
      <c r="G123" t="s">
        <v>116</v>
      </c>
      <c r="H123" t="b">
        <v>0</v>
      </c>
      <c r="I123" t="s">
        <v>57</v>
      </c>
      <c r="J123" t="s">
        <v>22</v>
      </c>
      <c r="K123" t="s">
        <v>33</v>
      </c>
      <c r="L123">
        <v>0.14000000000000001</v>
      </c>
      <c r="M123" t="s">
        <v>44</v>
      </c>
      <c r="N123">
        <v>0.18179999999999999</v>
      </c>
      <c r="O123">
        <v>0.69</v>
      </c>
      <c r="P123">
        <v>8.9599999999999999E-2</v>
      </c>
      <c r="Q123">
        <v>0</v>
      </c>
      <c r="R123">
        <v>4</v>
      </c>
      <c r="S123">
        <v>4</v>
      </c>
    </row>
    <row r="124" spans="1:19" x14ac:dyDescent="0.3">
      <c r="A124">
        <v>121</v>
      </c>
      <c r="B124" t="s">
        <v>84</v>
      </c>
      <c r="C124" t="s">
        <v>78</v>
      </c>
      <c r="D124" t="s">
        <v>79</v>
      </c>
      <c r="E124" t="s">
        <v>31</v>
      </c>
      <c r="F124">
        <v>6</v>
      </c>
      <c r="G124" t="s">
        <v>115</v>
      </c>
      <c r="H124" t="b">
        <v>0</v>
      </c>
      <c r="I124" t="s">
        <v>57</v>
      </c>
      <c r="J124" t="s">
        <v>22</v>
      </c>
      <c r="K124" t="s">
        <v>33</v>
      </c>
      <c r="L124">
        <v>0.14000000000000001</v>
      </c>
      <c r="M124" t="s">
        <v>44</v>
      </c>
      <c r="N124">
        <v>0.16669999999999999</v>
      </c>
      <c r="O124">
        <v>0.63</v>
      </c>
      <c r="P124">
        <v>0.1045</v>
      </c>
      <c r="Q124">
        <v>0</v>
      </c>
      <c r="R124">
        <v>36</v>
      </c>
      <c r="S124">
        <v>36</v>
      </c>
    </row>
    <row r="125" spans="1:19" x14ac:dyDescent="0.3">
      <c r="A125">
        <v>122</v>
      </c>
      <c r="B125" t="s">
        <v>84</v>
      </c>
      <c r="C125" t="s">
        <v>78</v>
      </c>
      <c r="D125" t="s">
        <v>79</v>
      </c>
      <c r="E125" t="s">
        <v>31</v>
      </c>
      <c r="F125">
        <v>7</v>
      </c>
      <c r="G125" t="s">
        <v>115</v>
      </c>
      <c r="H125" t="b">
        <v>0</v>
      </c>
      <c r="I125" t="s">
        <v>57</v>
      </c>
      <c r="J125" t="s">
        <v>22</v>
      </c>
      <c r="K125" t="s">
        <v>33</v>
      </c>
      <c r="L125">
        <v>0.16</v>
      </c>
      <c r="M125" t="s">
        <v>40</v>
      </c>
      <c r="N125">
        <v>0.2273</v>
      </c>
      <c r="O125">
        <v>0.59</v>
      </c>
      <c r="P125">
        <v>0</v>
      </c>
      <c r="Q125">
        <v>0</v>
      </c>
      <c r="R125">
        <v>95</v>
      </c>
      <c r="S125">
        <v>95</v>
      </c>
    </row>
    <row r="126" spans="1:19" x14ac:dyDescent="0.3">
      <c r="A126">
        <v>123</v>
      </c>
      <c r="B126" t="s">
        <v>84</v>
      </c>
      <c r="C126" t="s">
        <v>78</v>
      </c>
      <c r="D126" t="s">
        <v>79</v>
      </c>
      <c r="E126" t="s">
        <v>31</v>
      </c>
      <c r="F126">
        <v>8</v>
      </c>
      <c r="G126" t="s">
        <v>115</v>
      </c>
      <c r="H126" t="b">
        <v>0</v>
      </c>
      <c r="I126" t="s">
        <v>57</v>
      </c>
      <c r="J126" t="s">
        <v>22</v>
      </c>
      <c r="K126" t="s">
        <v>32</v>
      </c>
      <c r="L126">
        <v>0.16</v>
      </c>
      <c r="M126" t="s">
        <v>40</v>
      </c>
      <c r="N126">
        <v>0.2273</v>
      </c>
      <c r="O126">
        <v>0.59</v>
      </c>
      <c r="P126">
        <v>0</v>
      </c>
      <c r="Q126">
        <v>3</v>
      </c>
      <c r="R126">
        <v>216</v>
      </c>
      <c r="S126">
        <v>219</v>
      </c>
    </row>
    <row r="127" spans="1:19" x14ac:dyDescent="0.3">
      <c r="A127">
        <v>124</v>
      </c>
      <c r="B127" t="s">
        <v>84</v>
      </c>
      <c r="C127" t="s">
        <v>78</v>
      </c>
      <c r="D127" t="s">
        <v>79</v>
      </c>
      <c r="E127" t="s">
        <v>31</v>
      </c>
      <c r="F127">
        <v>9</v>
      </c>
      <c r="G127" t="s">
        <v>115</v>
      </c>
      <c r="H127" t="b">
        <v>0</v>
      </c>
      <c r="I127" t="s">
        <v>57</v>
      </c>
      <c r="J127" t="s">
        <v>22</v>
      </c>
      <c r="K127" t="s">
        <v>33</v>
      </c>
      <c r="L127">
        <v>0.18</v>
      </c>
      <c r="M127" t="s">
        <v>40</v>
      </c>
      <c r="N127">
        <v>0.2424</v>
      </c>
      <c r="O127">
        <v>0.51</v>
      </c>
      <c r="P127">
        <v>0</v>
      </c>
      <c r="Q127">
        <v>6</v>
      </c>
      <c r="R127">
        <v>116</v>
      </c>
      <c r="S127">
        <v>122</v>
      </c>
    </row>
    <row r="128" spans="1:19" x14ac:dyDescent="0.3">
      <c r="A128">
        <v>125</v>
      </c>
      <c r="B128" t="s">
        <v>84</v>
      </c>
      <c r="C128" t="s">
        <v>78</v>
      </c>
      <c r="D128" t="s">
        <v>79</v>
      </c>
      <c r="E128" t="s">
        <v>31</v>
      </c>
      <c r="F128">
        <v>10</v>
      </c>
      <c r="G128" t="s">
        <v>115</v>
      </c>
      <c r="H128" t="b">
        <v>0</v>
      </c>
      <c r="I128" t="s">
        <v>57</v>
      </c>
      <c r="J128" t="s">
        <v>22</v>
      </c>
      <c r="K128" t="s">
        <v>32</v>
      </c>
      <c r="L128">
        <v>0.2</v>
      </c>
      <c r="M128" t="s">
        <v>40</v>
      </c>
      <c r="N128">
        <v>0.2576</v>
      </c>
      <c r="O128">
        <v>0.47</v>
      </c>
      <c r="P128">
        <v>0</v>
      </c>
      <c r="Q128">
        <v>3</v>
      </c>
      <c r="R128">
        <v>42</v>
      </c>
      <c r="S128">
        <v>45</v>
      </c>
    </row>
    <row r="129" spans="1:19" x14ac:dyDescent="0.3">
      <c r="A129">
        <v>126</v>
      </c>
      <c r="B129" t="s">
        <v>84</v>
      </c>
      <c r="C129" t="s">
        <v>78</v>
      </c>
      <c r="D129" t="s">
        <v>79</v>
      </c>
      <c r="E129" t="s">
        <v>31</v>
      </c>
      <c r="F129">
        <v>11</v>
      </c>
      <c r="G129" t="s">
        <v>115</v>
      </c>
      <c r="H129" t="b">
        <v>0</v>
      </c>
      <c r="I129" t="s">
        <v>57</v>
      </c>
      <c r="J129" t="s">
        <v>22</v>
      </c>
      <c r="K129" t="s">
        <v>32</v>
      </c>
      <c r="L129">
        <v>0.22</v>
      </c>
      <c r="M129" t="s">
        <v>40</v>
      </c>
      <c r="N129">
        <v>0.2576</v>
      </c>
      <c r="O129">
        <v>0.44</v>
      </c>
      <c r="P129">
        <v>8.9599999999999999E-2</v>
      </c>
      <c r="Q129">
        <v>2</v>
      </c>
      <c r="R129">
        <v>57</v>
      </c>
      <c r="S129">
        <v>59</v>
      </c>
    </row>
    <row r="130" spans="1:19" x14ac:dyDescent="0.3">
      <c r="A130">
        <v>127</v>
      </c>
      <c r="B130" t="s">
        <v>84</v>
      </c>
      <c r="C130" t="s">
        <v>78</v>
      </c>
      <c r="D130" t="s">
        <v>79</v>
      </c>
      <c r="E130" t="s">
        <v>31</v>
      </c>
      <c r="F130">
        <v>12</v>
      </c>
      <c r="G130" t="s">
        <v>114</v>
      </c>
      <c r="H130" t="b">
        <v>0</v>
      </c>
      <c r="I130" t="s">
        <v>57</v>
      </c>
      <c r="J130" t="s">
        <v>22</v>
      </c>
      <c r="K130" t="s">
        <v>32</v>
      </c>
      <c r="L130">
        <v>0.26</v>
      </c>
      <c r="M130" t="s">
        <v>41</v>
      </c>
      <c r="N130">
        <v>0.28789999999999999</v>
      </c>
      <c r="O130">
        <v>0.35</v>
      </c>
      <c r="P130">
        <v>0</v>
      </c>
      <c r="Q130">
        <v>6</v>
      </c>
      <c r="R130">
        <v>78</v>
      </c>
      <c r="S130">
        <v>84</v>
      </c>
    </row>
    <row r="131" spans="1:19" x14ac:dyDescent="0.3">
      <c r="A131">
        <v>128</v>
      </c>
      <c r="B131" t="s">
        <v>84</v>
      </c>
      <c r="C131" t="s">
        <v>78</v>
      </c>
      <c r="D131" t="s">
        <v>79</v>
      </c>
      <c r="E131" t="s">
        <v>31</v>
      </c>
      <c r="F131">
        <v>13</v>
      </c>
      <c r="G131" t="s">
        <v>114</v>
      </c>
      <c r="H131" t="b">
        <v>0</v>
      </c>
      <c r="I131" t="s">
        <v>57</v>
      </c>
      <c r="J131" t="s">
        <v>22</v>
      </c>
      <c r="K131" t="s">
        <v>32</v>
      </c>
      <c r="L131">
        <v>0.26</v>
      </c>
      <c r="M131" t="s">
        <v>41</v>
      </c>
      <c r="N131">
        <v>0.2727</v>
      </c>
      <c r="O131">
        <v>0.35</v>
      </c>
      <c r="P131">
        <v>0.1045</v>
      </c>
      <c r="Q131">
        <v>12</v>
      </c>
      <c r="R131">
        <v>55</v>
      </c>
      <c r="S131">
        <v>67</v>
      </c>
    </row>
    <row r="132" spans="1:19" x14ac:dyDescent="0.3">
      <c r="A132">
        <v>129</v>
      </c>
      <c r="B132" t="s">
        <v>84</v>
      </c>
      <c r="C132" t="s">
        <v>78</v>
      </c>
      <c r="D132" t="s">
        <v>79</v>
      </c>
      <c r="E132" t="s">
        <v>31</v>
      </c>
      <c r="F132">
        <v>14</v>
      </c>
      <c r="G132" t="s">
        <v>114</v>
      </c>
      <c r="H132" t="b">
        <v>0</v>
      </c>
      <c r="I132" t="s">
        <v>57</v>
      </c>
      <c r="J132" t="s">
        <v>22</v>
      </c>
      <c r="K132" t="s">
        <v>32</v>
      </c>
      <c r="L132">
        <v>0.28000000000000003</v>
      </c>
      <c r="M132" t="s">
        <v>41</v>
      </c>
      <c r="N132">
        <v>0.2727</v>
      </c>
      <c r="O132">
        <v>0.36</v>
      </c>
      <c r="P132">
        <v>0.16420000000000001</v>
      </c>
      <c r="Q132">
        <v>11</v>
      </c>
      <c r="R132">
        <v>59</v>
      </c>
      <c r="S132">
        <v>70</v>
      </c>
    </row>
    <row r="133" spans="1:19" x14ac:dyDescent="0.3">
      <c r="A133">
        <v>130</v>
      </c>
      <c r="B133" t="s">
        <v>84</v>
      </c>
      <c r="C133" t="s">
        <v>78</v>
      </c>
      <c r="D133" t="s">
        <v>79</v>
      </c>
      <c r="E133" t="s">
        <v>31</v>
      </c>
      <c r="F133">
        <v>15</v>
      </c>
      <c r="G133" t="s">
        <v>114</v>
      </c>
      <c r="H133" t="b">
        <v>0</v>
      </c>
      <c r="I133" t="s">
        <v>57</v>
      </c>
      <c r="J133" t="s">
        <v>22</v>
      </c>
      <c r="K133" t="s">
        <v>32</v>
      </c>
      <c r="L133">
        <v>0.28000000000000003</v>
      </c>
      <c r="M133" t="s">
        <v>41</v>
      </c>
      <c r="N133">
        <v>0.2727</v>
      </c>
      <c r="O133">
        <v>0.36</v>
      </c>
      <c r="P133">
        <v>0</v>
      </c>
      <c r="Q133">
        <v>8</v>
      </c>
      <c r="R133">
        <v>54</v>
      </c>
      <c r="S133">
        <v>62</v>
      </c>
    </row>
    <row r="134" spans="1:19" x14ac:dyDescent="0.3">
      <c r="A134">
        <v>131</v>
      </c>
      <c r="B134" t="s">
        <v>84</v>
      </c>
      <c r="C134" t="s">
        <v>78</v>
      </c>
      <c r="D134" t="s">
        <v>79</v>
      </c>
      <c r="E134" t="s">
        <v>31</v>
      </c>
      <c r="F134">
        <v>16</v>
      </c>
      <c r="G134" t="s">
        <v>114</v>
      </c>
      <c r="H134" t="b">
        <v>0</v>
      </c>
      <c r="I134" t="s">
        <v>57</v>
      </c>
      <c r="J134" t="s">
        <v>22</v>
      </c>
      <c r="K134" t="s">
        <v>32</v>
      </c>
      <c r="L134">
        <v>0.26</v>
      </c>
      <c r="M134" t="s">
        <v>41</v>
      </c>
      <c r="N134">
        <v>0.2576</v>
      </c>
      <c r="O134">
        <v>0.38</v>
      </c>
      <c r="P134">
        <v>0.16420000000000001</v>
      </c>
      <c r="Q134">
        <v>12</v>
      </c>
      <c r="R134">
        <v>74</v>
      </c>
      <c r="S134">
        <v>86</v>
      </c>
    </row>
    <row r="135" spans="1:19" x14ac:dyDescent="0.3">
      <c r="A135">
        <v>132</v>
      </c>
      <c r="B135" t="s">
        <v>84</v>
      </c>
      <c r="C135" t="s">
        <v>78</v>
      </c>
      <c r="D135" t="s">
        <v>79</v>
      </c>
      <c r="E135" t="s">
        <v>31</v>
      </c>
      <c r="F135">
        <v>17</v>
      </c>
      <c r="G135" t="s">
        <v>114</v>
      </c>
      <c r="H135" t="b">
        <v>0</v>
      </c>
      <c r="I135" t="s">
        <v>57</v>
      </c>
      <c r="J135" t="s">
        <v>22</v>
      </c>
      <c r="K135" t="s">
        <v>32</v>
      </c>
      <c r="L135">
        <v>0.22</v>
      </c>
      <c r="M135" t="s">
        <v>40</v>
      </c>
      <c r="N135">
        <v>0.2273</v>
      </c>
      <c r="O135">
        <v>0.51</v>
      </c>
      <c r="P135">
        <v>0.16420000000000001</v>
      </c>
      <c r="Q135">
        <v>9</v>
      </c>
      <c r="R135">
        <v>163</v>
      </c>
      <c r="S135">
        <v>172</v>
      </c>
    </row>
    <row r="136" spans="1:19" x14ac:dyDescent="0.3">
      <c r="A136">
        <v>133</v>
      </c>
      <c r="B136" t="s">
        <v>84</v>
      </c>
      <c r="C136" t="s">
        <v>78</v>
      </c>
      <c r="D136" t="s">
        <v>79</v>
      </c>
      <c r="E136" t="s">
        <v>31</v>
      </c>
      <c r="F136">
        <v>18</v>
      </c>
      <c r="G136" t="s">
        <v>113</v>
      </c>
      <c r="H136" t="b">
        <v>0</v>
      </c>
      <c r="I136" t="s">
        <v>57</v>
      </c>
      <c r="J136" t="s">
        <v>22</v>
      </c>
      <c r="K136" t="s">
        <v>32</v>
      </c>
      <c r="L136">
        <v>0.22</v>
      </c>
      <c r="M136" t="s">
        <v>40</v>
      </c>
      <c r="N136">
        <v>0.2273</v>
      </c>
      <c r="O136">
        <v>0.51</v>
      </c>
      <c r="P136">
        <v>0.1343</v>
      </c>
      <c r="Q136">
        <v>5</v>
      </c>
      <c r="R136">
        <v>158</v>
      </c>
      <c r="S136">
        <v>163</v>
      </c>
    </row>
    <row r="137" spans="1:19" x14ac:dyDescent="0.3">
      <c r="A137">
        <v>134</v>
      </c>
      <c r="B137" t="s">
        <v>84</v>
      </c>
      <c r="C137" t="s">
        <v>78</v>
      </c>
      <c r="D137" t="s">
        <v>79</v>
      </c>
      <c r="E137" t="s">
        <v>31</v>
      </c>
      <c r="F137">
        <v>19</v>
      </c>
      <c r="G137" t="s">
        <v>113</v>
      </c>
      <c r="H137" t="b">
        <v>0</v>
      </c>
      <c r="I137" t="s">
        <v>57</v>
      </c>
      <c r="J137" t="s">
        <v>22</v>
      </c>
      <c r="K137" t="s">
        <v>32</v>
      </c>
      <c r="L137">
        <v>0.22</v>
      </c>
      <c r="M137" t="s">
        <v>40</v>
      </c>
      <c r="N137">
        <v>0.2576</v>
      </c>
      <c r="O137">
        <v>0.55000000000000004</v>
      </c>
      <c r="P137">
        <v>8.9599999999999999E-2</v>
      </c>
      <c r="Q137">
        <v>3</v>
      </c>
      <c r="R137">
        <v>109</v>
      </c>
      <c r="S137">
        <v>112</v>
      </c>
    </row>
    <row r="138" spans="1:19" x14ac:dyDescent="0.3">
      <c r="A138">
        <v>135</v>
      </c>
      <c r="B138" t="s">
        <v>84</v>
      </c>
      <c r="C138" t="s">
        <v>78</v>
      </c>
      <c r="D138" t="s">
        <v>79</v>
      </c>
      <c r="E138" t="s">
        <v>31</v>
      </c>
      <c r="F138">
        <v>20</v>
      </c>
      <c r="G138" t="s">
        <v>113</v>
      </c>
      <c r="H138" t="b">
        <v>0</v>
      </c>
      <c r="I138" t="s">
        <v>57</v>
      </c>
      <c r="J138" t="s">
        <v>22</v>
      </c>
      <c r="K138" t="s">
        <v>32</v>
      </c>
      <c r="L138">
        <v>0.2</v>
      </c>
      <c r="M138" t="s">
        <v>40</v>
      </c>
      <c r="N138">
        <v>0.21210000000000001</v>
      </c>
      <c r="O138">
        <v>0.51</v>
      </c>
      <c r="P138">
        <v>0.16420000000000001</v>
      </c>
      <c r="Q138">
        <v>3</v>
      </c>
      <c r="R138">
        <v>66</v>
      </c>
      <c r="S138">
        <v>69</v>
      </c>
    </row>
    <row r="139" spans="1:19" x14ac:dyDescent="0.3">
      <c r="A139">
        <v>136</v>
      </c>
      <c r="B139" t="s">
        <v>84</v>
      </c>
      <c r="C139" t="s">
        <v>78</v>
      </c>
      <c r="D139" t="s">
        <v>79</v>
      </c>
      <c r="E139" t="s">
        <v>31</v>
      </c>
      <c r="F139">
        <v>21</v>
      </c>
      <c r="G139" t="s">
        <v>113</v>
      </c>
      <c r="H139" t="b">
        <v>0</v>
      </c>
      <c r="I139" t="s">
        <v>57</v>
      </c>
      <c r="J139" t="s">
        <v>22</v>
      </c>
      <c r="K139" t="s">
        <v>33</v>
      </c>
      <c r="L139">
        <v>0.22</v>
      </c>
      <c r="M139" t="s">
        <v>40</v>
      </c>
      <c r="N139">
        <v>0.21210000000000001</v>
      </c>
      <c r="O139">
        <v>0.55000000000000004</v>
      </c>
      <c r="P139">
        <v>0.22389999999999999</v>
      </c>
      <c r="Q139">
        <v>0</v>
      </c>
      <c r="R139">
        <v>48</v>
      </c>
      <c r="S139">
        <v>48</v>
      </c>
    </row>
    <row r="140" spans="1:19" x14ac:dyDescent="0.3">
      <c r="A140">
        <v>137</v>
      </c>
      <c r="B140" t="s">
        <v>84</v>
      </c>
      <c r="C140" t="s">
        <v>78</v>
      </c>
      <c r="D140" t="s">
        <v>79</v>
      </c>
      <c r="E140" t="s">
        <v>31</v>
      </c>
      <c r="F140">
        <v>22</v>
      </c>
      <c r="G140" t="s">
        <v>113</v>
      </c>
      <c r="H140" t="b">
        <v>0</v>
      </c>
      <c r="I140" t="s">
        <v>57</v>
      </c>
      <c r="J140" t="s">
        <v>22</v>
      </c>
      <c r="K140" t="s">
        <v>33</v>
      </c>
      <c r="L140">
        <v>0.22</v>
      </c>
      <c r="M140" t="s">
        <v>40</v>
      </c>
      <c r="N140">
        <v>0.21210000000000001</v>
      </c>
      <c r="O140">
        <v>0.51</v>
      </c>
      <c r="P140">
        <v>0.28360000000000002</v>
      </c>
      <c r="Q140">
        <v>1</v>
      </c>
      <c r="R140">
        <v>51</v>
      </c>
      <c r="S140">
        <v>52</v>
      </c>
    </row>
    <row r="141" spans="1:19" x14ac:dyDescent="0.3">
      <c r="A141">
        <v>138</v>
      </c>
      <c r="B141" t="s">
        <v>84</v>
      </c>
      <c r="C141" t="s">
        <v>78</v>
      </c>
      <c r="D141" t="s">
        <v>79</v>
      </c>
      <c r="E141" t="s">
        <v>31</v>
      </c>
      <c r="F141">
        <v>23</v>
      </c>
      <c r="G141" t="s">
        <v>113</v>
      </c>
      <c r="H141" t="b">
        <v>0</v>
      </c>
      <c r="I141" t="s">
        <v>57</v>
      </c>
      <c r="J141" t="s">
        <v>22</v>
      </c>
      <c r="K141" t="s">
        <v>33</v>
      </c>
      <c r="L141">
        <v>0.2</v>
      </c>
      <c r="M141" t="s">
        <v>40</v>
      </c>
      <c r="N141">
        <v>0.19700000000000001</v>
      </c>
      <c r="O141">
        <v>0.59</v>
      </c>
      <c r="P141">
        <v>0.19400000000000001</v>
      </c>
      <c r="Q141">
        <v>4</v>
      </c>
      <c r="R141">
        <v>19</v>
      </c>
      <c r="S141">
        <v>23</v>
      </c>
    </row>
    <row r="142" spans="1:19" x14ac:dyDescent="0.3">
      <c r="A142">
        <v>139</v>
      </c>
      <c r="B142" t="s">
        <v>85</v>
      </c>
      <c r="C142" t="s">
        <v>78</v>
      </c>
      <c r="D142" t="s">
        <v>79</v>
      </c>
      <c r="E142" t="s">
        <v>31</v>
      </c>
      <c r="F142">
        <v>0</v>
      </c>
      <c r="G142" t="s">
        <v>116</v>
      </c>
      <c r="H142" t="b">
        <v>0</v>
      </c>
      <c r="I142" t="s">
        <v>58</v>
      </c>
      <c r="J142" t="s">
        <v>22</v>
      </c>
      <c r="K142" t="s">
        <v>33</v>
      </c>
      <c r="L142">
        <v>0.2</v>
      </c>
      <c r="M142" t="s">
        <v>40</v>
      </c>
      <c r="N142">
        <v>0.19700000000000001</v>
      </c>
      <c r="O142">
        <v>0.64</v>
      </c>
      <c r="P142">
        <v>0.19400000000000001</v>
      </c>
      <c r="Q142">
        <v>4</v>
      </c>
      <c r="R142">
        <v>13</v>
      </c>
      <c r="S142">
        <v>17</v>
      </c>
    </row>
    <row r="143" spans="1:19" x14ac:dyDescent="0.3">
      <c r="A143">
        <v>140</v>
      </c>
      <c r="B143" t="s">
        <v>85</v>
      </c>
      <c r="C143" t="s">
        <v>78</v>
      </c>
      <c r="D143" t="s">
        <v>79</v>
      </c>
      <c r="E143" t="s">
        <v>31</v>
      </c>
      <c r="F143">
        <v>1</v>
      </c>
      <c r="G143" t="s">
        <v>116</v>
      </c>
      <c r="H143" t="b">
        <v>0</v>
      </c>
      <c r="I143" t="s">
        <v>58</v>
      </c>
      <c r="J143" t="s">
        <v>22</v>
      </c>
      <c r="K143" t="s">
        <v>33</v>
      </c>
      <c r="L143">
        <v>0.2</v>
      </c>
      <c r="M143" t="s">
        <v>40</v>
      </c>
      <c r="N143">
        <v>0.19700000000000001</v>
      </c>
      <c r="O143">
        <v>0.69</v>
      </c>
      <c r="P143">
        <v>0.22389999999999999</v>
      </c>
      <c r="Q143">
        <v>2</v>
      </c>
      <c r="R143">
        <v>5</v>
      </c>
      <c r="S143">
        <v>7</v>
      </c>
    </row>
    <row r="144" spans="1:19" x14ac:dyDescent="0.3">
      <c r="A144">
        <v>141</v>
      </c>
      <c r="B144" t="s">
        <v>85</v>
      </c>
      <c r="C144" t="s">
        <v>78</v>
      </c>
      <c r="D144" t="s">
        <v>79</v>
      </c>
      <c r="E144" t="s">
        <v>31</v>
      </c>
      <c r="F144">
        <v>2</v>
      </c>
      <c r="G144" t="s">
        <v>116</v>
      </c>
      <c r="H144" t="b">
        <v>0</v>
      </c>
      <c r="I144" t="s">
        <v>58</v>
      </c>
      <c r="J144" t="s">
        <v>22</v>
      </c>
      <c r="K144" t="s">
        <v>33</v>
      </c>
      <c r="L144">
        <v>0.2</v>
      </c>
      <c r="M144" t="s">
        <v>40</v>
      </c>
      <c r="N144">
        <v>0.19700000000000001</v>
      </c>
      <c r="O144">
        <v>0.69</v>
      </c>
      <c r="P144">
        <v>0.22389999999999999</v>
      </c>
      <c r="Q144">
        <v>0</v>
      </c>
      <c r="R144">
        <v>1</v>
      </c>
      <c r="S144">
        <v>1</v>
      </c>
    </row>
    <row r="145" spans="1:19" x14ac:dyDescent="0.3">
      <c r="A145">
        <v>142</v>
      </c>
      <c r="B145" t="s">
        <v>85</v>
      </c>
      <c r="C145" t="s">
        <v>78</v>
      </c>
      <c r="D145" t="s">
        <v>79</v>
      </c>
      <c r="E145" t="s">
        <v>31</v>
      </c>
      <c r="F145">
        <v>4</v>
      </c>
      <c r="G145" t="s">
        <v>116</v>
      </c>
      <c r="H145" t="b">
        <v>0</v>
      </c>
      <c r="I145" t="s">
        <v>58</v>
      </c>
      <c r="J145" t="s">
        <v>22</v>
      </c>
      <c r="K145" t="s">
        <v>33</v>
      </c>
      <c r="L145">
        <v>0.2</v>
      </c>
      <c r="M145" t="s">
        <v>40</v>
      </c>
      <c r="N145">
        <v>0.21210000000000001</v>
      </c>
      <c r="O145">
        <v>0.69</v>
      </c>
      <c r="P145">
        <v>0.1343</v>
      </c>
      <c r="Q145">
        <v>0</v>
      </c>
      <c r="R145">
        <v>1</v>
      </c>
      <c r="S145">
        <v>1</v>
      </c>
    </row>
    <row r="146" spans="1:19" x14ac:dyDescent="0.3">
      <c r="A146">
        <v>143</v>
      </c>
      <c r="B146" t="s">
        <v>85</v>
      </c>
      <c r="C146" t="s">
        <v>78</v>
      </c>
      <c r="D146" t="s">
        <v>79</v>
      </c>
      <c r="E146" t="s">
        <v>31</v>
      </c>
      <c r="F146">
        <v>5</v>
      </c>
      <c r="G146" t="s">
        <v>116</v>
      </c>
      <c r="H146" t="b">
        <v>0</v>
      </c>
      <c r="I146" t="s">
        <v>58</v>
      </c>
      <c r="J146" t="s">
        <v>22</v>
      </c>
      <c r="K146" t="s">
        <v>34</v>
      </c>
      <c r="L146">
        <v>0.22</v>
      </c>
      <c r="M146" t="s">
        <v>40</v>
      </c>
      <c r="N146">
        <v>0.2727</v>
      </c>
      <c r="O146">
        <v>0.55000000000000004</v>
      </c>
      <c r="P146">
        <v>0</v>
      </c>
      <c r="Q146">
        <v>0</v>
      </c>
      <c r="R146">
        <v>5</v>
      </c>
      <c r="S146">
        <v>5</v>
      </c>
    </row>
    <row r="147" spans="1:19" x14ac:dyDescent="0.3">
      <c r="A147">
        <v>144</v>
      </c>
      <c r="B147" t="s">
        <v>85</v>
      </c>
      <c r="C147" t="s">
        <v>78</v>
      </c>
      <c r="D147" t="s">
        <v>79</v>
      </c>
      <c r="E147" t="s">
        <v>31</v>
      </c>
      <c r="F147">
        <v>6</v>
      </c>
      <c r="G147" t="s">
        <v>115</v>
      </c>
      <c r="H147" t="b">
        <v>0</v>
      </c>
      <c r="I147" t="s">
        <v>58</v>
      </c>
      <c r="J147" t="s">
        <v>22</v>
      </c>
      <c r="K147" t="s">
        <v>33</v>
      </c>
      <c r="L147">
        <v>0.2</v>
      </c>
      <c r="M147" t="s">
        <v>40</v>
      </c>
      <c r="N147">
        <v>0.2576</v>
      </c>
      <c r="O147">
        <v>0.69</v>
      </c>
      <c r="P147">
        <v>0</v>
      </c>
      <c r="Q147">
        <v>8</v>
      </c>
      <c r="R147">
        <v>26</v>
      </c>
      <c r="S147">
        <v>34</v>
      </c>
    </row>
    <row r="148" spans="1:19" x14ac:dyDescent="0.3">
      <c r="A148">
        <v>145</v>
      </c>
      <c r="B148" t="s">
        <v>85</v>
      </c>
      <c r="C148" t="s">
        <v>78</v>
      </c>
      <c r="D148" t="s">
        <v>79</v>
      </c>
      <c r="E148" t="s">
        <v>31</v>
      </c>
      <c r="F148">
        <v>7</v>
      </c>
      <c r="G148" t="s">
        <v>115</v>
      </c>
      <c r="H148" t="b">
        <v>0</v>
      </c>
      <c r="I148" t="s">
        <v>58</v>
      </c>
      <c r="J148" t="s">
        <v>22</v>
      </c>
      <c r="K148" t="s">
        <v>32</v>
      </c>
      <c r="L148">
        <v>0.2</v>
      </c>
      <c r="M148" t="s">
        <v>40</v>
      </c>
      <c r="N148">
        <v>0.21210000000000001</v>
      </c>
      <c r="O148">
        <v>0.69</v>
      </c>
      <c r="P148">
        <v>0.1343</v>
      </c>
      <c r="Q148">
        <v>8</v>
      </c>
      <c r="R148">
        <v>76</v>
      </c>
      <c r="S148">
        <v>84</v>
      </c>
    </row>
    <row r="149" spans="1:19" x14ac:dyDescent="0.3">
      <c r="A149">
        <v>146</v>
      </c>
      <c r="B149" t="s">
        <v>85</v>
      </c>
      <c r="C149" t="s">
        <v>78</v>
      </c>
      <c r="D149" t="s">
        <v>79</v>
      </c>
      <c r="E149" t="s">
        <v>31</v>
      </c>
      <c r="F149">
        <v>8</v>
      </c>
      <c r="G149" t="s">
        <v>115</v>
      </c>
      <c r="H149" t="b">
        <v>0</v>
      </c>
      <c r="I149" t="s">
        <v>58</v>
      </c>
      <c r="J149" t="s">
        <v>22</v>
      </c>
      <c r="K149" t="s">
        <v>32</v>
      </c>
      <c r="L149">
        <v>0.2</v>
      </c>
      <c r="M149" t="s">
        <v>40</v>
      </c>
      <c r="N149">
        <v>0.19700000000000001</v>
      </c>
      <c r="O149">
        <v>0.51</v>
      </c>
      <c r="P149">
        <v>0.25369999999999998</v>
      </c>
      <c r="Q149">
        <v>20</v>
      </c>
      <c r="R149">
        <v>190</v>
      </c>
      <c r="S149">
        <v>210</v>
      </c>
    </row>
    <row r="150" spans="1:19" x14ac:dyDescent="0.3">
      <c r="A150">
        <v>147</v>
      </c>
      <c r="B150" t="s">
        <v>85</v>
      </c>
      <c r="C150" t="s">
        <v>78</v>
      </c>
      <c r="D150" t="s">
        <v>79</v>
      </c>
      <c r="E150" t="s">
        <v>31</v>
      </c>
      <c r="F150">
        <v>9</v>
      </c>
      <c r="G150" t="s">
        <v>115</v>
      </c>
      <c r="H150" t="b">
        <v>0</v>
      </c>
      <c r="I150" t="s">
        <v>58</v>
      </c>
      <c r="J150" t="s">
        <v>22</v>
      </c>
      <c r="K150" t="s">
        <v>32</v>
      </c>
      <c r="L150">
        <v>0.2</v>
      </c>
      <c r="M150" t="s">
        <v>40</v>
      </c>
      <c r="N150">
        <v>0.18179999999999999</v>
      </c>
      <c r="O150">
        <v>0.47</v>
      </c>
      <c r="P150">
        <v>0.29849999999999999</v>
      </c>
      <c r="Q150">
        <v>9</v>
      </c>
      <c r="R150">
        <v>125</v>
      </c>
      <c r="S150">
        <v>134</v>
      </c>
    </row>
    <row r="151" spans="1:19" x14ac:dyDescent="0.3">
      <c r="A151">
        <v>148</v>
      </c>
      <c r="B151" t="s">
        <v>85</v>
      </c>
      <c r="C151" t="s">
        <v>78</v>
      </c>
      <c r="D151" t="s">
        <v>79</v>
      </c>
      <c r="E151" t="s">
        <v>31</v>
      </c>
      <c r="F151">
        <v>10</v>
      </c>
      <c r="G151" t="s">
        <v>115</v>
      </c>
      <c r="H151" t="b">
        <v>0</v>
      </c>
      <c r="I151" t="s">
        <v>58</v>
      </c>
      <c r="J151" t="s">
        <v>22</v>
      </c>
      <c r="K151" t="s">
        <v>32</v>
      </c>
      <c r="L151">
        <v>0.22</v>
      </c>
      <c r="M151" t="s">
        <v>40</v>
      </c>
      <c r="N151">
        <v>0.19700000000000001</v>
      </c>
      <c r="O151">
        <v>0.37</v>
      </c>
      <c r="P151">
        <v>0.32840000000000003</v>
      </c>
      <c r="Q151">
        <v>16</v>
      </c>
      <c r="R151">
        <v>47</v>
      </c>
      <c r="S151">
        <v>63</v>
      </c>
    </row>
    <row r="152" spans="1:19" x14ac:dyDescent="0.3">
      <c r="A152">
        <v>149</v>
      </c>
      <c r="B152" t="s">
        <v>85</v>
      </c>
      <c r="C152" t="s">
        <v>78</v>
      </c>
      <c r="D152" t="s">
        <v>79</v>
      </c>
      <c r="E152" t="s">
        <v>31</v>
      </c>
      <c r="F152">
        <v>11</v>
      </c>
      <c r="G152" t="s">
        <v>115</v>
      </c>
      <c r="H152" t="b">
        <v>0</v>
      </c>
      <c r="I152" t="s">
        <v>58</v>
      </c>
      <c r="J152" t="s">
        <v>22</v>
      </c>
      <c r="K152" t="s">
        <v>33</v>
      </c>
      <c r="L152">
        <v>0.2</v>
      </c>
      <c r="M152" t="s">
        <v>40</v>
      </c>
      <c r="N152">
        <v>0.19700000000000001</v>
      </c>
      <c r="O152">
        <v>0.4</v>
      </c>
      <c r="P152">
        <v>0.22389999999999999</v>
      </c>
      <c r="Q152">
        <v>19</v>
      </c>
      <c r="R152">
        <v>48</v>
      </c>
      <c r="S152">
        <v>67</v>
      </c>
    </row>
    <row r="153" spans="1:19" x14ac:dyDescent="0.3">
      <c r="A153">
        <v>150</v>
      </c>
      <c r="B153" t="s">
        <v>85</v>
      </c>
      <c r="C153" t="s">
        <v>78</v>
      </c>
      <c r="D153" t="s">
        <v>79</v>
      </c>
      <c r="E153" t="s">
        <v>31</v>
      </c>
      <c r="F153">
        <v>12</v>
      </c>
      <c r="G153" t="s">
        <v>114</v>
      </c>
      <c r="H153" t="b">
        <v>0</v>
      </c>
      <c r="I153" t="s">
        <v>58</v>
      </c>
      <c r="J153" t="s">
        <v>22</v>
      </c>
      <c r="K153" t="s">
        <v>33</v>
      </c>
      <c r="L153">
        <v>0.2</v>
      </c>
      <c r="M153" t="s">
        <v>40</v>
      </c>
      <c r="N153">
        <v>0.19700000000000001</v>
      </c>
      <c r="O153">
        <v>0.37</v>
      </c>
      <c r="P153">
        <v>0.25369999999999998</v>
      </c>
      <c r="Q153">
        <v>9</v>
      </c>
      <c r="R153">
        <v>50</v>
      </c>
      <c r="S153">
        <v>59</v>
      </c>
    </row>
    <row r="154" spans="1:19" x14ac:dyDescent="0.3">
      <c r="A154">
        <v>151</v>
      </c>
      <c r="B154" t="s">
        <v>85</v>
      </c>
      <c r="C154" t="s">
        <v>78</v>
      </c>
      <c r="D154" t="s">
        <v>79</v>
      </c>
      <c r="E154" t="s">
        <v>31</v>
      </c>
      <c r="F154">
        <v>13</v>
      </c>
      <c r="G154" t="s">
        <v>114</v>
      </c>
      <c r="H154" t="b">
        <v>0</v>
      </c>
      <c r="I154" t="s">
        <v>58</v>
      </c>
      <c r="J154" t="s">
        <v>22</v>
      </c>
      <c r="K154" t="s">
        <v>33</v>
      </c>
      <c r="L154">
        <v>0.2</v>
      </c>
      <c r="M154" t="s">
        <v>40</v>
      </c>
      <c r="N154">
        <v>0.18179999999999999</v>
      </c>
      <c r="O154">
        <v>0.37</v>
      </c>
      <c r="P154">
        <v>0.28360000000000002</v>
      </c>
      <c r="Q154">
        <v>9</v>
      </c>
      <c r="R154">
        <v>64</v>
      </c>
      <c r="S154">
        <v>73</v>
      </c>
    </row>
    <row r="155" spans="1:19" x14ac:dyDescent="0.3">
      <c r="A155">
        <v>152</v>
      </c>
      <c r="B155" t="s">
        <v>85</v>
      </c>
      <c r="C155" t="s">
        <v>78</v>
      </c>
      <c r="D155" t="s">
        <v>79</v>
      </c>
      <c r="E155" t="s">
        <v>31</v>
      </c>
      <c r="F155">
        <v>14</v>
      </c>
      <c r="G155" t="s">
        <v>114</v>
      </c>
      <c r="H155" t="b">
        <v>0</v>
      </c>
      <c r="I155" t="s">
        <v>58</v>
      </c>
      <c r="J155" t="s">
        <v>22</v>
      </c>
      <c r="K155" t="s">
        <v>33</v>
      </c>
      <c r="L155">
        <v>0.2</v>
      </c>
      <c r="M155" t="s">
        <v>40</v>
      </c>
      <c r="N155">
        <v>0.19700000000000001</v>
      </c>
      <c r="O155">
        <v>0.4</v>
      </c>
      <c r="P155">
        <v>0.25369999999999998</v>
      </c>
      <c r="Q155">
        <v>7</v>
      </c>
      <c r="R155">
        <v>43</v>
      </c>
      <c r="S155">
        <v>50</v>
      </c>
    </row>
    <row r="156" spans="1:19" x14ac:dyDescent="0.3">
      <c r="A156">
        <v>153</v>
      </c>
      <c r="B156" t="s">
        <v>85</v>
      </c>
      <c r="C156" t="s">
        <v>78</v>
      </c>
      <c r="D156" t="s">
        <v>79</v>
      </c>
      <c r="E156" t="s">
        <v>31</v>
      </c>
      <c r="F156">
        <v>15</v>
      </c>
      <c r="G156" t="s">
        <v>114</v>
      </c>
      <c r="H156" t="b">
        <v>0</v>
      </c>
      <c r="I156" t="s">
        <v>58</v>
      </c>
      <c r="J156" t="s">
        <v>22</v>
      </c>
      <c r="K156" t="s">
        <v>33</v>
      </c>
      <c r="L156">
        <v>0.2</v>
      </c>
      <c r="M156" t="s">
        <v>40</v>
      </c>
      <c r="N156">
        <v>0.21210000000000001</v>
      </c>
      <c r="O156">
        <v>0.37</v>
      </c>
      <c r="P156">
        <v>0.16420000000000001</v>
      </c>
      <c r="Q156">
        <v>9</v>
      </c>
      <c r="R156">
        <v>63</v>
      </c>
      <c r="S156">
        <v>72</v>
      </c>
    </row>
    <row r="157" spans="1:19" x14ac:dyDescent="0.3">
      <c r="A157">
        <v>154</v>
      </c>
      <c r="B157" t="s">
        <v>85</v>
      </c>
      <c r="C157" t="s">
        <v>78</v>
      </c>
      <c r="D157" t="s">
        <v>79</v>
      </c>
      <c r="E157" t="s">
        <v>31</v>
      </c>
      <c r="F157">
        <v>16</v>
      </c>
      <c r="G157" t="s">
        <v>114</v>
      </c>
      <c r="H157" t="b">
        <v>0</v>
      </c>
      <c r="I157" t="s">
        <v>58</v>
      </c>
      <c r="J157" t="s">
        <v>22</v>
      </c>
      <c r="K157" t="s">
        <v>33</v>
      </c>
      <c r="L157">
        <v>0.2</v>
      </c>
      <c r="M157" t="s">
        <v>40</v>
      </c>
      <c r="N157">
        <v>0.21210000000000001</v>
      </c>
      <c r="O157">
        <v>0.37</v>
      </c>
      <c r="P157">
        <v>0.16420000000000001</v>
      </c>
      <c r="Q157">
        <v>5</v>
      </c>
      <c r="R157">
        <v>82</v>
      </c>
      <c r="S157">
        <v>87</v>
      </c>
    </row>
    <row r="158" spans="1:19" x14ac:dyDescent="0.3">
      <c r="A158">
        <v>155</v>
      </c>
      <c r="B158" t="s">
        <v>85</v>
      </c>
      <c r="C158" t="s">
        <v>78</v>
      </c>
      <c r="D158" t="s">
        <v>79</v>
      </c>
      <c r="E158" t="s">
        <v>31</v>
      </c>
      <c r="F158">
        <v>17</v>
      </c>
      <c r="G158" t="s">
        <v>114</v>
      </c>
      <c r="H158" t="b">
        <v>0</v>
      </c>
      <c r="I158" t="s">
        <v>58</v>
      </c>
      <c r="J158" t="s">
        <v>22</v>
      </c>
      <c r="K158" t="s">
        <v>33</v>
      </c>
      <c r="L158">
        <v>0.2</v>
      </c>
      <c r="M158" t="s">
        <v>40</v>
      </c>
      <c r="N158">
        <v>0.2576</v>
      </c>
      <c r="O158">
        <v>0.37</v>
      </c>
      <c r="P158">
        <v>0</v>
      </c>
      <c r="Q158">
        <v>9</v>
      </c>
      <c r="R158">
        <v>178</v>
      </c>
      <c r="S158">
        <v>187</v>
      </c>
    </row>
    <row r="159" spans="1:19" x14ac:dyDescent="0.3">
      <c r="A159">
        <v>156</v>
      </c>
      <c r="B159" t="s">
        <v>85</v>
      </c>
      <c r="C159" t="s">
        <v>78</v>
      </c>
      <c r="D159" t="s">
        <v>79</v>
      </c>
      <c r="E159" t="s">
        <v>31</v>
      </c>
      <c r="F159">
        <v>18</v>
      </c>
      <c r="G159" t="s">
        <v>113</v>
      </c>
      <c r="H159" t="b">
        <v>0</v>
      </c>
      <c r="I159" t="s">
        <v>58</v>
      </c>
      <c r="J159" t="s">
        <v>22</v>
      </c>
      <c r="K159" t="s">
        <v>32</v>
      </c>
      <c r="L159">
        <v>0.2</v>
      </c>
      <c r="M159" t="s">
        <v>40</v>
      </c>
      <c r="N159">
        <v>0.2273</v>
      </c>
      <c r="O159">
        <v>0.4</v>
      </c>
      <c r="P159">
        <v>8.9599999999999999E-2</v>
      </c>
      <c r="Q159">
        <v>7</v>
      </c>
      <c r="R159">
        <v>116</v>
      </c>
      <c r="S159">
        <v>123</v>
      </c>
    </row>
    <row r="160" spans="1:19" x14ac:dyDescent="0.3">
      <c r="A160">
        <v>157</v>
      </c>
      <c r="B160" t="s">
        <v>85</v>
      </c>
      <c r="C160" t="s">
        <v>78</v>
      </c>
      <c r="D160" t="s">
        <v>79</v>
      </c>
      <c r="E160" t="s">
        <v>31</v>
      </c>
      <c r="F160">
        <v>19</v>
      </c>
      <c r="G160" t="s">
        <v>113</v>
      </c>
      <c r="H160" t="b">
        <v>0</v>
      </c>
      <c r="I160" t="s">
        <v>58</v>
      </c>
      <c r="J160" t="s">
        <v>22</v>
      </c>
      <c r="K160" t="s">
        <v>32</v>
      </c>
      <c r="L160">
        <v>0.16</v>
      </c>
      <c r="M160" t="s">
        <v>40</v>
      </c>
      <c r="N160">
        <v>0.19700000000000001</v>
      </c>
      <c r="O160">
        <v>0.55000000000000004</v>
      </c>
      <c r="P160">
        <v>8.9599999999999999E-2</v>
      </c>
      <c r="Q160">
        <v>3</v>
      </c>
      <c r="R160">
        <v>92</v>
      </c>
      <c r="S160">
        <v>95</v>
      </c>
    </row>
    <row r="161" spans="1:19" x14ac:dyDescent="0.3">
      <c r="A161">
        <v>158</v>
      </c>
      <c r="B161" t="s">
        <v>85</v>
      </c>
      <c r="C161" t="s">
        <v>78</v>
      </c>
      <c r="D161" t="s">
        <v>79</v>
      </c>
      <c r="E161" t="s">
        <v>31</v>
      </c>
      <c r="F161">
        <v>20</v>
      </c>
      <c r="G161" t="s">
        <v>113</v>
      </c>
      <c r="H161" t="b">
        <v>0</v>
      </c>
      <c r="I161" t="s">
        <v>58</v>
      </c>
      <c r="J161" t="s">
        <v>22</v>
      </c>
      <c r="K161" t="s">
        <v>32</v>
      </c>
      <c r="L161">
        <v>0.18</v>
      </c>
      <c r="M161" t="s">
        <v>40</v>
      </c>
      <c r="N161">
        <v>0.21210000000000001</v>
      </c>
      <c r="O161">
        <v>0.47</v>
      </c>
      <c r="P161">
        <v>0.1045</v>
      </c>
      <c r="Q161">
        <v>1</v>
      </c>
      <c r="R161">
        <v>50</v>
      </c>
      <c r="S161">
        <v>51</v>
      </c>
    </row>
    <row r="162" spans="1:19" x14ac:dyDescent="0.3">
      <c r="A162">
        <v>159</v>
      </c>
      <c r="B162" t="s">
        <v>85</v>
      </c>
      <c r="C162" t="s">
        <v>78</v>
      </c>
      <c r="D162" t="s">
        <v>79</v>
      </c>
      <c r="E162" t="s">
        <v>31</v>
      </c>
      <c r="F162">
        <v>21</v>
      </c>
      <c r="G162" t="s">
        <v>113</v>
      </c>
      <c r="H162" t="b">
        <v>0</v>
      </c>
      <c r="I162" t="s">
        <v>58</v>
      </c>
      <c r="J162" t="s">
        <v>22</v>
      </c>
      <c r="K162" t="s">
        <v>32</v>
      </c>
      <c r="L162">
        <v>0.18</v>
      </c>
      <c r="M162" t="s">
        <v>40</v>
      </c>
      <c r="N162">
        <v>0.19700000000000001</v>
      </c>
      <c r="O162">
        <v>0.47</v>
      </c>
      <c r="P162">
        <v>0.1343</v>
      </c>
      <c r="Q162">
        <v>0</v>
      </c>
      <c r="R162">
        <v>39</v>
      </c>
      <c r="S162">
        <v>39</v>
      </c>
    </row>
    <row r="163" spans="1:19" x14ac:dyDescent="0.3">
      <c r="A163">
        <v>160</v>
      </c>
      <c r="B163" t="s">
        <v>85</v>
      </c>
      <c r="C163" t="s">
        <v>78</v>
      </c>
      <c r="D163" t="s">
        <v>79</v>
      </c>
      <c r="E163" t="s">
        <v>31</v>
      </c>
      <c r="F163">
        <v>22</v>
      </c>
      <c r="G163" t="s">
        <v>113</v>
      </c>
      <c r="H163" t="b">
        <v>0</v>
      </c>
      <c r="I163" t="s">
        <v>58</v>
      </c>
      <c r="J163" t="s">
        <v>22</v>
      </c>
      <c r="K163" t="s">
        <v>33</v>
      </c>
      <c r="L163">
        <v>0.18</v>
      </c>
      <c r="M163" t="s">
        <v>40</v>
      </c>
      <c r="N163">
        <v>0.19700000000000001</v>
      </c>
      <c r="O163">
        <v>0.43</v>
      </c>
      <c r="P163">
        <v>0.16420000000000001</v>
      </c>
      <c r="Q163">
        <v>2</v>
      </c>
      <c r="R163">
        <v>34</v>
      </c>
      <c r="S163">
        <v>36</v>
      </c>
    </row>
    <row r="164" spans="1:19" x14ac:dyDescent="0.3">
      <c r="A164">
        <v>161</v>
      </c>
      <c r="B164" t="s">
        <v>85</v>
      </c>
      <c r="C164" t="s">
        <v>78</v>
      </c>
      <c r="D164" t="s">
        <v>79</v>
      </c>
      <c r="E164" t="s">
        <v>31</v>
      </c>
      <c r="F164">
        <v>23</v>
      </c>
      <c r="G164" t="s">
        <v>113</v>
      </c>
      <c r="H164" t="b">
        <v>0</v>
      </c>
      <c r="I164" t="s">
        <v>58</v>
      </c>
      <c r="J164" t="s">
        <v>22</v>
      </c>
      <c r="K164" t="s">
        <v>33</v>
      </c>
      <c r="L164">
        <v>0.18</v>
      </c>
      <c r="M164" t="s">
        <v>40</v>
      </c>
      <c r="N164">
        <v>0.19700000000000001</v>
      </c>
      <c r="O164">
        <v>0.51</v>
      </c>
      <c r="P164">
        <v>0.16420000000000001</v>
      </c>
      <c r="Q164">
        <v>1</v>
      </c>
      <c r="R164">
        <v>14</v>
      </c>
      <c r="S164">
        <v>15</v>
      </c>
    </row>
    <row r="165" spans="1:19" x14ac:dyDescent="0.3">
      <c r="A165">
        <v>162</v>
      </c>
      <c r="B165" t="s">
        <v>86</v>
      </c>
      <c r="C165" t="s">
        <v>78</v>
      </c>
      <c r="D165" t="s">
        <v>79</v>
      </c>
      <c r="E165" t="s">
        <v>31</v>
      </c>
      <c r="F165">
        <v>0</v>
      </c>
      <c r="G165" t="s">
        <v>116</v>
      </c>
      <c r="H165" t="b">
        <v>0</v>
      </c>
      <c r="I165" t="s">
        <v>52</v>
      </c>
      <c r="J165" t="s">
        <v>38</v>
      </c>
      <c r="K165" t="s">
        <v>33</v>
      </c>
      <c r="L165">
        <v>0.18</v>
      </c>
      <c r="M165" t="s">
        <v>40</v>
      </c>
      <c r="N165">
        <v>0.19700000000000001</v>
      </c>
      <c r="O165">
        <v>0.51</v>
      </c>
      <c r="P165">
        <v>0.16420000000000001</v>
      </c>
      <c r="Q165">
        <v>1</v>
      </c>
      <c r="R165">
        <v>24</v>
      </c>
      <c r="S165">
        <v>25</v>
      </c>
    </row>
    <row r="166" spans="1:19" x14ac:dyDescent="0.3">
      <c r="A166">
        <v>163</v>
      </c>
      <c r="B166" t="s">
        <v>86</v>
      </c>
      <c r="C166" t="s">
        <v>78</v>
      </c>
      <c r="D166" t="s">
        <v>79</v>
      </c>
      <c r="E166" t="s">
        <v>31</v>
      </c>
      <c r="F166">
        <v>1</v>
      </c>
      <c r="G166" t="s">
        <v>116</v>
      </c>
      <c r="H166" t="b">
        <v>0</v>
      </c>
      <c r="I166" t="s">
        <v>52</v>
      </c>
      <c r="J166" t="s">
        <v>38</v>
      </c>
      <c r="K166" t="s">
        <v>33</v>
      </c>
      <c r="L166">
        <v>0.18</v>
      </c>
      <c r="M166" t="s">
        <v>40</v>
      </c>
      <c r="N166">
        <v>0.21210000000000001</v>
      </c>
      <c r="O166">
        <v>0.55000000000000004</v>
      </c>
      <c r="P166">
        <v>8.9599999999999999E-2</v>
      </c>
      <c r="Q166">
        <v>1</v>
      </c>
      <c r="R166">
        <v>15</v>
      </c>
      <c r="S166">
        <v>16</v>
      </c>
    </row>
    <row r="167" spans="1:19" x14ac:dyDescent="0.3">
      <c r="A167">
        <v>164</v>
      </c>
      <c r="B167" t="s">
        <v>86</v>
      </c>
      <c r="C167" t="s">
        <v>78</v>
      </c>
      <c r="D167" t="s">
        <v>79</v>
      </c>
      <c r="E167" t="s">
        <v>31</v>
      </c>
      <c r="F167">
        <v>2</v>
      </c>
      <c r="G167" t="s">
        <v>116</v>
      </c>
      <c r="H167" t="b">
        <v>0</v>
      </c>
      <c r="I167" t="s">
        <v>52</v>
      </c>
      <c r="J167" t="s">
        <v>38</v>
      </c>
      <c r="K167" t="s">
        <v>33</v>
      </c>
      <c r="L167">
        <v>0.18</v>
      </c>
      <c r="M167" t="s">
        <v>40</v>
      </c>
      <c r="N167">
        <v>0.2424</v>
      </c>
      <c r="O167">
        <v>0.55000000000000004</v>
      </c>
      <c r="P167">
        <v>0</v>
      </c>
      <c r="Q167">
        <v>3</v>
      </c>
      <c r="R167">
        <v>13</v>
      </c>
      <c r="S167">
        <v>16</v>
      </c>
    </row>
    <row r="168" spans="1:19" x14ac:dyDescent="0.3">
      <c r="A168">
        <v>165</v>
      </c>
      <c r="B168" t="s">
        <v>86</v>
      </c>
      <c r="C168" t="s">
        <v>78</v>
      </c>
      <c r="D168" t="s">
        <v>79</v>
      </c>
      <c r="E168" t="s">
        <v>31</v>
      </c>
      <c r="F168">
        <v>3</v>
      </c>
      <c r="G168" t="s">
        <v>116</v>
      </c>
      <c r="H168" t="b">
        <v>0</v>
      </c>
      <c r="I168" t="s">
        <v>52</v>
      </c>
      <c r="J168" t="s">
        <v>38</v>
      </c>
      <c r="K168" t="s">
        <v>34</v>
      </c>
      <c r="L168">
        <v>0.18</v>
      </c>
      <c r="M168" t="s">
        <v>40</v>
      </c>
      <c r="N168">
        <v>0.19700000000000001</v>
      </c>
      <c r="O168">
        <v>0.55000000000000004</v>
      </c>
      <c r="P168">
        <v>0.16420000000000001</v>
      </c>
      <c r="Q168">
        <v>0</v>
      </c>
      <c r="R168">
        <v>7</v>
      </c>
      <c r="S168">
        <v>7</v>
      </c>
    </row>
    <row r="169" spans="1:19" x14ac:dyDescent="0.3">
      <c r="A169">
        <v>166</v>
      </c>
      <c r="B169" t="s">
        <v>86</v>
      </c>
      <c r="C169" t="s">
        <v>78</v>
      </c>
      <c r="D169" t="s">
        <v>79</v>
      </c>
      <c r="E169" t="s">
        <v>31</v>
      </c>
      <c r="F169">
        <v>4</v>
      </c>
      <c r="G169" t="s">
        <v>116</v>
      </c>
      <c r="H169" t="b">
        <v>0</v>
      </c>
      <c r="I169" t="s">
        <v>52</v>
      </c>
      <c r="J169" t="s">
        <v>38</v>
      </c>
      <c r="K169" t="s">
        <v>34</v>
      </c>
      <c r="L169">
        <v>0.18</v>
      </c>
      <c r="M169" t="s">
        <v>40</v>
      </c>
      <c r="N169">
        <v>0.19700000000000001</v>
      </c>
      <c r="O169">
        <v>0.55000000000000004</v>
      </c>
      <c r="P169">
        <v>0.16420000000000001</v>
      </c>
      <c r="Q169">
        <v>0</v>
      </c>
      <c r="R169">
        <v>1</v>
      </c>
      <c r="S169">
        <v>1</v>
      </c>
    </row>
    <row r="170" spans="1:19" x14ac:dyDescent="0.3">
      <c r="A170">
        <v>167</v>
      </c>
      <c r="B170" t="s">
        <v>86</v>
      </c>
      <c r="C170" t="s">
        <v>78</v>
      </c>
      <c r="D170" t="s">
        <v>79</v>
      </c>
      <c r="E170" t="s">
        <v>31</v>
      </c>
      <c r="F170">
        <v>5</v>
      </c>
      <c r="G170" t="s">
        <v>116</v>
      </c>
      <c r="H170" t="b">
        <v>0</v>
      </c>
      <c r="I170" t="s">
        <v>52</v>
      </c>
      <c r="J170" t="s">
        <v>38</v>
      </c>
      <c r="K170" t="s">
        <v>33</v>
      </c>
      <c r="L170">
        <v>0.16</v>
      </c>
      <c r="M170" t="s">
        <v>40</v>
      </c>
      <c r="N170">
        <v>0.16669999999999999</v>
      </c>
      <c r="O170">
        <v>0.74</v>
      </c>
      <c r="P170">
        <v>0.16420000000000001</v>
      </c>
      <c r="Q170">
        <v>0</v>
      </c>
      <c r="R170">
        <v>5</v>
      </c>
      <c r="S170">
        <v>5</v>
      </c>
    </row>
    <row r="171" spans="1:19" x14ac:dyDescent="0.3">
      <c r="A171">
        <v>168</v>
      </c>
      <c r="B171" t="s">
        <v>86</v>
      </c>
      <c r="C171" t="s">
        <v>78</v>
      </c>
      <c r="D171" t="s">
        <v>79</v>
      </c>
      <c r="E171" t="s">
        <v>31</v>
      </c>
      <c r="F171">
        <v>6</v>
      </c>
      <c r="G171" t="s">
        <v>115</v>
      </c>
      <c r="H171" t="b">
        <v>0</v>
      </c>
      <c r="I171" t="s">
        <v>52</v>
      </c>
      <c r="J171" t="s">
        <v>38</v>
      </c>
      <c r="K171" t="s">
        <v>33</v>
      </c>
      <c r="L171">
        <v>0.16</v>
      </c>
      <c r="M171" t="s">
        <v>40</v>
      </c>
      <c r="N171">
        <v>0.16669999999999999</v>
      </c>
      <c r="O171">
        <v>0.74</v>
      </c>
      <c r="P171">
        <v>0.16420000000000001</v>
      </c>
      <c r="Q171">
        <v>0</v>
      </c>
      <c r="R171">
        <v>2</v>
      </c>
      <c r="S171">
        <v>2</v>
      </c>
    </row>
    <row r="172" spans="1:19" x14ac:dyDescent="0.3">
      <c r="A172">
        <v>169</v>
      </c>
      <c r="B172" t="s">
        <v>86</v>
      </c>
      <c r="C172" t="s">
        <v>78</v>
      </c>
      <c r="D172" t="s">
        <v>79</v>
      </c>
      <c r="E172" t="s">
        <v>31</v>
      </c>
      <c r="F172">
        <v>7</v>
      </c>
      <c r="G172" t="s">
        <v>115</v>
      </c>
      <c r="H172" t="b">
        <v>0</v>
      </c>
      <c r="I172" t="s">
        <v>52</v>
      </c>
      <c r="J172" t="s">
        <v>38</v>
      </c>
      <c r="K172" t="s">
        <v>33</v>
      </c>
      <c r="L172">
        <v>0.16</v>
      </c>
      <c r="M172" t="s">
        <v>40</v>
      </c>
      <c r="N172">
        <v>0.18179999999999999</v>
      </c>
      <c r="O172">
        <v>0.74</v>
      </c>
      <c r="P172">
        <v>0.1045</v>
      </c>
      <c r="Q172">
        <v>1</v>
      </c>
      <c r="R172">
        <v>8</v>
      </c>
      <c r="S172">
        <v>9</v>
      </c>
    </row>
    <row r="173" spans="1:19" x14ac:dyDescent="0.3">
      <c r="A173">
        <v>170</v>
      </c>
      <c r="B173" t="s">
        <v>86</v>
      </c>
      <c r="C173" t="s">
        <v>78</v>
      </c>
      <c r="D173" t="s">
        <v>79</v>
      </c>
      <c r="E173" t="s">
        <v>31</v>
      </c>
      <c r="F173">
        <v>8</v>
      </c>
      <c r="G173" t="s">
        <v>115</v>
      </c>
      <c r="H173" t="b">
        <v>0</v>
      </c>
      <c r="I173" t="s">
        <v>52</v>
      </c>
      <c r="J173" t="s">
        <v>38</v>
      </c>
      <c r="K173" t="s">
        <v>34</v>
      </c>
      <c r="L173">
        <v>0.16</v>
      </c>
      <c r="M173" t="s">
        <v>40</v>
      </c>
      <c r="N173">
        <v>0.18179999999999999</v>
      </c>
      <c r="O173">
        <v>0.93</v>
      </c>
      <c r="P173">
        <v>0.1045</v>
      </c>
      <c r="Q173">
        <v>0</v>
      </c>
      <c r="R173">
        <v>15</v>
      </c>
      <c r="S173">
        <v>15</v>
      </c>
    </row>
    <row r="174" spans="1:19" x14ac:dyDescent="0.3">
      <c r="A174">
        <v>171</v>
      </c>
      <c r="B174" t="s">
        <v>86</v>
      </c>
      <c r="C174" t="s">
        <v>78</v>
      </c>
      <c r="D174" t="s">
        <v>79</v>
      </c>
      <c r="E174" t="s">
        <v>31</v>
      </c>
      <c r="F174">
        <v>9</v>
      </c>
      <c r="G174" t="s">
        <v>115</v>
      </c>
      <c r="H174" t="b">
        <v>0</v>
      </c>
      <c r="I174" t="s">
        <v>52</v>
      </c>
      <c r="J174" t="s">
        <v>38</v>
      </c>
      <c r="K174" t="s">
        <v>34</v>
      </c>
      <c r="L174">
        <v>0.16</v>
      </c>
      <c r="M174" t="s">
        <v>40</v>
      </c>
      <c r="N174">
        <v>0.18179999999999999</v>
      </c>
      <c r="O174">
        <v>0.93</v>
      </c>
      <c r="P174">
        <v>0.1045</v>
      </c>
      <c r="Q174">
        <v>0</v>
      </c>
      <c r="R174">
        <v>20</v>
      </c>
      <c r="S174">
        <v>20</v>
      </c>
    </row>
    <row r="175" spans="1:19" x14ac:dyDescent="0.3">
      <c r="A175">
        <v>172</v>
      </c>
      <c r="B175" t="s">
        <v>86</v>
      </c>
      <c r="C175" t="s">
        <v>78</v>
      </c>
      <c r="D175" t="s">
        <v>79</v>
      </c>
      <c r="E175" t="s">
        <v>31</v>
      </c>
      <c r="F175">
        <v>10</v>
      </c>
      <c r="G175" t="s">
        <v>115</v>
      </c>
      <c r="H175" t="b">
        <v>0</v>
      </c>
      <c r="I175" t="s">
        <v>52</v>
      </c>
      <c r="J175" t="s">
        <v>38</v>
      </c>
      <c r="K175" t="s">
        <v>33</v>
      </c>
      <c r="L175">
        <v>0.18</v>
      </c>
      <c r="M175" t="s">
        <v>40</v>
      </c>
      <c r="N175">
        <v>0.19700000000000001</v>
      </c>
      <c r="O175">
        <v>0.8</v>
      </c>
      <c r="P175">
        <v>0.16420000000000001</v>
      </c>
      <c r="Q175">
        <v>5</v>
      </c>
      <c r="R175">
        <v>56</v>
      </c>
      <c r="S175">
        <v>61</v>
      </c>
    </row>
    <row r="176" spans="1:19" x14ac:dyDescent="0.3">
      <c r="A176">
        <v>173</v>
      </c>
      <c r="B176" t="s">
        <v>86</v>
      </c>
      <c r="C176" t="s">
        <v>78</v>
      </c>
      <c r="D176" t="s">
        <v>79</v>
      </c>
      <c r="E176" t="s">
        <v>31</v>
      </c>
      <c r="F176">
        <v>11</v>
      </c>
      <c r="G176" t="s">
        <v>115</v>
      </c>
      <c r="H176" t="b">
        <v>0</v>
      </c>
      <c r="I176" t="s">
        <v>52</v>
      </c>
      <c r="J176" t="s">
        <v>38</v>
      </c>
      <c r="K176" t="s">
        <v>33</v>
      </c>
      <c r="L176">
        <v>0.2</v>
      </c>
      <c r="M176" t="s">
        <v>40</v>
      </c>
      <c r="N176">
        <v>0.18179999999999999</v>
      </c>
      <c r="O176">
        <v>0.69</v>
      </c>
      <c r="P176">
        <v>0.3881</v>
      </c>
      <c r="Q176">
        <v>2</v>
      </c>
      <c r="R176">
        <v>60</v>
      </c>
      <c r="S176">
        <v>62</v>
      </c>
    </row>
    <row r="177" spans="1:19" x14ac:dyDescent="0.3">
      <c r="A177">
        <v>174</v>
      </c>
      <c r="B177" t="s">
        <v>86</v>
      </c>
      <c r="C177" t="s">
        <v>78</v>
      </c>
      <c r="D177" t="s">
        <v>79</v>
      </c>
      <c r="E177" t="s">
        <v>31</v>
      </c>
      <c r="F177">
        <v>12</v>
      </c>
      <c r="G177" t="s">
        <v>114</v>
      </c>
      <c r="H177" t="b">
        <v>0</v>
      </c>
      <c r="I177" t="s">
        <v>52</v>
      </c>
      <c r="J177" t="s">
        <v>38</v>
      </c>
      <c r="K177" t="s">
        <v>33</v>
      </c>
      <c r="L177">
        <v>0.2</v>
      </c>
      <c r="M177" t="s">
        <v>40</v>
      </c>
      <c r="N177">
        <v>0.18179999999999999</v>
      </c>
      <c r="O177">
        <v>0.59</v>
      </c>
      <c r="P177">
        <v>0.35820000000000002</v>
      </c>
      <c r="Q177">
        <v>8</v>
      </c>
      <c r="R177">
        <v>90</v>
      </c>
      <c r="S177">
        <v>98</v>
      </c>
    </row>
    <row r="178" spans="1:19" x14ac:dyDescent="0.3">
      <c r="A178">
        <v>175</v>
      </c>
      <c r="B178" t="s">
        <v>86</v>
      </c>
      <c r="C178" t="s">
        <v>78</v>
      </c>
      <c r="D178" t="s">
        <v>79</v>
      </c>
      <c r="E178" t="s">
        <v>31</v>
      </c>
      <c r="F178">
        <v>13</v>
      </c>
      <c r="G178" t="s">
        <v>114</v>
      </c>
      <c r="H178" t="b">
        <v>0</v>
      </c>
      <c r="I178" t="s">
        <v>52</v>
      </c>
      <c r="J178" t="s">
        <v>38</v>
      </c>
      <c r="K178" t="s">
        <v>32</v>
      </c>
      <c r="L178">
        <v>0.2</v>
      </c>
      <c r="M178" t="s">
        <v>40</v>
      </c>
      <c r="N178">
        <v>0.18179999999999999</v>
      </c>
      <c r="O178">
        <v>0.44</v>
      </c>
      <c r="P178">
        <v>0.32840000000000003</v>
      </c>
      <c r="Q178">
        <v>7</v>
      </c>
      <c r="R178">
        <v>95</v>
      </c>
      <c r="S178">
        <v>102</v>
      </c>
    </row>
    <row r="179" spans="1:19" x14ac:dyDescent="0.3">
      <c r="A179">
        <v>176</v>
      </c>
      <c r="B179" t="s">
        <v>86</v>
      </c>
      <c r="C179" t="s">
        <v>78</v>
      </c>
      <c r="D179" t="s">
        <v>79</v>
      </c>
      <c r="E179" t="s">
        <v>31</v>
      </c>
      <c r="F179">
        <v>14</v>
      </c>
      <c r="G179" t="s">
        <v>114</v>
      </c>
      <c r="H179" t="b">
        <v>0</v>
      </c>
      <c r="I179" t="s">
        <v>52</v>
      </c>
      <c r="J179" t="s">
        <v>38</v>
      </c>
      <c r="K179" t="s">
        <v>32</v>
      </c>
      <c r="L179">
        <v>0.2</v>
      </c>
      <c r="M179" t="s">
        <v>40</v>
      </c>
      <c r="N179">
        <v>0.16669999999999999</v>
      </c>
      <c r="O179">
        <v>0.32</v>
      </c>
      <c r="P179">
        <v>0.49249999999999999</v>
      </c>
      <c r="Q179">
        <v>12</v>
      </c>
      <c r="R179">
        <v>83</v>
      </c>
      <c r="S179">
        <v>95</v>
      </c>
    </row>
    <row r="180" spans="1:19" x14ac:dyDescent="0.3">
      <c r="A180">
        <v>177</v>
      </c>
      <c r="B180" t="s">
        <v>86</v>
      </c>
      <c r="C180" t="s">
        <v>78</v>
      </c>
      <c r="D180" t="s">
        <v>79</v>
      </c>
      <c r="E180" t="s">
        <v>31</v>
      </c>
      <c r="F180">
        <v>15</v>
      </c>
      <c r="G180" t="s">
        <v>114</v>
      </c>
      <c r="H180" t="b">
        <v>0</v>
      </c>
      <c r="I180" t="s">
        <v>52</v>
      </c>
      <c r="J180" t="s">
        <v>38</v>
      </c>
      <c r="K180" t="s">
        <v>32</v>
      </c>
      <c r="L180">
        <v>0.2</v>
      </c>
      <c r="M180" t="s">
        <v>40</v>
      </c>
      <c r="N180">
        <v>0.16669999999999999</v>
      </c>
      <c r="O180">
        <v>0.32</v>
      </c>
      <c r="P180">
        <v>0.44779999999999998</v>
      </c>
      <c r="Q180">
        <v>5</v>
      </c>
      <c r="R180">
        <v>69</v>
      </c>
      <c r="S180">
        <v>74</v>
      </c>
    </row>
    <row r="181" spans="1:19" x14ac:dyDescent="0.3">
      <c r="A181">
        <v>178</v>
      </c>
      <c r="B181" t="s">
        <v>86</v>
      </c>
      <c r="C181" t="s">
        <v>78</v>
      </c>
      <c r="D181" t="s">
        <v>79</v>
      </c>
      <c r="E181" t="s">
        <v>31</v>
      </c>
      <c r="F181">
        <v>16</v>
      </c>
      <c r="G181" t="s">
        <v>114</v>
      </c>
      <c r="H181" t="b">
        <v>0</v>
      </c>
      <c r="I181" t="s">
        <v>52</v>
      </c>
      <c r="J181" t="s">
        <v>38</v>
      </c>
      <c r="K181" t="s">
        <v>32</v>
      </c>
      <c r="L181">
        <v>0.18</v>
      </c>
      <c r="M181" t="s">
        <v>40</v>
      </c>
      <c r="N181">
        <v>0.13639999999999999</v>
      </c>
      <c r="O181">
        <v>0.28999999999999998</v>
      </c>
      <c r="P181">
        <v>0.44779999999999998</v>
      </c>
      <c r="Q181">
        <v>8</v>
      </c>
      <c r="R181">
        <v>68</v>
      </c>
      <c r="S181">
        <v>76</v>
      </c>
    </row>
    <row r="182" spans="1:19" x14ac:dyDescent="0.3">
      <c r="A182">
        <v>179</v>
      </c>
      <c r="B182" t="s">
        <v>86</v>
      </c>
      <c r="C182" t="s">
        <v>78</v>
      </c>
      <c r="D182" t="s">
        <v>79</v>
      </c>
      <c r="E182" t="s">
        <v>31</v>
      </c>
      <c r="F182">
        <v>17</v>
      </c>
      <c r="G182" t="s">
        <v>114</v>
      </c>
      <c r="H182" t="b">
        <v>0</v>
      </c>
      <c r="I182" t="s">
        <v>52</v>
      </c>
      <c r="J182" t="s">
        <v>38</v>
      </c>
      <c r="K182" t="s">
        <v>32</v>
      </c>
      <c r="L182">
        <v>0.16</v>
      </c>
      <c r="M182" t="s">
        <v>40</v>
      </c>
      <c r="N182">
        <v>0.1212</v>
      </c>
      <c r="O182">
        <v>0.37</v>
      </c>
      <c r="P182">
        <v>0.55220000000000002</v>
      </c>
      <c r="Q182">
        <v>5</v>
      </c>
      <c r="R182">
        <v>64</v>
      </c>
      <c r="S182">
        <v>69</v>
      </c>
    </row>
    <row r="183" spans="1:19" x14ac:dyDescent="0.3">
      <c r="A183">
        <v>180</v>
      </c>
      <c r="B183" t="s">
        <v>86</v>
      </c>
      <c r="C183" t="s">
        <v>78</v>
      </c>
      <c r="D183" t="s">
        <v>79</v>
      </c>
      <c r="E183" t="s">
        <v>31</v>
      </c>
      <c r="F183">
        <v>18</v>
      </c>
      <c r="G183" t="s">
        <v>113</v>
      </c>
      <c r="H183" t="b">
        <v>0</v>
      </c>
      <c r="I183" t="s">
        <v>52</v>
      </c>
      <c r="J183" t="s">
        <v>38</v>
      </c>
      <c r="K183" t="s">
        <v>32</v>
      </c>
      <c r="L183">
        <v>0.14000000000000001</v>
      </c>
      <c r="M183" t="s">
        <v>44</v>
      </c>
      <c r="N183">
        <v>0.1212</v>
      </c>
      <c r="O183">
        <v>0.39</v>
      </c>
      <c r="P183">
        <v>0.29849999999999999</v>
      </c>
      <c r="Q183">
        <v>3</v>
      </c>
      <c r="R183">
        <v>52</v>
      </c>
      <c r="S183">
        <v>55</v>
      </c>
    </row>
    <row r="184" spans="1:19" x14ac:dyDescent="0.3">
      <c r="A184">
        <v>181</v>
      </c>
      <c r="B184" t="s">
        <v>86</v>
      </c>
      <c r="C184" t="s">
        <v>78</v>
      </c>
      <c r="D184" t="s">
        <v>79</v>
      </c>
      <c r="E184" t="s">
        <v>31</v>
      </c>
      <c r="F184">
        <v>19</v>
      </c>
      <c r="G184" t="s">
        <v>113</v>
      </c>
      <c r="H184" t="b">
        <v>0</v>
      </c>
      <c r="I184" t="s">
        <v>52</v>
      </c>
      <c r="J184" t="s">
        <v>38</v>
      </c>
      <c r="K184" t="s">
        <v>32</v>
      </c>
      <c r="L184">
        <v>0.14000000000000001</v>
      </c>
      <c r="M184" t="s">
        <v>44</v>
      </c>
      <c r="N184">
        <v>0.1212</v>
      </c>
      <c r="O184">
        <v>0.36</v>
      </c>
      <c r="P184">
        <v>0.25369999999999998</v>
      </c>
      <c r="Q184">
        <v>4</v>
      </c>
      <c r="R184">
        <v>26</v>
      </c>
      <c r="S184">
        <v>30</v>
      </c>
    </row>
    <row r="185" spans="1:19" x14ac:dyDescent="0.3">
      <c r="A185">
        <v>182</v>
      </c>
      <c r="B185" t="s">
        <v>86</v>
      </c>
      <c r="C185" t="s">
        <v>78</v>
      </c>
      <c r="D185" t="s">
        <v>79</v>
      </c>
      <c r="E185" t="s">
        <v>31</v>
      </c>
      <c r="F185">
        <v>20</v>
      </c>
      <c r="G185" t="s">
        <v>113</v>
      </c>
      <c r="H185" t="b">
        <v>0</v>
      </c>
      <c r="I185" t="s">
        <v>52</v>
      </c>
      <c r="J185" t="s">
        <v>38</v>
      </c>
      <c r="K185" t="s">
        <v>32</v>
      </c>
      <c r="L185">
        <v>0.12</v>
      </c>
      <c r="M185" t="s">
        <v>44</v>
      </c>
      <c r="N185">
        <v>0.1212</v>
      </c>
      <c r="O185">
        <v>0.36</v>
      </c>
      <c r="P185">
        <v>0.25369999999999998</v>
      </c>
      <c r="Q185">
        <v>0</v>
      </c>
      <c r="R185">
        <v>28</v>
      </c>
      <c r="S185">
        <v>28</v>
      </c>
    </row>
    <row r="186" spans="1:19" x14ac:dyDescent="0.3">
      <c r="A186">
        <v>183</v>
      </c>
      <c r="B186" t="s">
        <v>86</v>
      </c>
      <c r="C186" t="s">
        <v>78</v>
      </c>
      <c r="D186" t="s">
        <v>79</v>
      </c>
      <c r="E186" t="s">
        <v>31</v>
      </c>
      <c r="F186">
        <v>21</v>
      </c>
      <c r="G186" t="s">
        <v>113</v>
      </c>
      <c r="H186" t="b">
        <v>0</v>
      </c>
      <c r="I186" t="s">
        <v>52</v>
      </c>
      <c r="J186" t="s">
        <v>38</v>
      </c>
      <c r="K186" t="s">
        <v>32</v>
      </c>
      <c r="L186">
        <v>0.12</v>
      </c>
      <c r="M186" t="s">
        <v>44</v>
      </c>
      <c r="N186">
        <v>0.1061</v>
      </c>
      <c r="O186">
        <v>0.39</v>
      </c>
      <c r="P186">
        <v>0.35820000000000002</v>
      </c>
      <c r="Q186">
        <v>2</v>
      </c>
      <c r="R186">
        <v>35</v>
      </c>
      <c r="S186">
        <v>37</v>
      </c>
    </row>
    <row r="187" spans="1:19" x14ac:dyDescent="0.3">
      <c r="A187">
        <v>184</v>
      </c>
      <c r="B187" t="s">
        <v>86</v>
      </c>
      <c r="C187" t="s">
        <v>78</v>
      </c>
      <c r="D187" t="s">
        <v>79</v>
      </c>
      <c r="E187" t="s">
        <v>31</v>
      </c>
      <c r="F187">
        <v>22</v>
      </c>
      <c r="G187" t="s">
        <v>113</v>
      </c>
      <c r="H187" t="b">
        <v>0</v>
      </c>
      <c r="I187" t="s">
        <v>52</v>
      </c>
      <c r="J187" t="s">
        <v>38</v>
      </c>
      <c r="K187" t="s">
        <v>32</v>
      </c>
      <c r="L187">
        <v>0.12</v>
      </c>
      <c r="M187" t="s">
        <v>44</v>
      </c>
      <c r="N187">
        <v>0.1061</v>
      </c>
      <c r="O187">
        <v>0.36</v>
      </c>
      <c r="P187">
        <v>0.3881</v>
      </c>
      <c r="Q187">
        <v>1</v>
      </c>
      <c r="R187">
        <v>33</v>
      </c>
      <c r="S187">
        <v>34</v>
      </c>
    </row>
    <row r="188" spans="1:19" x14ac:dyDescent="0.3">
      <c r="A188">
        <v>185</v>
      </c>
      <c r="B188" t="s">
        <v>86</v>
      </c>
      <c r="C188" t="s">
        <v>78</v>
      </c>
      <c r="D188" t="s">
        <v>79</v>
      </c>
      <c r="E188" t="s">
        <v>31</v>
      </c>
      <c r="F188">
        <v>23</v>
      </c>
      <c r="G188" t="s">
        <v>113</v>
      </c>
      <c r="H188" t="b">
        <v>0</v>
      </c>
      <c r="I188" t="s">
        <v>52</v>
      </c>
      <c r="J188" t="s">
        <v>38</v>
      </c>
      <c r="K188" t="s">
        <v>32</v>
      </c>
      <c r="L188">
        <v>0.1</v>
      </c>
      <c r="M188" t="s">
        <v>44</v>
      </c>
      <c r="N188">
        <v>6.0600000000000001E-2</v>
      </c>
      <c r="O188">
        <v>0.39</v>
      </c>
      <c r="P188">
        <v>0.44779999999999998</v>
      </c>
      <c r="Q188">
        <v>0</v>
      </c>
      <c r="R188">
        <v>22</v>
      </c>
      <c r="S188">
        <v>22</v>
      </c>
    </row>
    <row r="189" spans="1:19" x14ac:dyDescent="0.3">
      <c r="A189">
        <v>186</v>
      </c>
      <c r="B189" t="s">
        <v>87</v>
      </c>
      <c r="C189" t="s">
        <v>78</v>
      </c>
      <c r="D189" t="s">
        <v>79</v>
      </c>
      <c r="E189" t="s">
        <v>31</v>
      </c>
      <c r="F189">
        <v>0</v>
      </c>
      <c r="G189" t="s">
        <v>116</v>
      </c>
      <c r="H189" t="b">
        <v>0</v>
      </c>
      <c r="I189" t="s">
        <v>53</v>
      </c>
      <c r="J189" t="s">
        <v>38</v>
      </c>
      <c r="K189" t="s">
        <v>32</v>
      </c>
      <c r="L189">
        <v>0.1</v>
      </c>
      <c r="M189" t="s">
        <v>44</v>
      </c>
      <c r="N189">
        <v>7.5800000000000006E-2</v>
      </c>
      <c r="O189">
        <v>0.42</v>
      </c>
      <c r="P189">
        <v>0.3881</v>
      </c>
      <c r="Q189">
        <v>1</v>
      </c>
      <c r="R189">
        <v>24</v>
      </c>
      <c r="S189">
        <v>25</v>
      </c>
    </row>
    <row r="190" spans="1:19" x14ac:dyDescent="0.3">
      <c r="A190">
        <v>187</v>
      </c>
      <c r="B190" t="s">
        <v>87</v>
      </c>
      <c r="C190" t="s">
        <v>78</v>
      </c>
      <c r="D190" t="s">
        <v>79</v>
      </c>
      <c r="E190" t="s">
        <v>31</v>
      </c>
      <c r="F190">
        <v>1</v>
      </c>
      <c r="G190" t="s">
        <v>116</v>
      </c>
      <c r="H190" t="b">
        <v>0</v>
      </c>
      <c r="I190" t="s">
        <v>53</v>
      </c>
      <c r="J190" t="s">
        <v>38</v>
      </c>
      <c r="K190" t="s">
        <v>32</v>
      </c>
      <c r="L190">
        <v>0.1</v>
      </c>
      <c r="M190" t="s">
        <v>44</v>
      </c>
      <c r="N190">
        <v>6.0600000000000001E-2</v>
      </c>
      <c r="O190">
        <v>0.42</v>
      </c>
      <c r="P190">
        <v>0.4627</v>
      </c>
      <c r="Q190">
        <v>0</v>
      </c>
      <c r="R190">
        <v>12</v>
      </c>
      <c r="S190">
        <v>12</v>
      </c>
    </row>
    <row r="191" spans="1:19" x14ac:dyDescent="0.3">
      <c r="A191">
        <v>188</v>
      </c>
      <c r="B191" t="s">
        <v>87</v>
      </c>
      <c r="C191" t="s">
        <v>78</v>
      </c>
      <c r="D191" t="s">
        <v>79</v>
      </c>
      <c r="E191" t="s">
        <v>31</v>
      </c>
      <c r="F191">
        <v>2</v>
      </c>
      <c r="G191" t="s">
        <v>116</v>
      </c>
      <c r="H191" t="b">
        <v>0</v>
      </c>
      <c r="I191" t="s">
        <v>53</v>
      </c>
      <c r="J191" t="s">
        <v>38</v>
      </c>
      <c r="K191" t="s">
        <v>32</v>
      </c>
      <c r="L191">
        <v>0.1</v>
      </c>
      <c r="M191" t="s">
        <v>44</v>
      </c>
      <c r="N191">
        <v>6.0600000000000001E-2</v>
      </c>
      <c r="O191">
        <v>0.46</v>
      </c>
      <c r="P191">
        <v>0.4627</v>
      </c>
      <c r="Q191">
        <v>0</v>
      </c>
      <c r="R191">
        <v>11</v>
      </c>
      <c r="S191">
        <v>11</v>
      </c>
    </row>
    <row r="192" spans="1:19" x14ac:dyDescent="0.3">
      <c r="A192">
        <v>189</v>
      </c>
      <c r="B192" t="s">
        <v>87</v>
      </c>
      <c r="C192" t="s">
        <v>78</v>
      </c>
      <c r="D192" t="s">
        <v>79</v>
      </c>
      <c r="E192" t="s">
        <v>31</v>
      </c>
      <c r="F192">
        <v>3</v>
      </c>
      <c r="G192" t="s">
        <v>116</v>
      </c>
      <c r="H192" t="b">
        <v>0</v>
      </c>
      <c r="I192" t="s">
        <v>53</v>
      </c>
      <c r="J192" t="s">
        <v>38</v>
      </c>
      <c r="K192" t="s">
        <v>32</v>
      </c>
      <c r="L192">
        <v>0.1</v>
      </c>
      <c r="M192" t="s">
        <v>44</v>
      </c>
      <c r="N192">
        <v>7.5800000000000006E-2</v>
      </c>
      <c r="O192">
        <v>0.46</v>
      </c>
      <c r="P192">
        <v>0.41789999999999999</v>
      </c>
      <c r="Q192">
        <v>0</v>
      </c>
      <c r="R192">
        <v>4</v>
      </c>
      <c r="S192">
        <v>4</v>
      </c>
    </row>
    <row r="193" spans="1:19" x14ac:dyDescent="0.3">
      <c r="A193">
        <v>190</v>
      </c>
      <c r="B193" t="s">
        <v>87</v>
      </c>
      <c r="C193" t="s">
        <v>78</v>
      </c>
      <c r="D193" t="s">
        <v>79</v>
      </c>
      <c r="E193" t="s">
        <v>31</v>
      </c>
      <c r="F193">
        <v>4</v>
      </c>
      <c r="G193" t="s">
        <v>116</v>
      </c>
      <c r="H193" t="b">
        <v>0</v>
      </c>
      <c r="I193" t="s">
        <v>53</v>
      </c>
      <c r="J193" t="s">
        <v>38</v>
      </c>
      <c r="K193" t="s">
        <v>32</v>
      </c>
      <c r="L193">
        <v>0.08</v>
      </c>
      <c r="M193" t="s">
        <v>44</v>
      </c>
      <c r="N193">
        <v>9.0899999999999995E-2</v>
      </c>
      <c r="O193">
        <v>0.53</v>
      </c>
      <c r="P193">
        <v>0.19400000000000001</v>
      </c>
      <c r="Q193">
        <v>0</v>
      </c>
      <c r="R193">
        <v>1</v>
      </c>
      <c r="S193">
        <v>1</v>
      </c>
    </row>
    <row r="194" spans="1:19" x14ac:dyDescent="0.3">
      <c r="A194">
        <v>191</v>
      </c>
      <c r="B194" t="s">
        <v>87</v>
      </c>
      <c r="C194" t="s">
        <v>78</v>
      </c>
      <c r="D194" t="s">
        <v>79</v>
      </c>
      <c r="E194" t="s">
        <v>31</v>
      </c>
      <c r="F194">
        <v>5</v>
      </c>
      <c r="G194" t="s">
        <v>116</v>
      </c>
      <c r="H194" t="b">
        <v>0</v>
      </c>
      <c r="I194" t="s">
        <v>53</v>
      </c>
      <c r="J194" t="s">
        <v>38</v>
      </c>
      <c r="K194" t="s">
        <v>32</v>
      </c>
      <c r="L194">
        <v>0.08</v>
      </c>
      <c r="M194" t="s">
        <v>44</v>
      </c>
      <c r="N194">
        <v>9.0899999999999995E-2</v>
      </c>
      <c r="O194">
        <v>0.53</v>
      </c>
      <c r="P194">
        <v>0.19400000000000001</v>
      </c>
      <c r="Q194">
        <v>0</v>
      </c>
      <c r="R194">
        <v>1</v>
      </c>
      <c r="S194">
        <v>1</v>
      </c>
    </row>
    <row r="195" spans="1:19" x14ac:dyDescent="0.3">
      <c r="A195">
        <v>192</v>
      </c>
      <c r="B195" t="s">
        <v>87</v>
      </c>
      <c r="C195" t="s">
        <v>78</v>
      </c>
      <c r="D195" t="s">
        <v>79</v>
      </c>
      <c r="E195" t="s">
        <v>31</v>
      </c>
      <c r="F195">
        <v>6</v>
      </c>
      <c r="G195" t="s">
        <v>115</v>
      </c>
      <c r="H195" t="b">
        <v>0</v>
      </c>
      <c r="I195" t="s">
        <v>53</v>
      </c>
      <c r="J195" t="s">
        <v>38</v>
      </c>
      <c r="K195" t="s">
        <v>32</v>
      </c>
      <c r="L195">
        <v>0.1</v>
      </c>
      <c r="M195" t="s">
        <v>44</v>
      </c>
      <c r="N195">
        <v>9.0899999999999995E-2</v>
      </c>
      <c r="O195">
        <v>0.49</v>
      </c>
      <c r="P195">
        <v>0.28360000000000002</v>
      </c>
      <c r="Q195">
        <v>0</v>
      </c>
      <c r="R195">
        <v>1</v>
      </c>
      <c r="S195">
        <v>1</v>
      </c>
    </row>
    <row r="196" spans="1:19" x14ac:dyDescent="0.3">
      <c r="A196">
        <v>193</v>
      </c>
      <c r="B196" t="s">
        <v>87</v>
      </c>
      <c r="C196" t="s">
        <v>78</v>
      </c>
      <c r="D196" t="s">
        <v>79</v>
      </c>
      <c r="E196" t="s">
        <v>31</v>
      </c>
      <c r="F196">
        <v>7</v>
      </c>
      <c r="G196" t="s">
        <v>115</v>
      </c>
      <c r="H196" t="b">
        <v>0</v>
      </c>
      <c r="I196" t="s">
        <v>53</v>
      </c>
      <c r="J196" t="s">
        <v>38</v>
      </c>
      <c r="K196" t="s">
        <v>32</v>
      </c>
      <c r="L196">
        <v>0.08</v>
      </c>
      <c r="M196" t="s">
        <v>44</v>
      </c>
      <c r="N196">
        <v>9.0899999999999995E-2</v>
      </c>
      <c r="O196">
        <v>0.53</v>
      </c>
      <c r="P196">
        <v>0.19400000000000001</v>
      </c>
      <c r="Q196">
        <v>1</v>
      </c>
      <c r="R196">
        <v>5</v>
      </c>
      <c r="S196">
        <v>6</v>
      </c>
    </row>
    <row r="197" spans="1:19" x14ac:dyDescent="0.3">
      <c r="A197">
        <v>194</v>
      </c>
      <c r="B197" t="s">
        <v>87</v>
      </c>
      <c r="C197" t="s">
        <v>78</v>
      </c>
      <c r="D197" t="s">
        <v>79</v>
      </c>
      <c r="E197" t="s">
        <v>31</v>
      </c>
      <c r="F197">
        <v>8</v>
      </c>
      <c r="G197" t="s">
        <v>115</v>
      </c>
      <c r="H197" t="b">
        <v>0</v>
      </c>
      <c r="I197" t="s">
        <v>53</v>
      </c>
      <c r="J197" t="s">
        <v>38</v>
      </c>
      <c r="K197" t="s">
        <v>32</v>
      </c>
      <c r="L197">
        <v>0.1</v>
      </c>
      <c r="M197" t="s">
        <v>44</v>
      </c>
      <c r="N197">
        <v>9.0899999999999995E-2</v>
      </c>
      <c r="O197">
        <v>0.49</v>
      </c>
      <c r="P197">
        <v>0.28360000000000002</v>
      </c>
      <c r="Q197">
        <v>0</v>
      </c>
      <c r="R197">
        <v>10</v>
      </c>
      <c r="S197">
        <v>10</v>
      </c>
    </row>
    <row r="198" spans="1:19" x14ac:dyDescent="0.3">
      <c r="A198">
        <v>195</v>
      </c>
      <c r="B198" t="s">
        <v>87</v>
      </c>
      <c r="C198" t="s">
        <v>78</v>
      </c>
      <c r="D198" t="s">
        <v>79</v>
      </c>
      <c r="E198" t="s">
        <v>31</v>
      </c>
      <c r="F198">
        <v>9</v>
      </c>
      <c r="G198" t="s">
        <v>115</v>
      </c>
      <c r="H198" t="b">
        <v>0</v>
      </c>
      <c r="I198" t="s">
        <v>53</v>
      </c>
      <c r="J198" t="s">
        <v>38</v>
      </c>
      <c r="K198" t="s">
        <v>32</v>
      </c>
      <c r="L198">
        <v>0.12</v>
      </c>
      <c r="M198" t="s">
        <v>44</v>
      </c>
      <c r="N198">
        <v>7.5800000000000006E-2</v>
      </c>
      <c r="O198">
        <v>0.46</v>
      </c>
      <c r="P198">
        <v>0.52239999999999998</v>
      </c>
      <c r="Q198">
        <v>0</v>
      </c>
      <c r="R198">
        <v>19</v>
      </c>
      <c r="S198">
        <v>19</v>
      </c>
    </row>
    <row r="199" spans="1:19" x14ac:dyDescent="0.3">
      <c r="A199">
        <v>196</v>
      </c>
      <c r="B199" t="s">
        <v>87</v>
      </c>
      <c r="C199" t="s">
        <v>78</v>
      </c>
      <c r="D199" t="s">
        <v>79</v>
      </c>
      <c r="E199" t="s">
        <v>31</v>
      </c>
      <c r="F199">
        <v>10</v>
      </c>
      <c r="G199" t="s">
        <v>115</v>
      </c>
      <c r="H199" t="b">
        <v>0</v>
      </c>
      <c r="I199" t="s">
        <v>53</v>
      </c>
      <c r="J199" t="s">
        <v>38</v>
      </c>
      <c r="K199" t="s">
        <v>32</v>
      </c>
      <c r="L199">
        <v>0.14000000000000001</v>
      </c>
      <c r="M199" t="s">
        <v>44</v>
      </c>
      <c r="N199">
        <v>0.1061</v>
      </c>
      <c r="O199">
        <v>0.43</v>
      </c>
      <c r="P199">
        <v>0.3881</v>
      </c>
      <c r="Q199">
        <v>0</v>
      </c>
      <c r="R199">
        <v>49</v>
      </c>
      <c r="S199">
        <v>49</v>
      </c>
    </row>
    <row r="200" spans="1:19" x14ac:dyDescent="0.3">
      <c r="A200">
        <v>197</v>
      </c>
      <c r="B200" t="s">
        <v>87</v>
      </c>
      <c r="C200" t="s">
        <v>78</v>
      </c>
      <c r="D200" t="s">
        <v>79</v>
      </c>
      <c r="E200" t="s">
        <v>31</v>
      </c>
      <c r="F200">
        <v>11</v>
      </c>
      <c r="G200" t="s">
        <v>115</v>
      </c>
      <c r="H200" t="b">
        <v>0</v>
      </c>
      <c r="I200" t="s">
        <v>53</v>
      </c>
      <c r="J200" t="s">
        <v>38</v>
      </c>
      <c r="K200" t="s">
        <v>32</v>
      </c>
      <c r="L200">
        <v>0.16</v>
      </c>
      <c r="M200" t="s">
        <v>40</v>
      </c>
      <c r="N200">
        <v>0.1212</v>
      </c>
      <c r="O200">
        <v>0.4</v>
      </c>
      <c r="P200">
        <v>0.52239999999999998</v>
      </c>
      <c r="Q200">
        <v>2</v>
      </c>
      <c r="R200">
        <v>47</v>
      </c>
      <c r="S200">
        <v>49</v>
      </c>
    </row>
    <row r="201" spans="1:19" x14ac:dyDescent="0.3">
      <c r="A201">
        <v>198</v>
      </c>
      <c r="B201" t="s">
        <v>87</v>
      </c>
      <c r="C201" t="s">
        <v>78</v>
      </c>
      <c r="D201" t="s">
        <v>79</v>
      </c>
      <c r="E201" t="s">
        <v>31</v>
      </c>
      <c r="F201">
        <v>12</v>
      </c>
      <c r="G201" t="s">
        <v>114</v>
      </c>
      <c r="H201" t="b">
        <v>0</v>
      </c>
      <c r="I201" t="s">
        <v>53</v>
      </c>
      <c r="J201" t="s">
        <v>38</v>
      </c>
      <c r="K201" t="s">
        <v>32</v>
      </c>
      <c r="L201">
        <v>0.18</v>
      </c>
      <c r="M201" t="s">
        <v>40</v>
      </c>
      <c r="N201">
        <v>0.13639999999999999</v>
      </c>
      <c r="O201">
        <v>0.37</v>
      </c>
      <c r="P201">
        <v>0.44779999999999998</v>
      </c>
      <c r="Q201">
        <v>4</v>
      </c>
      <c r="R201">
        <v>79</v>
      </c>
      <c r="S201">
        <v>83</v>
      </c>
    </row>
    <row r="202" spans="1:19" x14ac:dyDescent="0.3">
      <c r="A202">
        <v>199</v>
      </c>
      <c r="B202" t="s">
        <v>87</v>
      </c>
      <c r="C202" t="s">
        <v>78</v>
      </c>
      <c r="D202" t="s">
        <v>79</v>
      </c>
      <c r="E202" t="s">
        <v>31</v>
      </c>
      <c r="F202">
        <v>13</v>
      </c>
      <c r="G202" t="s">
        <v>114</v>
      </c>
      <c r="H202" t="b">
        <v>0</v>
      </c>
      <c r="I202" t="s">
        <v>53</v>
      </c>
      <c r="J202" t="s">
        <v>38</v>
      </c>
      <c r="K202" t="s">
        <v>32</v>
      </c>
      <c r="L202">
        <v>0.2</v>
      </c>
      <c r="M202" t="s">
        <v>40</v>
      </c>
      <c r="N202">
        <v>0.16669999999999999</v>
      </c>
      <c r="O202">
        <v>0.34</v>
      </c>
      <c r="P202">
        <v>0.44779999999999998</v>
      </c>
      <c r="Q202">
        <v>6</v>
      </c>
      <c r="R202">
        <v>69</v>
      </c>
      <c r="S202">
        <v>75</v>
      </c>
    </row>
    <row r="203" spans="1:19" x14ac:dyDescent="0.3">
      <c r="A203">
        <v>200</v>
      </c>
      <c r="B203" t="s">
        <v>87</v>
      </c>
      <c r="C203" t="s">
        <v>78</v>
      </c>
      <c r="D203" t="s">
        <v>79</v>
      </c>
      <c r="E203" t="s">
        <v>31</v>
      </c>
      <c r="F203">
        <v>14</v>
      </c>
      <c r="G203" t="s">
        <v>114</v>
      </c>
      <c r="H203" t="b">
        <v>0</v>
      </c>
      <c r="I203" t="s">
        <v>53</v>
      </c>
      <c r="J203" t="s">
        <v>38</v>
      </c>
      <c r="K203" t="s">
        <v>32</v>
      </c>
      <c r="L203">
        <v>0.22</v>
      </c>
      <c r="M203" t="s">
        <v>40</v>
      </c>
      <c r="N203">
        <v>0.18179999999999999</v>
      </c>
      <c r="O203">
        <v>0.32</v>
      </c>
      <c r="P203">
        <v>0.4627</v>
      </c>
      <c r="Q203">
        <v>8</v>
      </c>
      <c r="R203">
        <v>64</v>
      </c>
      <c r="S203">
        <v>72</v>
      </c>
    </row>
    <row r="204" spans="1:19" x14ac:dyDescent="0.3">
      <c r="A204">
        <v>201</v>
      </c>
      <c r="B204" t="s">
        <v>87</v>
      </c>
      <c r="C204" t="s">
        <v>78</v>
      </c>
      <c r="D204" t="s">
        <v>79</v>
      </c>
      <c r="E204" t="s">
        <v>31</v>
      </c>
      <c r="F204">
        <v>15</v>
      </c>
      <c r="G204" t="s">
        <v>114</v>
      </c>
      <c r="H204" t="b">
        <v>0</v>
      </c>
      <c r="I204" t="s">
        <v>53</v>
      </c>
      <c r="J204" t="s">
        <v>38</v>
      </c>
      <c r="K204" t="s">
        <v>32</v>
      </c>
      <c r="L204">
        <v>0.22</v>
      </c>
      <c r="M204" t="s">
        <v>40</v>
      </c>
      <c r="N204">
        <v>0.19700000000000001</v>
      </c>
      <c r="O204">
        <v>0.35</v>
      </c>
      <c r="P204">
        <v>0.35820000000000002</v>
      </c>
      <c r="Q204">
        <v>5</v>
      </c>
      <c r="R204">
        <v>77</v>
      </c>
      <c r="S204">
        <v>82</v>
      </c>
    </row>
    <row r="205" spans="1:19" x14ac:dyDescent="0.3">
      <c r="A205">
        <v>202</v>
      </c>
      <c r="B205" t="s">
        <v>87</v>
      </c>
      <c r="C205" t="s">
        <v>78</v>
      </c>
      <c r="D205" t="s">
        <v>79</v>
      </c>
      <c r="E205" t="s">
        <v>31</v>
      </c>
      <c r="F205">
        <v>16</v>
      </c>
      <c r="G205" t="s">
        <v>114</v>
      </c>
      <c r="H205" t="b">
        <v>0</v>
      </c>
      <c r="I205" t="s">
        <v>53</v>
      </c>
      <c r="J205" t="s">
        <v>38</v>
      </c>
      <c r="K205" t="s">
        <v>32</v>
      </c>
      <c r="L205">
        <v>0.2</v>
      </c>
      <c r="M205" t="s">
        <v>40</v>
      </c>
      <c r="N205">
        <v>0.16669999999999999</v>
      </c>
      <c r="O205">
        <v>0.34</v>
      </c>
      <c r="P205">
        <v>0.44779999999999998</v>
      </c>
      <c r="Q205">
        <v>13</v>
      </c>
      <c r="R205">
        <v>79</v>
      </c>
      <c r="S205">
        <v>92</v>
      </c>
    </row>
    <row r="206" spans="1:19" x14ac:dyDescent="0.3">
      <c r="A206">
        <v>203</v>
      </c>
      <c r="B206" t="s">
        <v>87</v>
      </c>
      <c r="C206" t="s">
        <v>78</v>
      </c>
      <c r="D206" t="s">
        <v>79</v>
      </c>
      <c r="E206" t="s">
        <v>31</v>
      </c>
      <c r="F206">
        <v>17</v>
      </c>
      <c r="G206" t="s">
        <v>114</v>
      </c>
      <c r="H206" t="b">
        <v>0</v>
      </c>
      <c r="I206" t="s">
        <v>53</v>
      </c>
      <c r="J206" t="s">
        <v>38</v>
      </c>
      <c r="K206" t="s">
        <v>32</v>
      </c>
      <c r="L206">
        <v>0.18</v>
      </c>
      <c r="M206" t="s">
        <v>40</v>
      </c>
      <c r="N206">
        <v>0.1515</v>
      </c>
      <c r="O206">
        <v>0.37</v>
      </c>
      <c r="P206">
        <v>0.3881</v>
      </c>
      <c r="Q206">
        <v>3</v>
      </c>
      <c r="R206">
        <v>59</v>
      </c>
      <c r="S206">
        <v>62</v>
      </c>
    </row>
    <row r="207" spans="1:19" x14ac:dyDescent="0.3">
      <c r="A207">
        <v>204</v>
      </c>
      <c r="B207" t="s">
        <v>87</v>
      </c>
      <c r="C207" t="s">
        <v>78</v>
      </c>
      <c r="D207" t="s">
        <v>79</v>
      </c>
      <c r="E207" t="s">
        <v>31</v>
      </c>
      <c r="F207">
        <v>18</v>
      </c>
      <c r="G207" t="s">
        <v>113</v>
      </c>
      <c r="H207" t="b">
        <v>0</v>
      </c>
      <c r="I207" t="s">
        <v>53</v>
      </c>
      <c r="J207" t="s">
        <v>38</v>
      </c>
      <c r="K207" t="s">
        <v>32</v>
      </c>
      <c r="L207">
        <v>0.16</v>
      </c>
      <c r="M207" t="s">
        <v>40</v>
      </c>
      <c r="N207">
        <v>0.13639999999999999</v>
      </c>
      <c r="O207">
        <v>0.4</v>
      </c>
      <c r="P207">
        <v>0.32840000000000003</v>
      </c>
      <c r="Q207">
        <v>4</v>
      </c>
      <c r="R207">
        <v>44</v>
      </c>
      <c r="S207">
        <v>48</v>
      </c>
    </row>
    <row r="208" spans="1:19" x14ac:dyDescent="0.3">
      <c r="A208">
        <v>205</v>
      </c>
      <c r="B208" t="s">
        <v>87</v>
      </c>
      <c r="C208" t="s">
        <v>78</v>
      </c>
      <c r="D208" t="s">
        <v>79</v>
      </c>
      <c r="E208" t="s">
        <v>31</v>
      </c>
      <c r="F208">
        <v>19</v>
      </c>
      <c r="G208" t="s">
        <v>113</v>
      </c>
      <c r="H208" t="b">
        <v>0</v>
      </c>
      <c r="I208" t="s">
        <v>53</v>
      </c>
      <c r="J208" t="s">
        <v>38</v>
      </c>
      <c r="K208" t="s">
        <v>32</v>
      </c>
      <c r="L208">
        <v>0.16</v>
      </c>
      <c r="M208" t="s">
        <v>40</v>
      </c>
      <c r="N208">
        <v>0.13639999999999999</v>
      </c>
      <c r="O208">
        <v>0.43</v>
      </c>
      <c r="P208">
        <v>0.32840000000000003</v>
      </c>
      <c r="Q208">
        <v>1</v>
      </c>
      <c r="R208">
        <v>40</v>
      </c>
      <c r="S208">
        <v>41</v>
      </c>
    </row>
    <row r="209" spans="1:19" x14ac:dyDescent="0.3">
      <c r="A209">
        <v>206</v>
      </c>
      <c r="B209" t="s">
        <v>87</v>
      </c>
      <c r="C209" t="s">
        <v>78</v>
      </c>
      <c r="D209" t="s">
        <v>79</v>
      </c>
      <c r="E209" t="s">
        <v>31</v>
      </c>
      <c r="F209">
        <v>20</v>
      </c>
      <c r="G209" t="s">
        <v>113</v>
      </c>
      <c r="H209" t="b">
        <v>0</v>
      </c>
      <c r="I209" t="s">
        <v>53</v>
      </c>
      <c r="J209" t="s">
        <v>38</v>
      </c>
      <c r="K209" t="s">
        <v>32</v>
      </c>
      <c r="L209">
        <v>0.14000000000000001</v>
      </c>
      <c r="M209" t="s">
        <v>44</v>
      </c>
      <c r="N209">
        <v>0.1212</v>
      </c>
      <c r="O209">
        <v>0.46</v>
      </c>
      <c r="P209">
        <v>0.25369999999999998</v>
      </c>
      <c r="Q209">
        <v>0</v>
      </c>
      <c r="R209">
        <v>38</v>
      </c>
      <c r="S209">
        <v>38</v>
      </c>
    </row>
    <row r="210" spans="1:19" x14ac:dyDescent="0.3">
      <c r="A210">
        <v>207</v>
      </c>
      <c r="B210" t="s">
        <v>87</v>
      </c>
      <c r="C210" t="s">
        <v>78</v>
      </c>
      <c r="D210" t="s">
        <v>79</v>
      </c>
      <c r="E210" t="s">
        <v>31</v>
      </c>
      <c r="F210">
        <v>21</v>
      </c>
      <c r="G210" t="s">
        <v>113</v>
      </c>
      <c r="H210" t="b">
        <v>0</v>
      </c>
      <c r="I210" t="s">
        <v>53</v>
      </c>
      <c r="J210" t="s">
        <v>38</v>
      </c>
      <c r="K210" t="s">
        <v>32</v>
      </c>
      <c r="L210">
        <v>0.14000000000000001</v>
      </c>
      <c r="M210" t="s">
        <v>44</v>
      </c>
      <c r="N210">
        <v>0.1061</v>
      </c>
      <c r="O210">
        <v>0.46</v>
      </c>
      <c r="P210">
        <v>0.41789999999999999</v>
      </c>
      <c r="Q210">
        <v>1</v>
      </c>
      <c r="R210">
        <v>19</v>
      </c>
      <c r="S210">
        <v>20</v>
      </c>
    </row>
    <row r="211" spans="1:19" x14ac:dyDescent="0.3">
      <c r="A211">
        <v>208</v>
      </c>
      <c r="B211" t="s">
        <v>87</v>
      </c>
      <c r="C211" t="s">
        <v>78</v>
      </c>
      <c r="D211" t="s">
        <v>79</v>
      </c>
      <c r="E211" t="s">
        <v>31</v>
      </c>
      <c r="F211">
        <v>22</v>
      </c>
      <c r="G211" t="s">
        <v>113</v>
      </c>
      <c r="H211" t="b">
        <v>0</v>
      </c>
      <c r="I211" t="s">
        <v>53</v>
      </c>
      <c r="J211" t="s">
        <v>38</v>
      </c>
      <c r="K211" t="s">
        <v>32</v>
      </c>
      <c r="L211">
        <v>0.14000000000000001</v>
      </c>
      <c r="M211" t="s">
        <v>44</v>
      </c>
      <c r="N211">
        <v>0.1212</v>
      </c>
      <c r="O211">
        <v>0.46</v>
      </c>
      <c r="P211">
        <v>0.29849999999999999</v>
      </c>
      <c r="Q211">
        <v>5</v>
      </c>
      <c r="R211">
        <v>10</v>
      </c>
      <c r="S211">
        <v>15</v>
      </c>
    </row>
    <row r="212" spans="1:19" x14ac:dyDescent="0.3">
      <c r="A212">
        <v>209</v>
      </c>
      <c r="B212" t="s">
        <v>87</v>
      </c>
      <c r="C212" t="s">
        <v>78</v>
      </c>
      <c r="D212" t="s">
        <v>79</v>
      </c>
      <c r="E212" t="s">
        <v>31</v>
      </c>
      <c r="F212">
        <v>23</v>
      </c>
      <c r="G212" t="s">
        <v>113</v>
      </c>
      <c r="H212" t="b">
        <v>0</v>
      </c>
      <c r="I212" t="s">
        <v>53</v>
      </c>
      <c r="J212" t="s">
        <v>38</v>
      </c>
      <c r="K212" t="s">
        <v>32</v>
      </c>
      <c r="L212">
        <v>0.12</v>
      </c>
      <c r="M212" t="s">
        <v>44</v>
      </c>
      <c r="N212">
        <v>0.13639999999999999</v>
      </c>
      <c r="O212">
        <v>0.5</v>
      </c>
      <c r="P212">
        <v>0.19400000000000001</v>
      </c>
      <c r="Q212">
        <v>0</v>
      </c>
      <c r="R212">
        <v>6</v>
      </c>
      <c r="S212">
        <v>6</v>
      </c>
    </row>
    <row r="213" spans="1:19" x14ac:dyDescent="0.3">
      <c r="A213">
        <v>210</v>
      </c>
      <c r="B213" t="s">
        <v>88</v>
      </c>
      <c r="C213" t="s">
        <v>78</v>
      </c>
      <c r="D213" t="s">
        <v>79</v>
      </c>
      <c r="E213" t="s">
        <v>31</v>
      </c>
      <c r="F213">
        <v>0</v>
      </c>
      <c r="G213" t="s">
        <v>116</v>
      </c>
      <c r="H213" t="b">
        <v>0</v>
      </c>
      <c r="I213" t="s">
        <v>54</v>
      </c>
      <c r="J213" t="s">
        <v>22</v>
      </c>
      <c r="K213" t="s">
        <v>32</v>
      </c>
      <c r="L213">
        <v>0.12</v>
      </c>
      <c r="M213" t="s">
        <v>44</v>
      </c>
      <c r="N213">
        <v>0.1212</v>
      </c>
      <c r="O213">
        <v>0.5</v>
      </c>
      <c r="P213">
        <v>0.28360000000000002</v>
      </c>
      <c r="Q213">
        <v>2</v>
      </c>
      <c r="R213">
        <v>3</v>
      </c>
      <c r="S213">
        <v>5</v>
      </c>
    </row>
    <row r="214" spans="1:19" x14ac:dyDescent="0.3">
      <c r="A214">
        <v>211</v>
      </c>
      <c r="B214" t="s">
        <v>88</v>
      </c>
      <c r="C214" t="s">
        <v>78</v>
      </c>
      <c r="D214" t="s">
        <v>79</v>
      </c>
      <c r="E214" t="s">
        <v>31</v>
      </c>
      <c r="F214">
        <v>1</v>
      </c>
      <c r="G214" t="s">
        <v>116</v>
      </c>
      <c r="H214" t="b">
        <v>0</v>
      </c>
      <c r="I214" t="s">
        <v>54</v>
      </c>
      <c r="J214" t="s">
        <v>22</v>
      </c>
      <c r="K214" t="s">
        <v>32</v>
      </c>
      <c r="L214">
        <v>0.12</v>
      </c>
      <c r="M214" t="s">
        <v>44</v>
      </c>
      <c r="N214">
        <v>0.1212</v>
      </c>
      <c r="O214">
        <v>0.5</v>
      </c>
      <c r="P214">
        <v>0.28360000000000002</v>
      </c>
      <c r="Q214">
        <v>1</v>
      </c>
      <c r="R214">
        <v>0</v>
      </c>
      <c r="S214">
        <v>1</v>
      </c>
    </row>
    <row r="215" spans="1:19" x14ac:dyDescent="0.3">
      <c r="A215">
        <v>212</v>
      </c>
      <c r="B215" t="s">
        <v>88</v>
      </c>
      <c r="C215" t="s">
        <v>78</v>
      </c>
      <c r="D215" t="s">
        <v>79</v>
      </c>
      <c r="E215" t="s">
        <v>31</v>
      </c>
      <c r="F215">
        <v>2</v>
      </c>
      <c r="G215" t="s">
        <v>116</v>
      </c>
      <c r="H215" t="b">
        <v>0</v>
      </c>
      <c r="I215" t="s">
        <v>54</v>
      </c>
      <c r="J215" t="s">
        <v>22</v>
      </c>
      <c r="K215" t="s">
        <v>32</v>
      </c>
      <c r="L215">
        <v>0.12</v>
      </c>
      <c r="M215" t="s">
        <v>44</v>
      </c>
      <c r="N215">
        <v>0.1212</v>
      </c>
      <c r="O215">
        <v>0.5</v>
      </c>
      <c r="P215">
        <v>0.22389999999999999</v>
      </c>
      <c r="Q215">
        <v>0</v>
      </c>
      <c r="R215">
        <v>3</v>
      </c>
      <c r="S215">
        <v>3</v>
      </c>
    </row>
    <row r="216" spans="1:19" x14ac:dyDescent="0.3">
      <c r="A216">
        <v>213</v>
      </c>
      <c r="B216" t="s">
        <v>88</v>
      </c>
      <c r="C216" t="s">
        <v>78</v>
      </c>
      <c r="D216" t="s">
        <v>79</v>
      </c>
      <c r="E216" t="s">
        <v>31</v>
      </c>
      <c r="F216">
        <v>3</v>
      </c>
      <c r="G216" t="s">
        <v>116</v>
      </c>
      <c r="H216" t="b">
        <v>0</v>
      </c>
      <c r="I216" t="s">
        <v>54</v>
      </c>
      <c r="J216" t="s">
        <v>22</v>
      </c>
      <c r="K216" t="s">
        <v>32</v>
      </c>
      <c r="L216">
        <v>0.12</v>
      </c>
      <c r="M216" t="s">
        <v>44</v>
      </c>
      <c r="N216">
        <v>0.1212</v>
      </c>
      <c r="O216">
        <v>0.5</v>
      </c>
      <c r="P216">
        <v>0.22389999999999999</v>
      </c>
      <c r="Q216">
        <v>0</v>
      </c>
      <c r="R216">
        <v>1</v>
      </c>
      <c r="S216">
        <v>1</v>
      </c>
    </row>
    <row r="217" spans="1:19" x14ac:dyDescent="0.3">
      <c r="A217">
        <v>214</v>
      </c>
      <c r="B217" t="s">
        <v>88</v>
      </c>
      <c r="C217" t="s">
        <v>78</v>
      </c>
      <c r="D217" t="s">
        <v>79</v>
      </c>
      <c r="E217" t="s">
        <v>31</v>
      </c>
      <c r="F217">
        <v>4</v>
      </c>
      <c r="G217" t="s">
        <v>116</v>
      </c>
      <c r="H217" t="b">
        <v>0</v>
      </c>
      <c r="I217" t="s">
        <v>54</v>
      </c>
      <c r="J217" t="s">
        <v>22</v>
      </c>
      <c r="K217" t="s">
        <v>32</v>
      </c>
      <c r="L217">
        <v>0.1</v>
      </c>
      <c r="M217" t="s">
        <v>44</v>
      </c>
      <c r="N217">
        <v>0.1212</v>
      </c>
      <c r="O217">
        <v>0.54</v>
      </c>
      <c r="P217">
        <v>0.1343</v>
      </c>
      <c r="Q217">
        <v>1</v>
      </c>
      <c r="R217">
        <v>2</v>
      </c>
      <c r="S217">
        <v>3</v>
      </c>
    </row>
    <row r="218" spans="1:19" x14ac:dyDescent="0.3">
      <c r="A218">
        <v>215</v>
      </c>
      <c r="B218" t="s">
        <v>88</v>
      </c>
      <c r="C218" t="s">
        <v>78</v>
      </c>
      <c r="D218" t="s">
        <v>79</v>
      </c>
      <c r="E218" t="s">
        <v>31</v>
      </c>
      <c r="F218">
        <v>5</v>
      </c>
      <c r="G218" t="s">
        <v>116</v>
      </c>
      <c r="H218" t="b">
        <v>0</v>
      </c>
      <c r="I218" t="s">
        <v>54</v>
      </c>
      <c r="J218" t="s">
        <v>22</v>
      </c>
      <c r="K218" t="s">
        <v>32</v>
      </c>
      <c r="L218">
        <v>0.1</v>
      </c>
      <c r="M218" t="s">
        <v>44</v>
      </c>
      <c r="N218">
        <v>0.1061</v>
      </c>
      <c r="O218">
        <v>0.54</v>
      </c>
      <c r="P218">
        <v>0.25369999999999998</v>
      </c>
      <c r="Q218">
        <v>0</v>
      </c>
      <c r="R218">
        <v>3</v>
      </c>
      <c r="S218">
        <v>3</v>
      </c>
    </row>
    <row r="219" spans="1:19" x14ac:dyDescent="0.3">
      <c r="A219">
        <v>216</v>
      </c>
      <c r="B219" t="s">
        <v>88</v>
      </c>
      <c r="C219" t="s">
        <v>78</v>
      </c>
      <c r="D219" t="s">
        <v>79</v>
      </c>
      <c r="E219" t="s">
        <v>31</v>
      </c>
      <c r="F219">
        <v>6</v>
      </c>
      <c r="G219" t="s">
        <v>115</v>
      </c>
      <c r="H219" t="b">
        <v>0</v>
      </c>
      <c r="I219" t="s">
        <v>54</v>
      </c>
      <c r="J219" t="s">
        <v>22</v>
      </c>
      <c r="K219" t="s">
        <v>32</v>
      </c>
      <c r="L219">
        <v>0.12</v>
      </c>
      <c r="M219" t="s">
        <v>44</v>
      </c>
      <c r="N219">
        <v>0.1212</v>
      </c>
      <c r="O219">
        <v>0.5</v>
      </c>
      <c r="P219">
        <v>0.28360000000000002</v>
      </c>
      <c r="Q219">
        <v>0</v>
      </c>
      <c r="R219">
        <v>31</v>
      </c>
      <c r="S219">
        <v>31</v>
      </c>
    </row>
    <row r="220" spans="1:19" x14ac:dyDescent="0.3">
      <c r="A220">
        <v>217</v>
      </c>
      <c r="B220" t="s">
        <v>88</v>
      </c>
      <c r="C220" t="s">
        <v>78</v>
      </c>
      <c r="D220" t="s">
        <v>79</v>
      </c>
      <c r="E220" t="s">
        <v>31</v>
      </c>
      <c r="F220">
        <v>7</v>
      </c>
      <c r="G220" t="s">
        <v>115</v>
      </c>
      <c r="H220" t="b">
        <v>0</v>
      </c>
      <c r="I220" t="s">
        <v>54</v>
      </c>
      <c r="J220" t="s">
        <v>22</v>
      </c>
      <c r="K220" t="s">
        <v>32</v>
      </c>
      <c r="L220">
        <v>0.12</v>
      </c>
      <c r="M220" t="s">
        <v>44</v>
      </c>
      <c r="N220">
        <v>0.1212</v>
      </c>
      <c r="O220">
        <v>0.5</v>
      </c>
      <c r="P220">
        <v>0.22389999999999999</v>
      </c>
      <c r="Q220">
        <v>2</v>
      </c>
      <c r="R220">
        <v>75</v>
      </c>
      <c r="S220">
        <v>77</v>
      </c>
    </row>
    <row r="221" spans="1:19" x14ac:dyDescent="0.3">
      <c r="A221">
        <v>218</v>
      </c>
      <c r="B221" t="s">
        <v>88</v>
      </c>
      <c r="C221" t="s">
        <v>78</v>
      </c>
      <c r="D221" t="s">
        <v>79</v>
      </c>
      <c r="E221" t="s">
        <v>31</v>
      </c>
      <c r="F221">
        <v>8</v>
      </c>
      <c r="G221" t="s">
        <v>115</v>
      </c>
      <c r="H221" t="b">
        <v>0</v>
      </c>
      <c r="I221" t="s">
        <v>54</v>
      </c>
      <c r="J221" t="s">
        <v>22</v>
      </c>
      <c r="K221" t="s">
        <v>33</v>
      </c>
      <c r="L221">
        <v>0.12</v>
      </c>
      <c r="M221" t="s">
        <v>44</v>
      </c>
      <c r="N221">
        <v>0.1212</v>
      </c>
      <c r="O221">
        <v>0.5</v>
      </c>
      <c r="P221">
        <v>0.28360000000000002</v>
      </c>
      <c r="Q221">
        <v>4</v>
      </c>
      <c r="R221">
        <v>184</v>
      </c>
      <c r="S221">
        <v>188</v>
      </c>
    </row>
    <row r="222" spans="1:19" x14ac:dyDescent="0.3">
      <c r="A222">
        <v>219</v>
      </c>
      <c r="B222" t="s">
        <v>88</v>
      </c>
      <c r="C222" t="s">
        <v>78</v>
      </c>
      <c r="D222" t="s">
        <v>79</v>
      </c>
      <c r="E222" t="s">
        <v>31</v>
      </c>
      <c r="F222">
        <v>9</v>
      </c>
      <c r="G222" t="s">
        <v>115</v>
      </c>
      <c r="H222" t="b">
        <v>0</v>
      </c>
      <c r="I222" t="s">
        <v>54</v>
      </c>
      <c r="J222" t="s">
        <v>22</v>
      </c>
      <c r="K222" t="s">
        <v>33</v>
      </c>
      <c r="L222">
        <v>0.14000000000000001</v>
      </c>
      <c r="M222" t="s">
        <v>44</v>
      </c>
      <c r="N222">
        <v>0.1212</v>
      </c>
      <c r="O222">
        <v>0.5</v>
      </c>
      <c r="P222">
        <v>0.25369999999999998</v>
      </c>
      <c r="Q222">
        <v>2</v>
      </c>
      <c r="R222">
        <v>92</v>
      </c>
      <c r="S222">
        <v>94</v>
      </c>
    </row>
    <row r="223" spans="1:19" x14ac:dyDescent="0.3">
      <c r="A223">
        <v>220</v>
      </c>
      <c r="B223" t="s">
        <v>88</v>
      </c>
      <c r="C223" t="s">
        <v>78</v>
      </c>
      <c r="D223" t="s">
        <v>79</v>
      </c>
      <c r="E223" t="s">
        <v>31</v>
      </c>
      <c r="F223">
        <v>10</v>
      </c>
      <c r="G223" t="s">
        <v>115</v>
      </c>
      <c r="H223" t="b">
        <v>0</v>
      </c>
      <c r="I223" t="s">
        <v>54</v>
      </c>
      <c r="J223" t="s">
        <v>22</v>
      </c>
      <c r="K223" t="s">
        <v>33</v>
      </c>
      <c r="L223">
        <v>0.14000000000000001</v>
      </c>
      <c r="M223" t="s">
        <v>44</v>
      </c>
      <c r="N223">
        <v>0.1212</v>
      </c>
      <c r="O223">
        <v>0.5</v>
      </c>
      <c r="P223">
        <v>0.29849999999999999</v>
      </c>
      <c r="Q223">
        <v>0</v>
      </c>
      <c r="R223">
        <v>31</v>
      </c>
      <c r="S223">
        <v>31</v>
      </c>
    </row>
    <row r="224" spans="1:19" x14ac:dyDescent="0.3">
      <c r="A224">
        <v>221</v>
      </c>
      <c r="B224" t="s">
        <v>88</v>
      </c>
      <c r="C224" t="s">
        <v>78</v>
      </c>
      <c r="D224" t="s">
        <v>79</v>
      </c>
      <c r="E224" t="s">
        <v>31</v>
      </c>
      <c r="F224">
        <v>11</v>
      </c>
      <c r="G224" t="s">
        <v>115</v>
      </c>
      <c r="H224" t="b">
        <v>0</v>
      </c>
      <c r="I224" t="s">
        <v>54</v>
      </c>
      <c r="J224" t="s">
        <v>22</v>
      </c>
      <c r="K224" t="s">
        <v>33</v>
      </c>
      <c r="L224">
        <v>0.16</v>
      </c>
      <c r="M224" t="s">
        <v>40</v>
      </c>
      <c r="N224">
        <v>0.13639999999999999</v>
      </c>
      <c r="O224">
        <v>0.47</v>
      </c>
      <c r="P224">
        <v>0.28360000000000002</v>
      </c>
      <c r="Q224">
        <v>2</v>
      </c>
      <c r="R224">
        <v>28</v>
      </c>
      <c r="S224">
        <v>30</v>
      </c>
    </row>
    <row r="225" spans="1:19" x14ac:dyDescent="0.3">
      <c r="A225">
        <v>222</v>
      </c>
      <c r="B225" t="s">
        <v>88</v>
      </c>
      <c r="C225" t="s">
        <v>78</v>
      </c>
      <c r="D225" t="s">
        <v>79</v>
      </c>
      <c r="E225" t="s">
        <v>31</v>
      </c>
      <c r="F225">
        <v>12</v>
      </c>
      <c r="G225" t="s">
        <v>114</v>
      </c>
      <c r="H225" t="b">
        <v>0</v>
      </c>
      <c r="I225" t="s">
        <v>54</v>
      </c>
      <c r="J225" t="s">
        <v>22</v>
      </c>
      <c r="K225" t="s">
        <v>33</v>
      </c>
      <c r="L225">
        <v>0.2</v>
      </c>
      <c r="M225" t="s">
        <v>40</v>
      </c>
      <c r="N225">
        <v>0.18179999999999999</v>
      </c>
      <c r="O225">
        <v>0.4</v>
      </c>
      <c r="P225">
        <v>0.28360000000000002</v>
      </c>
      <c r="Q225">
        <v>5</v>
      </c>
      <c r="R225">
        <v>47</v>
      </c>
      <c r="S225">
        <v>52</v>
      </c>
    </row>
    <row r="226" spans="1:19" x14ac:dyDescent="0.3">
      <c r="A226">
        <v>223</v>
      </c>
      <c r="B226" t="s">
        <v>88</v>
      </c>
      <c r="C226" t="s">
        <v>78</v>
      </c>
      <c r="D226" t="s">
        <v>79</v>
      </c>
      <c r="E226" t="s">
        <v>31</v>
      </c>
      <c r="F226">
        <v>13</v>
      </c>
      <c r="G226" t="s">
        <v>114</v>
      </c>
      <c r="H226" t="b">
        <v>0</v>
      </c>
      <c r="I226" t="s">
        <v>54</v>
      </c>
      <c r="J226" t="s">
        <v>22</v>
      </c>
      <c r="K226" t="s">
        <v>33</v>
      </c>
      <c r="L226">
        <v>0.2</v>
      </c>
      <c r="M226" t="s">
        <v>40</v>
      </c>
      <c r="N226">
        <v>0.18179999999999999</v>
      </c>
      <c r="O226">
        <v>0.4</v>
      </c>
      <c r="P226">
        <v>0.28360000000000002</v>
      </c>
      <c r="Q226">
        <v>4</v>
      </c>
      <c r="R226">
        <v>50</v>
      </c>
      <c r="S226">
        <v>54</v>
      </c>
    </row>
    <row r="227" spans="1:19" x14ac:dyDescent="0.3">
      <c r="A227">
        <v>224</v>
      </c>
      <c r="B227" t="s">
        <v>88</v>
      </c>
      <c r="C227" t="s">
        <v>78</v>
      </c>
      <c r="D227" t="s">
        <v>79</v>
      </c>
      <c r="E227" t="s">
        <v>31</v>
      </c>
      <c r="F227">
        <v>14</v>
      </c>
      <c r="G227" t="s">
        <v>114</v>
      </c>
      <c r="H227" t="b">
        <v>0</v>
      </c>
      <c r="I227" t="s">
        <v>54</v>
      </c>
      <c r="J227" t="s">
        <v>22</v>
      </c>
      <c r="K227" t="s">
        <v>33</v>
      </c>
      <c r="L227">
        <v>0.2</v>
      </c>
      <c r="M227" t="s">
        <v>40</v>
      </c>
      <c r="N227">
        <v>0.19700000000000001</v>
      </c>
      <c r="O227">
        <v>0.4</v>
      </c>
      <c r="P227">
        <v>0.22389999999999999</v>
      </c>
      <c r="Q227">
        <v>0</v>
      </c>
      <c r="R227">
        <v>47</v>
      </c>
      <c r="S227">
        <v>47</v>
      </c>
    </row>
    <row r="228" spans="1:19" x14ac:dyDescent="0.3">
      <c r="A228">
        <v>225</v>
      </c>
      <c r="B228" t="s">
        <v>88</v>
      </c>
      <c r="C228" t="s">
        <v>78</v>
      </c>
      <c r="D228" t="s">
        <v>79</v>
      </c>
      <c r="E228" t="s">
        <v>31</v>
      </c>
      <c r="F228">
        <v>15</v>
      </c>
      <c r="G228" t="s">
        <v>114</v>
      </c>
      <c r="H228" t="b">
        <v>0</v>
      </c>
      <c r="I228" t="s">
        <v>54</v>
      </c>
      <c r="J228" t="s">
        <v>22</v>
      </c>
      <c r="K228" t="s">
        <v>33</v>
      </c>
      <c r="L228">
        <v>0.2</v>
      </c>
      <c r="M228" t="s">
        <v>40</v>
      </c>
      <c r="N228">
        <v>0.19700000000000001</v>
      </c>
      <c r="O228">
        <v>0.4</v>
      </c>
      <c r="P228">
        <v>0.22389999999999999</v>
      </c>
      <c r="Q228">
        <v>2</v>
      </c>
      <c r="R228">
        <v>43</v>
      </c>
      <c r="S228">
        <v>45</v>
      </c>
    </row>
    <row r="229" spans="1:19" x14ac:dyDescent="0.3">
      <c r="A229">
        <v>226</v>
      </c>
      <c r="B229" t="s">
        <v>88</v>
      </c>
      <c r="C229" t="s">
        <v>78</v>
      </c>
      <c r="D229" t="s">
        <v>79</v>
      </c>
      <c r="E229" t="s">
        <v>31</v>
      </c>
      <c r="F229">
        <v>16</v>
      </c>
      <c r="G229" t="s">
        <v>114</v>
      </c>
      <c r="H229" t="b">
        <v>0</v>
      </c>
      <c r="I229" t="s">
        <v>54</v>
      </c>
      <c r="J229" t="s">
        <v>22</v>
      </c>
      <c r="K229" t="s">
        <v>32</v>
      </c>
      <c r="L229">
        <v>0.2</v>
      </c>
      <c r="M229" t="s">
        <v>40</v>
      </c>
      <c r="N229">
        <v>0.21210000000000001</v>
      </c>
      <c r="O229">
        <v>0.4</v>
      </c>
      <c r="P229">
        <v>0.1343</v>
      </c>
      <c r="Q229">
        <v>4</v>
      </c>
      <c r="R229">
        <v>70</v>
      </c>
      <c r="S229">
        <v>74</v>
      </c>
    </row>
    <row r="230" spans="1:19" x14ac:dyDescent="0.3">
      <c r="A230">
        <v>227</v>
      </c>
      <c r="B230" t="s">
        <v>88</v>
      </c>
      <c r="C230" t="s">
        <v>78</v>
      </c>
      <c r="D230" t="s">
        <v>79</v>
      </c>
      <c r="E230" t="s">
        <v>31</v>
      </c>
      <c r="F230">
        <v>17</v>
      </c>
      <c r="G230" t="s">
        <v>114</v>
      </c>
      <c r="H230" t="b">
        <v>0</v>
      </c>
      <c r="I230" t="s">
        <v>54</v>
      </c>
      <c r="J230" t="s">
        <v>22</v>
      </c>
      <c r="K230" t="s">
        <v>32</v>
      </c>
      <c r="L230">
        <v>0.2</v>
      </c>
      <c r="M230" t="s">
        <v>40</v>
      </c>
      <c r="N230">
        <v>0.2273</v>
      </c>
      <c r="O230">
        <v>0.4</v>
      </c>
      <c r="P230">
        <v>0.1045</v>
      </c>
      <c r="Q230">
        <v>4</v>
      </c>
      <c r="R230">
        <v>174</v>
      </c>
      <c r="S230">
        <v>178</v>
      </c>
    </row>
    <row r="231" spans="1:19" x14ac:dyDescent="0.3">
      <c r="A231">
        <v>228</v>
      </c>
      <c r="B231" t="s">
        <v>88</v>
      </c>
      <c r="C231" t="s">
        <v>78</v>
      </c>
      <c r="D231" t="s">
        <v>79</v>
      </c>
      <c r="E231" t="s">
        <v>31</v>
      </c>
      <c r="F231">
        <v>18</v>
      </c>
      <c r="G231" t="s">
        <v>113</v>
      </c>
      <c r="H231" t="b">
        <v>0</v>
      </c>
      <c r="I231" t="s">
        <v>54</v>
      </c>
      <c r="J231" t="s">
        <v>22</v>
      </c>
      <c r="K231" t="s">
        <v>32</v>
      </c>
      <c r="L231">
        <v>0.2</v>
      </c>
      <c r="M231" t="s">
        <v>40</v>
      </c>
      <c r="N231">
        <v>0.19700000000000001</v>
      </c>
      <c r="O231">
        <v>0.4</v>
      </c>
      <c r="P231">
        <v>0.22389999999999999</v>
      </c>
      <c r="Q231">
        <v>1</v>
      </c>
      <c r="R231">
        <v>154</v>
      </c>
      <c r="S231">
        <v>155</v>
      </c>
    </row>
    <row r="232" spans="1:19" x14ac:dyDescent="0.3">
      <c r="A232">
        <v>229</v>
      </c>
      <c r="B232" t="s">
        <v>88</v>
      </c>
      <c r="C232" t="s">
        <v>78</v>
      </c>
      <c r="D232" t="s">
        <v>79</v>
      </c>
      <c r="E232" t="s">
        <v>31</v>
      </c>
      <c r="F232">
        <v>19</v>
      </c>
      <c r="G232" t="s">
        <v>113</v>
      </c>
      <c r="H232" t="b">
        <v>0</v>
      </c>
      <c r="I232" t="s">
        <v>54</v>
      </c>
      <c r="J232" t="s">
        <v>22</v>
      </c>
      <c r="K232" t="s">
        <v>32</v>
      </c>
      <c r="L232">
        <v>0.16</v>
      </c>
      <c r="M232" t="s">
        <v>40</v>
      </c>
      <c r="N232">
        <v>0.16669999999999999</v>
      </c>
      <c r="O232">
        <v>0.47</v>
      </c>
      <c r="P232">
        <v>0.16420000000000001</v>
      </c>
      <c r="Q232">
        <v>3</v>
      </c>
      <c r="R232">
        <v>92</v>
      </c>
      <c r="S232">
        <v>95</v>
      </c>
    </row>
    <row r="233" spans="1:19" x14ac:dyDescent="0.3">
      <c r="A233">
        <v>230</v>
      </c>
      <c r="B233" t="s">
        <v>88</v>
      </c>
      <c r="C233" t="s">
        <v>78</v>
      </c>
      <c r="D233" t="s">
        <v>79</v>
      </c>
      <c r="E233" t="s">
        <v>31</v>
      </c>
      <c r="F233">
        <v>20</v>
      </c>
      <c r="G233" t="s">
        <v>113</v>
      </c>
      <c r="H233" t="b">
        <v>0</v>
      </c>
      <c r="I233" t="s">
        <v>54</v>
      </c>
      <c r="J233" t="s">
        <v>22</v>
      </c>
      <c r="K233" t="s">
        <v>32</v>
      </c>
      <c r="L233">
        <v>0.16</v>
      </c>
      <c r="M233" t="s">
        <v>40</v>
      </c>
      <c r="N233">
        <v>0.16669999999999999</v>
      </c>
      <c r="O233">
        <v>0.5</v>
      </c>
      <c r="P233">
        <v>0.16420000000000001</v>
      </c>
      <c r="Q233">
        <v>1</v>
      </c>
      <c r="R233">
        <v>73</v>
      </c>
      <c r="S233">
        <v>74</v>
      </c>
    </row>
    <row r="234" spans="1:19" x14ac:dyDescent="0.3">
      <c r="A234">
        <v>231</v>
      </c>
      <c r="B234" t="s">
        <v>88</v>
      </c>
      <c r="C234" t="s">
        <v>78</v>
      </c>
      <c r="D234" t="s">
        <v>79</v>
      </c>
      <c r="E234" t="s">
        <v>31</v>
      </c>
      <c r="F234">
        <v>21</v>
      </c>
      <c r="G234" t="s">
        <v>113</v>
      </c>
      <c r="H234" t="b">
        <v>0</v>
      </c>
      <c r="I234" t="s">
        <v>54</v>
      </c>
      <c r="J234" t="s">
        <v>22</v>
      </c>
      <c r="K234" t="s">
        <v>32</v>
      </c>
      <c r="L234">
        <v>0.14000000000000001</v>
      </c>
      <c r="M234" t="s">
        <v>44</v>
      </c>
      <c r="N234">
        <v>0.13639999999999999</v>
      </c>
      <c r="O234">
        <v>0.59</v>
      </c>
      <c r="P234">
        <v>0.19400000000000001</v>
      </c>
      <c r="Q234">
        <v>1</v>
      </c>
      <c r="R234">
        <v>37</v>
      </c>
      <c r="S234">
        <v>38</v>
      </c>
    </row>
    <row r="235" spans="1:19" x14ac:dyDescent="0.3">
      <c r="A235">
        <v>232</v>
      </c>
      <c r="B235" t="s">
        <v>88</v>
      </c>
      <c r="C235" t="s">
        <v>78</v>
      </c>
      <c r="D235" t="s">
        <v>79</v>
      </c>
      <c r="E235" t="s">
        <v>31</v>
      </c>
      <c r="F235">
        <v>22</v>
      </c>
      <c r="G235" t="s">
        <v>113</v>
      </c>
      <c r="H235" t="b">
        <v>0</v>
      </c>
      <c r="I235" t="s">
        <v>54</v>
      </c>
      <c r="J235" t="s">
        <v>22</v>
      </c>
      <c r="K235" t="s">
        <v>32</v>
      </c>
      <c r="L235">
        <v>0.14000000000000001</v>
      </c>
      <c r="M235" t="s">
        <v>44</v>
      </c>
      <c r="N235">
        <v>0.1515</v>
      </c>
      <c r="O235">
        <v>0.59</v>
      </c>
      <c r="P235">
        <v>0.16420000000000001</v>
      </c>
      <c r="Q235">
        <v>2</v>
      </c>
      <c r="R235">
        <v>22</v>
      </c>
      <c r="S235">
        <v>24</v>
      </c>
    </row>
    <row r="236" spans="1:19" x14ac:dyDescent="0.3">
      <c r="A236">
        <v>233</v>
      </c>
      <c r="B236" t="s">
        <v>88</v>
      </c>
      <c r="C236" t="s">
        <v>78</v>
      </c>
      <c r="D236" t="s">
        <v>79</v>
      </c>
      <c r="E236" t="s">
        <v>31</v>
      </c>
      <c r="F236">
        <v>23</v>
      </c>
      <c r="G236" t="s">
        <v>113</v>
      </c>
      <c r="H236" t="b">
        <v>0</v>
      </c>
      <c r="I236" t="s">
        <v>54</v>
      </c>
      <c r="J236" t="s">
        <v>22</v>
      </c>
      <c r="K236" t="s">
        <v>32</v>
      </c>
      <c r="L236">
        <v>0.14000000000000001</v>
      </c>
      <c r="M236" t="s">
        <v>44</v>
      </c>
      <c r="N236">
        <v>0.1515</v>
      </c>
      <c r="O236">
        <v>0.59</v>
      </c>
      <c r="P236">
        <v>0.16420000000000001</v>
      </c>
      <c r="Q236">
        <v>0</v>
      </c>
      <c r="R236">
        <v>18</v>
      </c>
      <c r="S236">
        <v>18</v>
      </c>
    </row>
    <row r="237" spans="1:19" x14ac:dyDescent="0.3">
      <c r="A237">
        <v>234</v>
      </c>
      <c r="B237" t="s">
        <v>89</v>
      </c>
      <c r="C237" t="s">
        <v>78</v>
      </c>
      <c r="D237" t="s">
        <v>79</v>
      </c>
      <c r="E237" t="s">
        <v>31</v>
      </c>
      <c r="F237">
        <v>0</v>
      </c>
      <c r="G237" t="s">
        <v>116</v>
      </c>
      <c r="H237" t="b">
        <v>0</v>
      </c>
      <c r="I237" t="s">
        <v>55</v>
      </c>
      <c r="J237" t="s">
        <v>22</v>
      </c>
      <c r="K237" t="s">
        <v>32</v>
      </c>
      <c r="L237">
        <v>0.14000000000000001</v>
      </c>
      <c r="M237" t="s">
        <v>44</v>
      </c>
      <c r="N237">
        <v>0.16669999999999999</v>
      </c>
      <c r="O237">
        <v>0.59</v>
      </c>
      <c r="P237">
        <v>0.1045</v>
      </c>
      <c r="Q237">
        <v>2</v>
      </c>
      <c r="R237">
        <v>10</v>
      </c>
      <c r="S237">
        <v>12</v>
      </c>
    </row>
    <row r="238" spans="1:19" x14ac:dyDescent="0.3">
      <c r="A238">
        <v>235</v>
      </c>
      <c r="B238" t="s">
        <v>89</v>
      </c>
      <c r="C238" t="s">
        <v>78</v>
      </c>
      <c r="D238" t="s">
        <v>79</v>
      </c>
      <c r="E238" t="s">
        <v>31</v>
      </c>
      <c r="F238">
        <v>1</v>
      </c>
      <c r="G238" t="s">
        <v>116</v>
      </c>
      <c r="H238" t="b">
        <v>0</v>
      </c>
      <c r="I238" t="s">
        <v>55</v>
      </c>
      <c r="J238" t="s">
        <v>22</v>
      </c>
      <c r="K238" t="s">
        <v>32</v>
      </c>
      <c r="L238">
        <v>0.14000000000000001</v>
      </c>
      <c r="M238" t="s">
        <v>44</v>
      </c>
      <c r="N238">
        <v>0.1515</v>
      </c>
      <c r="O238">
        <v>0.59</v>
      </c>
      <c r="P238">
        <v>0.16420000000000001</v>
      </c>
      <c r="Q238">
        <v>0</v>
      </c>
      <c r="R238">
        <v>3</v>
      </c>
      <c r="S238">
        <v>3</v>
      </c>
    </row>
    <row r="239" spans="1:19" x14ac:dyDescent="0.3">
      <c r="A239">
        <v>236</v>
      </c>
      <c r="B239" t="s">
        <v>89</v>
      </c>
      <c r="C239" t="s">
        <v>78</v>
      </c>
      <c r="D239" t="s">
        <v>79</v>
      </c>
      <c r="E239" t="s">
        <v>31</v>
      </c>
      <c r="F239">
        <v>2</v>
      </c>
      <c r="G239" t="s">
        <v>116</v>
      </c>
      <c r="H239" t="b">
        <v>0</v>
      </c>
      <c r="I239" t="s">
        <v>55</v>
      </c>
      <c r="J239" t="s">
        <v>22</v>
      </c>
      <c r="K239" t="s">
        <v>33</v>
      </c>
      <c r="L239">
        <v>0.16</v>
      </c>
      <c r="M239" t="s">
        <v>40</v>
      </c>
      <c r="N239">
        <v>0.1515</v>
      </c>
      <c r="O239">
        <v>0.55000000000000004</v>
      </c>
      <c r="P239">
        <v>0.19400000000000001</v>
      </c>
      <c r="Q239">
        <v>0</v>
      </c>
      <c r="R239">
        <v>3</v>
      </c>
      <c r="S239">
        <v>3</v>
      </c>
    </row>
    <row r="240" spans="1:19" x14ac:dyDescent="0.3">
      <c r="A240">
        <v>237</v>
      </c>
      <c r="B240" t="s">
        <v>89</v>
      </c>
      <c r="C240" t="s">
        <v>78</v>
      </c>
      <c r="D240" t="s">
        <v>79</v>
      </c>
      <c r="E240" t="s">
        <v>31</v>
      </c>
      <c r="F240">
        <v>5</v>
      </c>
      <c r="G240" t="s">
        <v>116</v>
      </c>
      <c r="H240" t="b">
        <v>0</v>
      </c>
      <c r="I240" t="s">
        <v>55</v>
      </c>
      <c r="J240" t="s">
        <v>22</v>
      </c>
      <c r="K240" t="s">
        <v>33</v>
      </c>
      <c r="L240">
        <v>0.16</v>
      </c>
      <c r="M240" t="s">
        <v>40</v>
      </c>
      <c r="N240">
        <v>0.18179999999999999</v>
      </c>
      <c r="O240">
        <v>0.55000000000000004</v>
      </c>
      <c r="P240">
        <v>0.1343</v>
      </c>
      <c r="Q240">
        <v>0</v>
      </c>
      <c r="R240">
        <v>6</v>
      </c>
      <c r="S240">
        <v>6</v>
      </c>
    </row>
    <row r="241" spans="1:19" x14ac:dyDescent="0.3">
      <c r="A241">
        <v>238</v>
      </c>
      <c r="B241" t="s">
        <v>89</v>
      </c>
      <c r="C241" t="s">
        <v>78</v>
      </c>
      <c r="D241" t="s">
        <v>79</v>
      </c>
      <c r="E241" t="s">
        <v>31</v>
      </c>
      <c r="F241">
        <v>6</v>
      </c>
      <c r="G241" t="s">
        <v>115</v>
      </c>
      <c r="H241" t="b">
        <v>0</v>
      </c>
      <c r="I241" t="s">
        <v>55</v>
      </c>
      <c r="J241" t="s">
        <v>22</v>
      </c>
      <c r="K241" t="s">
        <v>33</v>
      </c>
      <c r="L241">
        <v>0.16</v>
      </c>
      <c r="M241" t="s">
        <v>40</v>
      </c>
      <c r="N241">
        <v>0.18179999999999999</v>
      </c>
      <c r="O241">
        <v>0.55000000000000004</v>
      </c>
      <c r="P241">
        <v>0.1343</v>
      </c>
      <c r="Q241">
        <v>0</v>
      </c>
      <c r="R241">
        <v>27</v>
      </c>
      <c r="S241">
        <v>27</v>
      </c>
    </row>
    <row r="242" spans="1:19" x14ac:dyDescent="0.3">
      <c r="A242">
        <v>239</v>
      </c>
      <c r="B242" t="s">
        <v>89</v>
      </c>
      <c r="C242" t="s">
        <v>78</v>
      </c>
      <c r="D242" t="s">
        <v>79</v>
      </c>
      <c r="E242" t="s">
        <v>31</v>
      </c>
      <c r="F242">
        <v>7</v>
      </c>
      <c r="G242" t="s">
        <v>115</v>
      </c>
      <c r="H242" t="b">
        <v>0</v>
      </c>
      <c r="I242" t="s">
        <v>55</v>
      </c>
      <c r="J242" t="s">
        <v>22</v>
      </c>
      <c r="K242" t="s">
        <v>33</v>
      </c>
      <c r="L242">
        <v>0.16</v>
      </c>
      <c r="M242" t="s">
        <v>40</v>
      </c>
      <c r="N242">
        <v>0.2273</v>
      </c>
      <c r="O242">
        <v>0.55000000000000004</v>
      </c>
      <c r="P242">
        <v>0</v>
      </c>
      <c r="Q242">
        <v>2</v>
      </c>
      <c r="R242">
        <v>97</v>
      </c>
      <c r="S242">
        <v>99</v>
      </c>
    </row>
    <row r="243" spans="1:19" x14ac:dyDescent="0.3">
      <c r="A243">
        <v>240</v>
      </c>
      <c r="B243" t="s">
        <v>89</v>
      </c>
      <c r="C243" t="s">
        <v>78</v>
      </c>
      <c r="D243" t="s">
        <v>79</v>
      </c>
      <c r="E243" t="s">
        <v>31</v>
      </c>
      <c r="F243">
        <v>8</v>
      </c>
      <c r="G243" t="s">
        <v>115</v>
      </c>
      <c r="H243" t="b">
        <v>0</v>
      </c>
      <c r="I243" t="s">
        <v>55</v>
      </c>
      <c r="J243" t="s">
        <v>22</v>
      </c>
      <c r="K243" t="s">
        <v>33</v>
      </c>
      <c r="L243">
        <v>0.18</v>
      </c>
      <c r="M243" t="s">
        <v>40</v>
      </c>
      <c r="N243">
        <v>0.21210000000000001</v>
      </c>
      <c r="O243">
        <v>0.51</v>
      </c>
      <c r="P243">
        <v>8.9599999999999999E-2</v>
      </c>
      <c r="Q243">
        <v>3</v>
      </c>
      <c r="R243">
        <v>214</v>
      </c>
      <c r="S243">
        <v>217</v>
      </c>
    </row>
    <row r="244" spans="1:19" x14ac:dyDescent="0.3">
      <c r="A244">
        <v>241</v>
      </c>
      <c r="B244" t="s">
        <v>89</v>
      </c>
      <c r="C244" t="s">
        <v>78</v>
      </c>
      <c r="D244" t="s">
        <v>79</v>
      </c>
      <c r="E244" t="s">
        <v>31</v>
      </c>
      <c r="F244">
        <v>9</v>
      </c>
      <c r="G244" t="s">
        <v>115</v>
      </c>
      <c r="H244" t="b">
        <v>0</v>
      </c>
      <c r="I244" t="s">
        <v>55</v>
      </c>
      <c r="J244" t="s">
        <v>22</v>
      </c>
      <c r="K244" t="s">
        <v>33</v>
      </c>
      <c r="L244">
        <v>0.18</v>
      </c>
      <c r="M244" t="s">
        <v>40</v>
      </c>
      <c r="N244">
        <v>0.19700000000000001</v>
      </c>
      <c r="O244">
        <v>0.51</v>
      </c>
      <c r="P244">
        <v>0.16420000000000001</v>
      </c>
      <c r="Q244">
        <v>3</v>
      </c>
      <c r="R244">
        <v>127</v>
      </c>
      <c r="S244">
        <v>130</v>
      </c>
    </row>
    <row r="245" spans="1:19" x14ac:dyDescent="0.3">
      <c r="A245">
        <v>242</v>
      </c>
      <c r="B245" t="s">
        <v>89</v>
      </c>
      <c r="C245" t="s">
        <v>78</v>
      </c>
      <c r="D245" t="s">
        <v>79</v>
      </c>
      <c r="E245" t="s">
        <v>31</v>
      </c>
      <c r="F245">
        <v>10</v>
      </c>
      <c r="G245" t="s">
        <v>115</v>
      </c>
      <c r="H245" t="b">
        <v>0</v>
      </c>
      <c r="I245" t="s">
        <v>55</v>
      </c>
      <c r="J245" t="s">
        <v>22</v>
      </c>
      <c r="K245" t="s">
        <v>33</v>
      </c>
      <c r="L245">
        <v>0.2</v>
      </c>
      <c r="M245" t="s">
        <v>40</v>
      </c>
      <c r="N245">
        <v>0.21210000000000001</v>
      </c>
      <c r="O245">
        <v>0.51</v>
      </c>
      <c r="P245">
        <v>0.16420000000000001</v>
      </c>
      <c r="Q245">
        <v>3</v>
      </c>
      <c r="R245">
        <v>51</v>
      </c>
      <c r="S245">
        <v>54</v>
      </c>
    </row>
    <row r="246" spans="1:19" x14ac:dyDescent="0.3">
      <c r="A246">
        <v>243</v>
      </c>
      <c r="B246" t="s">
        <v>89</v>
      </c>
      <c r="C246" t="s">
        <v>78</v>
      </c>
      <c r="D246" t="s">
        <v>79</v>
      </c>
      <c r="E246" t="s">
        <v>31</v>
      </c>
      <c r="F246">
        <v>11</v>
      </c>
      <c r="G246" t="s">
        <v>115</v>
      </c>
      <c r="H246" t="b">
        <v>0</v>
      </c>
      <c r="I246" t="s">
        <v>55</v>
      </c>
      <c r="J246" t="s">
        <v>22</v>
      </c>
      <c r="K246" t="s">
        <v>33</v>
      </c>
      <c r="L246">
        <v>0.2</v>
      </c>
      <c r="M246" t="s">
        <v>40</v>
      </c>
      <c r="N246">
        <v>0.21210000000000001</v>
      </c>
      <c r="O246">
        <v>0.47</v>
      </c>
      <c r="P246">
        <v>0.1343</v>
      </c>
      <c r="Q246">
        <v>4</v>
      </c>
      <c r="R246">
        <v>31</v>
      </c>
      <c r="S246">
        <v>35</v>
      </c>
    </row>
    <row r="247" spans="1:19" x14ac:dyDescent="0.3">
      <c r="A247">
        <v>244</v>
      </c>
      <c r="B247" t="s">
        <v>89</v>
      </c>
      <c r="C247" t="s">
        <v>78</v>
      </c>
      <c r="D247" t="s">
        <v>79</v>
      </c>
      <c r="E247" t="s">
        <v>31</v>
      </c>
      <c r="F247">
        <v>12</v>
      </c>
      <c r="G247" t="s">
        <v>114</v>
      </c>
      <c r="H247" t="b">
        <v>0</v>
      </c>
      <c r="I247" t="s">
        <v>55</v>
      </c>
      <c r="J247" t="s">
        <v>22</v>
      </c>
      <c r="K247" t="s">
        <v>33</v>
      </c>
      <c r="L247">
        <v>0.2</v>
      </c>
      <c r="M247" t="s">
        <v>40</v>
      </c>
      <c r="N247">
        <v>0.2273</v>
      </c>
      <c r="O247">
        <v>0.51</v>
      </c>
      <c r="P247">
        <v>0.1045</v>
      </c>
      <c r="Q247">
        <v>2</v>
      </c>
      <c r="R247">
        <v>55</v>
      </c>
      <c r="S247">
        <v>57</v>
      </c>
    </row>
    <row r="248" spans="1:19" x14ac:dyDescent="0.3">
      <c r="A248">
        <v>245</v>
      </c>
      <c r="B248" t="s">
        <v>89</v>
      </c>
      <c r="C248" t="s">
        <v>78</v>
      </c>
      <c r="D248" t="s">
        <v>79</v>
      </c>
      <c r="E248" t="s">
        <v>31</v>
      </c>
      <c r="F248">
        <v>13</v>
      </c>
      <c r="G248" t="s">
        <v>114</v>
      </c>
      <c r="H248" t="b">
        <v>0</v>
      </c>
      <c r="I248" t="s">
        <v>55</v>
      </c>
      <c r="J248" t="s">
        <v>22</v>
      </c>
      <c r="K248" t="s">
        <v>33</v>
      </c>
      <c r="L248">
        <v>0.2</v>
      </c>
      <c r="M248" t="s">
        <v>40</v>
      </c>
      <c r="N248">
        <v>0.2273</v>
      </c>
      <c r="O248">
        <v>0.59</v>
      </c>
      <c r="P248">
        <v>8.9599999999999999E-2</v>
      </c>
      <c r="Q248">
        <v>6</v>
      </c>
      <c r="R248">
        <v>46</v>
      </c>
      <c r="S248">
        <v>52</v>
      </c>
    </row>
    <row r="249" spans="1:19" x14ac:dyDescent="0.3">
      <c r="A249">
        <v>246</v>
      </c>
      <c r="B249" t="s">
        <v>89</v>
      </c>
      <c r="C249" t="s">
        <v>78</v>
      </c>
      <c r="D249" t="s">
        <v>79</v>
      </c>
      <c r="E249" t="s">
        <v>31</v>
      </c>
      <c r="F249">
        <v>14</v>
      </c>
      <c r="G249" t="s">
        <v>114</v>
      </c>
      <c r="H249" t="b">
        <v>0</v>
      </c>
      <c r="I249" t="s">
        <v>55</v>
      </c>
      <c r="J249" t="s">
        <v>22</v>
      </c>
      <c r="K249" t="s">
        <v>33</v>
      </c>
      <c r="L249">
        <v>0.2</v>
      </c>
      <c r="M249" t="s">
        <v>40</v>
      </c>
      <c r="N249">
        <v>0.2273</v>
      </c>
      <c r="O249">
        <v>0.59</v>
      </c>
      <c r="P249">
        <v>8.9599999999999999E-2</v>
      </c>
      <c r="Q249">
        <v>3</v>
      </c>
      <c r="R249">
        <v>60</v>
      </c>
      <c r="S249">
        <v>63</v>
      </c>
    </row>
    <row r="250" spans="1:19" x14ac:dyDescent="0.3">
      <c r="A250">
        <v>247</v>
      </c>
      <c r="B250" t="s">
        <v>89</v>
      </c>
      <c r="C250" t="s">
        <v>78</v>
      </c>
      <c r="D250" t="s">
        <v>79</v>
      </c>
      <c r="E250" t="s">
        <v>31</v>
      </c>
      <c r="F250">
        <v>15</v>
      </c>
      <c r="G250" t="s">
        <v>114</v>
      </c>
      <c r="H250" t="b">
        <v>0</v>
      </c>
      <c r="I250" t="s">
        <v>55</v>
      </c>
      <c r="J250" t="s">
        <v>22</v>
      </c>
      <c r="K250" t="s">
        <v>33</v>
      </c>
      <c r="L250">
        <v>0.16</v>
      </c>
      <c r="M250" t="s">
        <v>40</v>
      </c>
      <c r="N250">
        <v>0.19700000000000001</v>
      </c>
      <c r="O250">
        <v>0.8</v>
      </c>
      <c r="P250">
        <v>8.9599999999999999E-2</v>
      </c>
      <c r="Q250">
        <v>2</v>
      </c>
      <c r="R250">
        <v>45</v>
      </c>
      <c r="S250">
        <v>47</v>
      </c>
    </row>
    <row r="251" spans="1:19" x14ac:dyDescent="0.3">
      <c r="A251">
        <v>248</v>
      </c>
      <c r="B251" t="s">
        <v>89</v>
      </c>
      <c r="C251" t="s">
        <v>78</v>
      </c>
      <c r="D251" t="s">
        <v>79</v>
      </c>
      <c r="E251" t="s">
        <v>31</v>
      </c>
      <c r="F251">
        <v>16</v>
      </c>
      <c r="G251" t="s">
        <v>114</v>
      </c>
      <c r="H251" t="b">
        <v>0</v>
      </c>
      <c r="I251" t="s">
        <v>55</v>
      </c>
      <c r="J251" t="s">
        <v>22</v>
      </c>
      <c r="K251" t="s">
        <v>33</v>
      </c>
      <c r="L251">
        <v>0.16</v>
      </c>
      <c r="M251" t="s">
        <v>40</v>
      </c>
      <c r="N251">
        <v>0.1515</v>
      </c>
      <c r="O251">
        <v>0.86</v>
      </c>
      <c r="P251">
        <v>0.22389999999999999</v>
      </c>
      <c r="Q251">
        <v>4</v>
      </c>
      <c r="R251">
        <v>72</v>
      </c>
      <c r="S251">
        <v>76</v>
      </c>
    </row>
    <row r="252" spans="1:19" x14ac:dyDescent="0.3">
      <c r="A252">
        <v>249</v>
      </c>
      <c r="B252" t="s">
        <v>89</v>
      </c>
      <c r="C252" t="s">
        <v>78</v>
      </c>
      <c r="D252" t="s">
        <v>79</v>
      </c>
      <c r="E252" t="s">
        <v>31</v>
      </c>
      <c r="F252">
        <v>17</v>
      </c>
      <c r="G252" t="s">
        <v>114</v>
      </c>
      <c r="H252" t="b">
        <v>0</v>
      </c>
      <c r="I252" t="s">
        <v>55</v>
      </c>
      <c r="J252" t="s">
        <v>22</v>
      </c>
      <c r="K252" t="s">
        <v>33</v>
      </c>
      <c r="L252">
        <v>0.16</v>
      </c>
      <c r="M252" t="s">
        <v>40</v>
      </c>
      <c r="N252">
        <v>0.1515</v>
      </c>
      <c r="O252">
        <v>0.86</v>
      </c>
      <c r="P252">
        <v>0.22389999999999999</v>
      </c>
      <c r="Q252">
        <v>6</v>
      </c>
      <c r="R252">
        <v>130</v>
      </c>
      <c r="S252">
        <v>136</v>
      </c>
    </row>
    <row r="253" spans="1:19" x14ac:dyDescent="0.3">
      <c r="A253">
        <v>250</v>
      </c>
      <c r="B253" t="s">
        <v>89</v>
      </c>
      <c r="C253" t="s">
        <v>78</v>
      </c>
      <c r="D253" t="s">
        <v>79</v>
      </c>
      <c r="E253" t="s">
        <v>31</v>
      </c>
      <c r="F253">
        <v>18</v>
      </c>
      <c r="G253" t="s">
        <v>113</v>
      </c>
      <c r="H253" t="b">
        <v>0</v>
      </c>
      <c r="I253" t="s">
        <v>55</v>
      </c>
      <c r="J253" t="s">
        <v>22</v>
      </c>
      <c r="K253" t="s">
        <v>34</v>
      </c>
      <c r="L253">
        <v>0.16</v>
      </c>
      <c r="M253" t="s">
        <v>40</v>
      </c>
      <c r="N253">
        <v>0.18179999999999999</v>
      </c>
      <c r="O253">
        <v>0.93</v>
      </c>
      <c r="P253">
        <v>0.1045</v>
      </c>
      <c r="Q253">
        <v>1</v>
      </c>
      <c r="R253">
        <v>94</v>
      </c>
      <c r="S253">
        <v>95</v>
      </c>
    </row>
    <row r="254" spans="1:19" x14ac:dyDescent="0.3">
      <c r="A254">
        <v>251</v>
      </c>
      <c r="B254" t="s">
        <v>89</v>
      </c>
      <c r="C254" t="s">
        <v>78</v>
      </c>
      <c r="D254" t="s">
        <v>79</v>
      </c>
      <c r="E254" t="s">
        <v>31</v>
      </c>
      <c r="F254">
        <v>19</v>
      </c>
      <c r="G254" t="s">
        <v>113</v>
      </c>
      <c r="H254" t="b">
        <v>0</v>
      </c>
      <c r="I254" t="s">
        <v>55</v>
      </c>
      <c r="J254" t="s">
        <v>22</v>
      </c>
      <c r="K254" t="s">
        <v>34</v>
      </c>
      <c r="L254">
        <v>0.16</v>
      </c>
      <c r="M254" t="s">
        <v>40</v>
      </c>
      <c r="N254">
        <v>0.2273</v>
      </c>
      <c r="O254">
        <v>0.93</v>
      </c>
      <c r="P254">
        <v>0</v>
      </c>
      <c r="Q254">
        <v>0</v>
      </c>
      <c r="R254">
        <v>51</v>
      </c>
      <c r="S254">
        <v>51</v>
      </c>
    </row>
    <row r="255" spans="1:19" x14ac:dyDescent="0.3">
      <c r="A255">
        <v>252</v>
      </c>
      <c r="B255" t="s">
        <v>89</v>
      </c>
      <c r="C255" t="s">
        <v>78</v>
      </c>
      <c r="D255" t="s">
        <v>79</v>
      </c>
      <c r="E255" t="s">
        <v>31</v>
      </c>
      <c r="F255">
        <v>20</v>
      </c>
      <c r="G255" t="s">
        <v>113</v>
      </c>
      <c r="H255" t="b">
        <v>0</v>
      </c>
      <c r="I255" t="s">
        <v>55</v>
      </c>
      <c r="J255" t="s">
        <v>22</v>
      </c>
      <c r="K255" t="s">
        <v>34</v>
      </c>
      <c r="L255">
        <v>0.16</v>
      </c>
      <c r="M255" t="s">
        <v>40</v>
      </c>
      <c r="N255">
        <v>0.1515</v>
      </c>
      <c r="O255">
        <v>0.93</v>
      </c>
      <c r="P255">
        <v>0.19400000000000001</v>
      </c>
      <c r="Q255">
        <v>0</v>
      </c>
      <c r="R255">
        <v>32</v>
      </c>
      <c r="S255">
        <v>32</v>
      </c>
    </row>
    <row r="256" spans="1:19" x14ac:dyDescent="0.3">
      <c r="A256">
        <v>253</v>
      </c>
      <c r="B256" t="s">
        <v>89</v>
      </c>
      <c r="C256" t="s">
        <v>78</v>
      </c>
      <c r="D256" t="s">
        <v>79</v>
      </c>
      <c r="E256" t="s">
        <v>31</v>
      </c>
      <c r="F256">
        <v>21</v>
      </c>
      <c r="G256" t="s">
        <v>113</v>
      </c>
      <c r="H256" t="b">
        <v>0</v>
      </c>
      <c r="I256" t="s">
        <v>55</v>
      </c>
      <c r="J256" t="s">
        <v>22</v>
      </c>
      <c r="K256" t="s">
        <v>34</v>
      </c>
      <c r="L256">
        <v>0.16</v>
      </c>
      <c r="M256" t="s">
        <v>40</v>
      </c>
      <c r="N256">
        <v>0.19700000000000001</v>
      </c>
      <c r="O256">
        <v>0.86</v>
      </c>
      <c r="P256">
        <v>8.9599999999999999E-2</v>
      </c>
      <c r="Q256">
        <v>0</v>
      </c>
      <c r="R256">
        <v>20</v>
      </c>
      <c r="S256">
        <v>20</v>
      </c>
    </row>
    <row r="257" spans="1:19" x14ac:dyDescent="0.3">
      <c r="A257">
        <v>254</v>
      </c>
      <c r="B257" t="s">
        <v>89</v>
      </c>
      <c r="C257" t="s">
        <v>78</v>
      </c>
      <c r="D257" t="s">
        <v>79</v>
      </c>
      <c r="E257" t="s">
        <v>31</v>
      </c>
      <c r="F257">
        <v>22</v>
      </c>
      <c r="G257" t="s">
        <v>113</v>
      </c>
      <c r="H257" t="b">
        <v>0</v>
      </c>
      <c r="I257" t="s">
        <v>55</v>
      </c>
      <c r="J257" t="s">
        <v>22</v>
      </c>
      <c r="K257" t="s">
        <v>34</v>
      </c>
      <c r="L257">
        <v>0.16</v>
      </c>
      <c r="M257" t="s">
        <v>40</v>
      </c>
      <c r="N257">
        <v>0.18179999999999999</v>
      </c>
      <c r="O257">
        <v>0.93</v>
      </c>
      <c r="P257">
        <v>0.1045</v>
      </c>
      <c r="Q257">
        <v>1</v>
      </c>
      <c r="R257">
        <v>28</v>
      </c>
      <c r="S257">
        <v>29</v>
      </c>
    </row>
    <row r="258" spans="1:19" x14ac:dyDescent="0.3">
      <c r="A258">
        <v>255</v>
      </c>
      <c r="B258" t="s">
        <v>89</v>
      </c>
      <c r="C258" t="s">
        <v>78</v>
      </c>
      <c r="D258" t="s">
        <v>79</v>
      </c>
      <c r="E258" t="s">
        <v>31</v>
      </c>
      <c r="F258">
        <v>23</v>
      </c>
      <c r="G258" t="s">
        <v>113</v>
      </c>
      <c r="H258" t="b">
        <v>0</v>
      </c>
      <c r="I258" t="s">
        <v>55</v>
      </c>
      <c r="J258" t="s">
        <v>22</v>
      </c>
      <c r="K258" t="s">
        <v>34</v>
      </c>
      <c r="L258">
        <v>0.16</v>
      </c>
      <c r="M258" t="s">
        <v>40</v>
      </c>
      <c r="N258">
        <v>0.19700000000000001</v>
      </c>
      <c r="O258">
        <v>0.93</v>
      </c>
      <c r="P258">
        <v>8.9599999999999999E-2</v>
      </c>
      <c r="Q258">
        <v>1</v>
      </c>
      <c r="R258">
        <v>18</v>
      </c>
      <c r="S258">
        <v>19</v>
      </c>
    </row>
    <row r="259" spans="1:19" x14ac:dyDescent="0.3">
      <c r="A259">
        <v>256</v>
      </c>
      <c r="B259" t="s">
        <v>90</v>
      </c>
      <c r="C259" t="s">
        <v>78</v>
      </c>
      <c r="D259" t="s">
        <v>79</v>
      </c>
      <c r="E259" t="s">
        <v>31</v>
      </c>
      <c r="F259">
        <v>0</v>
      </c>
      <c r="G259" t="s">
        <v>116</v>
      </c>
      <c r="H259" t="b">
        <v>0</v>
      </c>
      <c r="I259" t="s">
        <v>56</v>
      </c>
      <c r="J259" t="s">
        <v>22</v>
      </c>
      <c r="K259" t="s">
        <v>33</v>
      </c>
      <c r="L259">
        <v>0.16</v>
      </c>
      <c r="M259" t="s">
        <v>40</v>
      </c>
      <c r="N259">
        <v>0.19700000000000001</v>
      </c>
      <c r="O259">
        <v>0.86</v>
      </c>
      <c r="P259">
        <v>8.9599999999999999E-2</v>
      </c>
      <c r="Q259">
        <v>0</v>
      </c>
      <c r="R259">
        <v>7</v>
      </c>
      <c r="S259">
        <v>7</v>
      </c>
    </row>
    <row r="260" spans="1:19" x14ac:dyDescent="0.3">
      <c r="A260">
        <v>257</v>
      </c>
      <c r="B260" t="s">
        <v>90</v>
      </c>
      <c r="C260" t="s">
        <v>78</v>
      </c>
      <c r="D260" t="s">
        <v>79</v>
      </c>
      <c r="E260" t="s">
        <v>31</v>
      </c>
      <c r="F260">
        <v>1</v>
      </c>
      <c r="G260" t="s">
        <v>116</v>
      </c>
      <c r="H260" t="b">
        <v>0</v>
      </c>
      <c r="I260" t="s">
        <v>56</v>
      </c>
      <c r="J260" t="s">
        <v>22</v>
      </c>
      <c r="K260" t="s">
        <v>33</v>
      </c>
      <c r="L260">
        <v>0.16</v>
      </c>
      <c r="M260" t="s">
        <v>40</v>
      </c>
      <c r="N260">
        <v>0.18179999999999999</v>
      </c>
      <c r="O260">
        <v>0.86</v>
      </c>
      <c r="P260">
        <v>0.1045</v>
      </c>
      <c r="Q260">
        <v>0</v>
      </c>
      <c r="R260">
        <v>6</v>
      </c>
      <c r="S260">
        <v>6</v>
      </c>
    </row>
    <row r="261" spans="1:19" x14ac:dyDescent="0.3">
      <c r="A261">
        <v>258</v>
      </c>
      <c r="B261" t="s">
        <v>90</v>
      </c>
      <c r="C261" t="s">
        <v>78</v>
      </c>
      <c r="D261" t="s">
        <v>79</v>
      </c>
      <c r="E261" t="s">
        <v>31</v>
      </c>
      <c r="F261">
        <v>2</v>
      </c>
      <c r="G261" t="s">
        <v>116</v>
      </c>
      <c r="H261" t="b">
        <v>0</v>
      </c>
      <c r="I261" t="s">
        <v>56</v>
      </c>
      <c r="J261" t="s">
        <v>22</v>
      </c>
      <c r="K261" t="s">
        <v>32</v>
      </c>
      <c r="L261">
        <v>0.14000000000000001</v>
      </c>
      <c r="M261" t="s">
        <v>44</v>
      </c>
      <c r="N261">
        <v>0.1515</v>
      </c>
      <c r="O261">
        <v>0.86</v>
      </c>
      <c r="P261">
        <v>0.1343</v>
      </c>
      <c r="Q261">
        <v>0</v>
      </c>
      <c r="R261">
        <v>1</v>
      </c>
      <c r="S261">
        <v>1</v>
      </c>
    </row>
    <row r="262" spans="1:19" x14ac:dyDescent="0.3">
      <c r="A262">
        <v>259</v>
      </c>
      <c r="B262" t="s">
        <v>90</v>
      </c>
      <c r="C262" t="s">
        <v>78</v>
      </c>
      <c r="D262" t="s">
        <v>79</v>
      </c>
      <c r="E262" t="s">
        <v>31</v>
      </c>
      <c r="F262">
        <v>5</v>
      </c>
      <c r="G262" t="s">
        <v>116</v>
      </c>
      <c r="H262" t="b">
        <v>0</v>
      </c>
      <c r="I262" t="s">
        <v>56</v>
      </c>
      <c r="J262" t="s">
        <v>22</v>
      </c>
      <c r="K262" t="s">
        <v>32</v>
      </c>
      <c r="L262">
        <v>0.14000000000000001</v>
      </c>
      <c r="M262" t="s">
        <v>44</v>
      </c>
      <c r="N262">
        <v>0.1515</v>
      </c>
      <c r="O262">
        <v>0.86</v>
      </c>
      <c r="P262">
        <v>0.16420000000000001</v>
      </c>
      <c r="Q262">
        <v>0</v>
      </c>
      <c r="R262">
        <v>5</v>
      </c>
      <c r="S262">
        <v>5</v>
      </c>
    </row>
    <row r="263" spans="1:19" x14ac:dyDescent="0.3">
      <c r="A263">
        <v>260</v>
      </c>
      <c r="B263" t="s">
        <v>90</v>
      </c>
      <c r="C263" t="s">
        <v>78</v>
      </c>
      <c r="D263" t="s">
        <v>79</v>
      </c>
      <c r="E263" t="s">
        <v>31</v>
      </c>
      <c r="F263">
        <v>6</v>
      </c>
      <c r="G263" t="s">
        <v>115</v>
      </c>
      <c r="H263" t="b">
        <v>0</v>
      </c>
      <c r="I263" t="s">
        <v>56</v>
      </c>
      <c r="J263" t="s">
        <v>22</v>
      </c>
      <c r="K263" t="s">
        <v>32</v>
      </c>
      <c r="L263">
        <v>0.12</v>
      </c>
      <c r="M263" t="s">
        <v>44</v>
      </c>
      <c r="N263">
        <v>0.1515</v>
      </c>
      <c r="O263">
        <v>0.93</v>
      </c>
      <c r="P263">
        <v>0.1343</v>
      </c>
      <c r="Q263">
        <v>0</v>
      </c>
      <c r="R263">
        <v>16</v>
      </c>
      <c r="S263">
        <v>16</v>
      </c>
    </row>
    <row r="264" spans="1:19" x14ac:dyDescent="0.3">
      <c r="A264">
        <v>261</v>
      </c>
      <c r="B264" t="s">
        <v>90</v>
      </c>
      <c r="C264" t="s">
        <v>78</v>
      </c>
      <c r="D264" t="s">
        <v>79</v>
      </c>
      <c r="E264" t="s">
        <v>31</v>
      </c>
      <c r="F264">
        <v>7</v>
      </c>
      <c r="G264" t="s">
        <v>115</v>
      </c>
      <c r="H264" t="b">
        <v>0</v>
      </c>
      <c r="I264" t="s">
        <v>56</v>
      </c>
      <c r="J264" t="s">
        <v>22</v>
      </c>
      <c r="K264" t="s">
        <v>32</v>
      </c>
      <c r="L264">
        <v>0.14000000000000001</v>
      </c>
      <c r="M264" t="s">
        <v>44</v>
      </c>
      <c r="N264">
        <v>0.1515</v>
      </c>
      <c r="O264">
        <v>0.69</v>
      </c>
      <c r="P264">
        <v>0.1343</v>
      </c>
      <c r="Q264">
        <v>0</v>
      </c>
      <c r="R264">
        <v>54</v>
      </c>
      <c r="S264">
        <v>54</v>
      </c>
    </row>
    <row r="265" spans="1:19" x14ac:dyDescent="0.3">
      <c r="A265">
        <v>262</v>
      </c>
      <c r="B265" t="s">
        <v>90</v>
      </c>
      <c r="C265" t="s">
        <v>78</v>
      </c>
      <c r="D265" t="s">
        <v>79</v>
      </c>
      <c r="E265" t="s">
        <v>31</v>
      </c>
      <c r="F265">
        <v>8</v>
      </c>
      <c r="G265" t="s">
        <v>115</v>
      </c>
      <c r="H265" t="b">
        <v>0</v>
      </c>
      <c r="I265" t="s">
        <v>56</v>
      </c>
      <c r="J265" t="s">
        <v>22</v>
      </c>
      <c r="K265" t="s">
        <v>32</v>
      </c>
      <c r="L265">
        <v>0.16</v>
      </c>
      <c r="M265" t="s">
        <v>40</v>
      </c>
      <c r="N265">
        <v>0.16669999999999999</v>
      </c>
      <c r="O265">
        <v>0.59</v>
      </c>
      <c r="P265">
        <v>0.16420000000000001</v>
      </c>
      <c r="Q265">
        <v>3</v>
      </c>
      <c r="R265">
        <v>125</v>
      </c>
      <c r="S265">
        <v>128</v>
      </c>
    </row>
    <row r="266" spans="1:19" x14ac:dyDescent="0.3">
      <c r="A266">
        <v>263</v>
      </c>
      <c r="B266" t="s">
        <v>90</v>
      </c>
      <c r="C266" t="s">
        <v>78</v>
      </c>
      <c r="D266" t="s">
        <v>79</v>
      </c>
      <c r="E266" t="s">
        <v>31</v>
      </c>
      <c r="F266">
        <v>9</v>
      </c>
      <c r="G266" t="s">
        <v>115</v>
      </c>
      <c r="H266" t="b">
        <v>0</v>
      </c>
      <c r="I266" t="s">
        <v>56</v>
      </c>
      <c r="J266" t="s">
        <v>22</v>
      </c>
      <c r="K266" t="s">
        <v>32</v>
      </c>
      <c r="L266">
        <v>0.16</v>
      </c>
      <c r="M266" t="s">
        <v>40</v>
      </c>
      <c r="N266">
        <v>0.13639999999999999</v>
      </c>
      <c r="O266">
        <v>0.59</v>
      </c>
      <c r="P266">
        <v>0.32840000000000003</v>
      </c>
      <c r="Q266">
        <v>3</v>
      </c>
      <c r="R266">
        <v>78</v>
      </c>
      <c r="S266">
        <v>81</v>
      </c>
    </row>
    <row r="267" spans="1:19" x14ac:dyDescent="0.3">
      <c r="A267">
        <v>264</v>
      </c>
      <c r="B267" t="s">
        <v>90</v>
      </c>
      <c r="C267" t="s">
        <v>78</v>
      </c>
      <c r="D267" t="s">
        <v>79</v>
      </c>
      <c r="E267" t="s">
        <v>31</v>
      </c>
      <c r="F267">
        <v>10</v>
      </c>
      <c r="G267" t="s">
        <v>115</v>
      </c>
      <c r="H267" t="b">
        <v>0</v>
      </c>
      <c r="I267" t="s">
        <v>56</v>
      </c>
      <c r="J267" t="s">
        <v>22</v>
      </c>
      <c r="K267" t="s">
        <v>32</v>
      </c>
      <c r="L267">
        <v>0.18</v>
      </c>
      <c r="M267" t="s">
        <v>40</v>
      </c>
      <c r="N267">
        <v>0.18179999999999999</v>
      </c>
      <c r="O267">
        <v>0.55000000000000004</v>
      </c>
      <c r="P267">
        <v>0.22389999999999999</v>
      </c>
      <c r="Q267">
        <v>0</v>
      </c>
      <c r="R267">
        <v>39</v>
      </c>
      <c r="S267">
        <v>39</v>
      </c>
    </row>
    <row r="268" spans="1:19" x14ac:dyDescent="0.3">
      <c r="A268">
        <v>265</v>
      </c>
      <c r="B268" t="s">
        <v>90</v>
      </c>
      <c r="C268" t="s">
        <v>78</v>
      </c>
      <c r="D268" t="s">
        <v>79</v>
      </c>
      <c r="E268" t="s">
        <v>31</v>
      </c>
      <c r="F268">
        <v>11</v>
      </c>
      <c r="G268" t="s">
        <v>115</v>
      </c>
      <c r="H268" t="b">
        <v>0</v>
      </c>
      <c r="I268" t="s">
        <v>56</v>
      </c>
      <c r="J268" t="s">
        <v>22</v>
      </c>
      <c r="K268" t="s">
        <v>32</v>
      </c>
      <c r="L268">
        <v>0.2</v>
      </c>
      <c r="M268" t="s">
        <v>40</v>
      </c>
      <c r="N268">
        <v>0.18179999999999999</v>
      </c>
      <c r="O268">
        <v>0.51</v>
      </c>
      <c r="P268">
        <v>0.3881</v>
      </c>
      <c r="Q268">
        <v>3</v>
      </c>
      <c r="R268">
        <v>32</v>
      </c>
      <c r="S268">
        <v>35</v>
      </c>
    </row>
    <row r="269" spans="1:19" x14ac:dyDescent="0.3">
      <c r="A269">
        <v>266</v>
      </c>
      <c r="B269" t="s">
        <v>90</v>
      </c>
      <c r="C269" t="s">
        <v>78</v>
      </c>
      <c r="D269" t="s">
        <v>79</v>
      </c>
      <c r="E269" t="s">
        <v>31</v>
      </c>
      <c r="F269">
        <v>12</v>
      </c>
      <c r="G269" t="s">
        <v>114</v>
      </c>
      <c r="H269" t="b">
        <v>0</v>
      </c>
      <c r="I269" t="s">
        <v>56</v>
      </c>
      <c r="J269" t="s">
        <v>22</v>
      </c>
      <c r="K269" t="s">
        <v>32</v>
      </c>
      <c r="L269">
        <v>0.2</v>
      </c>
      <c r="M269" t="s">
        <v>40</v>
      </c>
      <c r="N269">
        <v>0.1515</v>
      </c>
      <c r="O269">
        <v>0.47</v>
      </c>
      <c r="P269">
        <v>0.58209999999999995</v>
      </c>
      <c r="Q269">
        <v>3</v>
      </c>
      <c r="R269">
        <v>52</v>
      </c>
      <c r="S269">
        <v>55</v>
      </c>
    </row>
    <row r="270" spans="1:19" x14ac:dyDescent="0.3">
      <c r="A270">
        <v>267</v>
      </c>
      <c r="B270" t="s">
        <v>90</v>
      </c>
      <c r="C270" t="s">
        <v>78</v>
      </c>
      <c r="D270" t="s">
        <v>79</v>
      </c>
      <c r="E270" t="s">
        <v>31</v>
      </c>
      <c r="F270">
        <v>13</v>
      </c>
      <c r="G270" t="s">
        <v>114</v>
      </c>
      <c r="H270" t="b">
        <v>0</v>
      </c>
      <c r="I270" t="s">
        <v>56</v>
      </c>
      <c r="J270" t="s">
        <v>22</v>
      </c>
      <c r="K270" t="s">
        <v>32</v>
      </c>
      <c r="L270">
        <v>0.22</v>
      </c>
      <c r="M270" t="s">
        <v>40</v>
      </c>
      <c r="N270">
        <v>0.19700000000000001</v>
      </c>
      <c r="O270">
        <v>0.44</v>
      </c>
      <c r="P270">
        <v>0.35820000000000002</v>
      </c>
      <c r="Q270">
        <v>0</v>
      </c>
      <c r="R270">
        <v>49</v>
      </c>
      <c r="S270">
        <v>49</v>
      </c>
    </row>
    <row r="271" spans="1:19" x14ac:dyDescent="0.3">
      <c r="A271">
        <v>268</v>
      </c>
      <c r="B271" t="s">
        <v>90</v>
      </c>
      <c r="C271" t="s">
        <v>78</v>
      </c>
      <c r="D271" t="s">
        <v>79</v>
      </c>
      <c r="E271" t="s">
        <v>31</v>
      </c>
      <c r="F271">
        <v>14</v>
      </c>
      <c r="G271" t="s">
        <v>114</v>
      </c>
      <c r="H271" t="b">
        <v>0</v>
      </c>
      <c r="I271" t="s">
        <v>56</v>
      </c>
      <c r="J271" t="s">
        <v>22</v>
      </c>
      <c r="K271" t="s">
        <v>32</v>
      </c>
      <c r="L271">
        <v>0.2</v>
      </c>
      <c r="M271" t="s">
        <v>40</v>
      </c>
      <c r="N271">
        <v>0.18179999999999999</v>
      </c>
      <c r="O271">
        <v>0.47</v>
      </c>
      <c r="P271">
        <v>0.32840000000000003</v>
      </c>
      <c r="Q271">
        <v>0</v>
      </c>
      <c r="R271">
        <v>44</v>
      </c>
      <c r="S271">
        <v>44</v>
      </c>
    </row>
    <row r="272" spans="1:19" x14ac:dyDescent="0.3">
      <c r="A272">
        <v>269</v>
      </c>
      <c r="B272" t="s">
        <v>90</v>
      </c>
      <c r="C272" t="s">
        <v>78</v>
      </c>
      <c r="D272" t="s">
        <v>79</v>
      </c>
      <c r="E272" t="s">
        <v>31</v>
      </c>
      <c r="F272">
        <v>15</v>
      </c>
      <c r="G272" t="s">
        <v>114</v>
      </c>
      <c r="H272" t="b">
        <v>0</v>
      </c>
      <c r="I272" t="s">
        <v>56</v>
      </c>
      <c r="J272" t="s">
        <v>22</v>
      </c>
      <c r="K272" t="s">
        <v>32</v>
      </c>
      <c r="L272">
        <v>0.2</v>
      </c>
      <c r="M272" t="s">
        <v>40</v>
      </c>
      <c r="N272">
        <v>0.16669999999999999</v>
      </c>
      <c r="O272">
        <v>0.47</v>
      </c>
      <c r="P272">
        <v>0.41789999999999999</v>
      </c>
      <c r="Q272">
        <v>1</v>
      </c>
      <c r="R272">
        <v>48</v>
      </c>
      <c r="S272">
        <v>49</v>
      </c>
    </row>
    <row r="273" spans="1:19" x14ac:dyDescent="0.3">
      <c r="A273">
        <v>270</v>
      </c>
      <c r="B273" t="s">
        <v>90</v>
      </c>
      <c r="C273" t="s">
        <v>78</v>
      </c>
      <c r="D273" t="s">
        <v>79</v>
      </c>
      <c r="E273" t="s">
        <v>31</v>
      </c>
      <c r="F273">
        <v>16</v>
      </c>
      <c r="G273" t="s">
        <v>114</v>
      </c>
      <c r="H273" t="b">
        <v>0</v>
      </c>
      <c r="I273" t="s">
        <v>56</v>
      </c>
      <c r="J273" t="s">
        <v>22</v>
      </c>
      <c r="K273" t="s">
        <v>32</v>
      </c>
      <c r="L273">
        <v>0.22</v>
      </c>
      <c r="M273" t="s">
        <v>40</v>
      </c>
      <c r="N273">
        <v>0.19700000000000001</v>
      </c>
      <c r="O273">
        <v>0.44</v>
      </c>
      <c r="P273">
        <v>0.32840000000000003</v>
      </c>
      <c r="Q273">
        <v>5</v>
      </c>
      <c r="R273">
        <v>63</v>
      </c>
      <c r="S273">
        <v>68</v>
      </c>
    </row>
    <row r="274" spans="1:19" x14ac:dyDescent="0.3">
      <c r="A274">
        <v>271</v>
      </c>
      <c r="B274" t="s">
        <v>90</v>
      </c>
      <c r="C274" t="s">
        <v>78</v>
      </c>
      <c r="D274" t="s">
        <v>79</v>
      </c>
      <c r="E274" t="s">
        <v>31</v>
      </c>
      <c r="F274">
        <v>17</v>
      </c>
      <c r="G274" t="s">
        <v>114</v>
      </c>
      <c r="H274" t="b">
        <v>0</v>
      </c>
      <c r="I274" t="s">
        <v>56</v>
      </c>
      <c r="J274" t="s">
        <v>22</v>
      </c>
      <c r="K274" t="s">
        <v>32</v>
      </c>
      <c r="L274">
        <v>0.2</v>
      </c>
      <c r="M274" t="s">
        <v>40</v>
      </c>
      <c r="N274">
        <v>0.18179999999999999</v>
      </c>
      <c r="O274">
        <v>0.47</v>
      </c>
      <c r="P274">
        <v>0.35820000000000002</v>
      </c>
      <c r="Q274">
        <v>0</v>
      </c>
      <c r="R274">
        <v>139</v>
      </c>
      <c r="S274">
        <v>139</v>
      </c>
    </row>
    <row r="275" spans="1:19" x14ac:dyDescent="0.3">
      <c r="A275">
        <v>272</v>
      </c>
      <c r="B275" t="s">
        <v>90</v>
      </c>
      <c r="C275" t="s">
        <v>78</v>
      </c>
      <c r="D275" t="s">
        <v>79</v>
      </c>
      <c r="E275" t="s">
        <v>31</v>
      </c>
      <c r="F275">
        <v>18</v>
      </c>
      <c r="G275" t="s">
        <v>113</v>
      </c>
      <c r="H275" t="b">
        <v>0</v>
      </c>
      <c r="I275" t="s">
        <v>56</v>
      </c>
      <c r="J275" t="s">
        <v>22</v>
      </c>
      <c r="K275" t="s">
        <v>32</v>
      </c>
      <c r="L275">
        <v>0.2</v>
      </c>
      <c r="M275" t="s">
        <v>40</v>
      </c>
      <c r="N275">
        <v>0.1515</v>
      </c>
      <c r="O275">
        <v>0.47</v>
      </c>
      <c r="P275">
        <v>0.52239999999999998</v>
      </c>
      <c r="Q275">
        <v>2</v>
      </c>
      <c r="R275">
        <v>135</v>
      </c>
      <c r="S275">
        <v>137</v>
      </c>
    </row>
    <row r="276" spans="1:19" x14ac:dyDescent="0.3">
      <c r="A276">
        <v>273</v>
      </c>
      <c r="B276" t="s">
        <v>90</v>
      </c>
      <c r="C276" t="s">
        <v>78</v>
      </c>
      <c r="D276" t="s">
        <v>79</v>
      </c>
      <c r="E276" t="s">
        <v>31</v>
      </c>
      <c r="F276">
        <v>19</v>
      </c>
      <c r="G276" t="s">
        <v>113</v>
      </c>
      <c r="H276" t="b">
        <v>0</v>
      </c>
      <c r="I276" t="s">
        <v>56</v>
      </c>
      <c r="J276" t="s">
        <v>22</v>
      </c>
      <c r="K276" t="s">
        <v>32</v>
      </c>
      <c r="L276">
        <v>0.18</v>
      </c>
      <c r="M276" t="s">
        <v>40</v>
      </c>
      <c r="N276">
        <v>0.1515</v>
      </c>
      <c r="O276">
        <v>0.47</v>
      </c>
      <c r="P276">
        <v>0.41789999999999999</v>
      </c>
      <c r="Q276">
        <v>1</v>
      </c>
      <c r="R276">
        <v>82</v>
      </c>
      <c r="S276">
        <v>83</v>
      </c>
    </row>
    <row r="277" spans="1:19" x14ac:dyDescent="0.3">
      <c r="A277">
        <v>274</v>
      </c>
      <c r="B277" t="s">
        <v>90</v>
      </c>
      <c r="C277" t="s">
        <v>78</v>
      </c>
      <c r="D277" t="s">
        <v>79</v>
      </c>
      <c r="E277" t="s">
        <v>31</v>
      </c>
      <c r="F277">
        <v>20</v>
      </c>
      <c r="G277" t="s">
        <v>113</v>
      </c>
      <c r="H277" t="b">
        <v>0</v>
      </c>
      <c r="I277" t="s">
        <v>56</v>
      </c>
      <c r="J277" t="s">
        <v>22</v>
      </c>
      <c r="K277" t="s">
        <v>32</v>
      </c>
      <c r="L277">
        <v>0.16</v>
      </c>
      <c r="M277" t="s">
        <v>40</v>
      </c>
      <c r="N277">
        <v>0.13639999999999999</v>
      </c>
      <c r="O277">
        <v>0.5</v>
      </c>
      <c r="P277">
        <v>0.32840000000000003</v>
      </c>
      <c r="Q277">
        <v>2</v>
      </c>
      <c r="R277">
        <v>54</v>
      </c>
      <c r="S277">
        <v>56</v>
      </c>
    </row>
    <row r="278" spans="1:19" x14ac:dyDescent="0.3">
      <c r="A278">
        <v>275</v>
      </c>
      <c r="B278" t="s">
        <v>90</v>
      </c>
      <c r="C278" t="s">
        <v>78</v>
      </c>
      <c r="D278" t="s">
        <v>79</v>
      </c>
      <c r="E278" t="s">
        <v>31</v>
      </c>
      <c r="F278">
        <v>21</v>
      </c>
      <c r="G278" t="s">
        <v>113</v>
      </c>
      <c r="H278" t="b">
        <v>0</v>
      </c>
      <c r="I278" t="s">
        <v>56</v>
      </c>
      <c r="J278" t="s">
        <v>22</v>
      </c>
      <c r="K278" t="s">
        <v>32</v>
      </c>
      <c r="L278">
        <v>0.16</v>
      </c>
      <c r="M278" t="s">
        <v>40</v>
      </c>
      <c r="N278">
        <v>0.13639999999999999</v>
      </c>
      <c r="O278">
        <v>0.55000000000000004</v>
      </c>
      <c r="P278">
        <v>0.32840000000000003</v>
      </c>
      <c r="Q278">
        <v>0</v>
      </c>
      <c r="R278">
        <v>57</v>
      </c>
      <c r="S278">
        <v>57</v>
      </c>
    </row>
    <row r="279" spans="1:19" x14ac:dyDescent="0.3">
      <c r="A279">
        <v>276</v>
      </c>
      <c r="B279" t="s">
        <v>90</v>
      </c>
      <c r="C279" t="s">
        <v>78</v>
      </c>
      <c r="D279" t="s">
        <v>79</v>
      </c>
      <c r="E279" t="s">
        <v>31</v>
      </c>
      <c r="F279">
        <v>22</v>
      </c>
      <c r="G279" t="s">
        <v>113</v>
      </c>
      <c r="H279" t="b">
        <v>0</v>
      </c>
      <c r="I279" t="s">
        <v>56</v>
      </c>
      <c r="J279" t="s">
        <v>22</v>
      </c>
      <c r="K279" t="s">
        <v>32</v>
      </c>
      <c r="L279">
        <v>0.16</v>
      </c>
      <c r="M279" t="s">
        <v>40</v>
      </c>
      <c r="N279">
        <v>0.1212</v>
      </c>
      <c r="O279">
        <v>0.55000000000000004</v>
      </c>
      <c r="P279">
        <v>0.44779999999999998</v>
      </c>
      <c r="Q279">
        <v>1</v>
      </c>
      <c r="R279">
        <v>32</v>
      </c>
      <c r="S279">
        <v>33</v>
      </c>
    </row>
    <row r="280" spans="1:19" x14ac:dyDescent="0.3">
      <c r="A280">
        <v>277</v>
      </c>
      <c r="B280" t="s">
        <v>90</v>
      </c>
      <c r="C280" t="s">
        <v>78</v>
      </c>
      <c r="D280" t="s">
        <v>79</v>
      </c>
      <c r="E280" t="s">
        <v>31</v>
      </c>
      <c r="F280">
        <v>23</v>
      </c>
      <c r="G280" t="s">
        <v>113</v>
      </c>
      <c r="H280" t="b">
        <v>0</v>
      </c>
      <c r="I280" t="s">
        <v>56</v>
      </c>
      <c r="J280" t="s">
        <v>22</v>
      </c>
      <c r="K280" t="s">
        <v>32</v>
      </c>
      <c r="L280">
        <v>0.14000000000000001</v>
      </c>
      <c r="M280" t="s">
        <v>44</v>
      </c>
      <c r="N280">
        <v>0.1061</v>
      </c>
      <c r="O280">
        <v>0.59</v>
      </c>
      <c r="P280">
        <v>0.41789999999999999</v>
      </c>
      <c r="Q280">
        <v>1</v>
      </c>
      <c r="R280">
        <v>19</v>
      </c>
      <c r="S280">
        <v>20</v>
      </c>
    </row>
    <row r="281" spans="1:19" x14ac:dyDescent="0.3">
      <c r="A281">
        <v>278</v>
      </c>
      <c r="B281" t="s">
        <v>91</v>
      </c>
      <c r="C281" t="s">
        <v>78</v>
      </c>
      <c r="D281" t="s">
        <v>79</v>
      </c>
      <c r="E281" t="s">
        <v>31</v>
      </c>
      <c r="F281">
        <v>0</v>
      </c>
      <c r="G281" t="s">
        <v>116</v>
      </c>
      <c r="H281" t="b">
        <v>0</v>
      </c>
      <c r="I281" t="s">
        <v>57</v>
      </c>
      <c r="J281" t="s">
        <v>22</v>
      </c>
      <c r="K281" t="s">
        <v>32</v>
      </c>
      <c r="L281">
        <v>0.14000000000000001</v>
      </c>
      <c r="M281" t="s">
        <v>44</v>
      </c>
      <c r="N281">
        <v>0.1212</v>
      </c>
      <c r="O281">
        <v>0.59</v>
      </c>
      <c r="P281">
        <v>0.28360000000000002</v>
      </c>
      <c r="Q281">
        <v>1</v>
      </c>
      <c r="R281">
        <v>6</v>
      </c>
      <c r="S281">
        <v>7</v>
      </c>
    </row>
    <row r="282" spans="1:19" x14ac:dyDescent="0.3">
      <c r="A282">
        <v>279</v>
      </c>
      <c r="B282" t="s">
        <v>91</v>
      </c>
      <c r="C282" t="s">
        <v>78</v>
      </c>
      <c r="D282" t="s">
        <v>79</v>
      </c>
      <c r="E282" t="s">
        <v>31</v>
      </c>
      <c r="F282">
        <v>1</v>
      </c>
      <c r="G282" t="s">
        <v>116</v>
      </c>
      <c r="H282" t="b">
        <v>0</v>
      </c>
      <c r="I282" t="s">
        <v>57</v>
      </c>
      <c r="J282" t="s">
        <v>22</v>
      </c>
      <c r="K282" t="s">
        <v>32</v>
      </c>
      <c r="L282">
        <v>0.14000000000000001</v>
      </c>
      <c r="M282" t="s">
        <v>44</v>
      </c>
      <c r="N282">
        <v>0.1212</v>
      </c>
      <c r="O282">
        <v>0.5</v>
      </c>
      <c r="P282">
        <v>0.28360000000000002</v>
      </c>
      <c r="Q282">
        <v>0</v>
      </c>
      <c r="R282">
        <v>2</v>
      </c>
      <c r="S282">
        <v>2</v>
      </c>
    </row>
    <row r="283" spans="1:19" x14ac:dyDescent="0.3">
      <c r="A283">
        <v>280</v>
      </c>
      <c r="B283" t="s">
        <v>91</v>
      </c>
      <c r="C283" t="s">
        <v>78</v>
      </c>
      <c r="D283" t="s">
        <v>79</v>
      </c>
      <c r="E283" t="s">
        <v>31</v>
      </c>
      <c r="F283">
        <v>2</v>
      </c>
      <c r="G283" t="s">
        <v>116</v>
      </c>
      <c r="H283" t="b">
        <v>0</v>
      </c>
      <c r="I283" t="s">
        <v>57</v>
      </c>
      <c r="J283" t="s">
        <v>22</v>
      </c>
      <c r="K283" t="s">
        <v>32</v>
      </c>
      <c r="L283">
        <v>0.14000000000000001</v>
      </c>
      <c r="M283" t="s">
        <v>44</v>
      </c>
      <c r="N283">
        <v>0.1212</v>
      </c>
      <c r="O283">
        <v>0.5</v>
      </c>
      <c r="P283">
        <v>0.35820000000000002</v>
      </c>
      <c r="Q283">
        <v>0</v>
      </c>
      <c r="R283">
        <v>2</v>
      </c>
      <c r="S283">
        <v>2</v>
      </c>
    </row>
    <row r="284" spans="1:19" x14ac:dyDescent="0.3">
      <c r="A284">
        <v>281</v>
      </c>
      <c r="B284" t="s">
        <v>91</v>
      </c>
      <c r="C284" t="s">
        <v>78</v>
      </c>
      <c r="D284" t="s">
        <v>79</v>
      </c>
      <c r="E284" t="s">
        <v>31</v>
      </c>
      <c r="F284">
        <v>3</v>
      </c>
      <c r="G284" t="s">
        <v>116</v>
      </c>
      <c r="H284" t="b">
        <v>0</v>
      </c>
      <c r="I284" t="s">
        <v>57</v>
      </c>
      <c r="J284" t="s">
        <v>22</v>
      </c>
      <c r="K284" t="s">
        <v>32</v>
      </c>
      <c r="L284">
        <v>0.14000000000000001</v>
      </c>
      <c r="M284" t="s">
        <v>44</v>
      </c>
      <c r="N284">
        <v>0.1212</v>
      </c>
      <c r="O284">
        <v>0.5</v>
      </c>
      <c r="P284">
        <v>0.32840000000000003</v>
      </c>
      <c r="Q284">
        <v>0</v>
      </c>
      <c r="R284">
        <v>3</v>
      </c>
      <c r="S284">
        <v>3</v>
      </c>
    </row>
    <row r="285" spans="1:19" x14ac:dyDescent="0.3">
      <c r="A285">
        <v>282</v>
      </c>
      <c r="B285" t="s">
        <v>91</v>
      </c>
      <c r="C285" t="s">
        <v>78</v>
      </c>
      <c r="D285" t="s">
        <v>79</v>
      </c>
      <c r="E285" t="s">
        <v>31</v>
      </c>
      <c r="F285">
        <v>4</v>
      </c>
      <c r="G285" t="s">
        <v>116</v>
      </c>
      <c r="H285" t="b">
        <v>0</v>
      </c>
      <c r="I285" t="s">
        <v>57</v>
      </c>
      <c r="J285" t="s">
        <v>22</v>
      </c>
      <c r="K285" t="s">
        <v>32</v>
      </c>
      <c r="L285">
        <v>0.14000000000000001</v>
      </c>
      <c r="M285" t="s">
        <v>44</v>
      </c>
      <c r="N285">
        <v>0.1212</v>
      </c>
      <c r="O285">
        <v>0.5</v>
      </c>
      <c r="P285">
        <v>0.25369999999999998</v>
      </c>
      <c r="Q285">
        <v>0</v>
      </c>
      <c r="R285">
        <v>4</v>
      </c>
      <c r="S285">
        <v>4</v>
      </c>
    </row>
    <row r="286" spans="1:19" x14ac:dyDescent="0.3">
      <c r="A286">
        <v>283</v>
      </c>
      <c r="B286" t="s">
        <v>91</v>
      </c>
      <c r="C286" t="s">
        <v>78</v>
      </c>
      <c r="D286" t="s">
        <v>79</v>
      </c>
      <c r="E286" t="s">
        <v>31</v>
      </c>
      <c r="F286">
        <v>5</v>
      </c>
      <c r="G286" t="s">
        <v>116</v>
      </c>
      <c r="H286" t="b">
        <v>0</v>
      </c>
      <c r="I286" t="s">
        <v>57</v>
      </c>
      <c r="J286" t="s">
        <v>22</v>
      </c>
      <c r="K286" t="s">
        <v>32</v>
      </c>
      <c r="L286">
        <v>0.14000000000000001</v>
      </c>
      <c r="M286" t="s">
        <v>44</v>
      </c>
      <c r="N286">
        <v>0.1212</v>
      </c>
      <c r="O286">
        <v>0.5</v>
      </c>
      <c r="P286">
        <v>0.29849999999999999</v>
      </c>
      <c r="Q286">
        <v>0</v>
      </c>
      <c r="R286">
        <v>3</v>
      </c>
      <c r="S286">
        <v>3</v>
      </c>
    </row>
    <row r="287" spans="1:19" x14ac:dyDescent="0.3">
      <c r="A287">
        <v>284</v>
      </c>
      <c r="B287" t="s">
        <v>91</v>
      </c>
      <c r="C287" t="s">
        <v>78</v>
      </c>
      <c r="D287" t="s">
        <v>79</v>
      </c>
      <c r="E287" t="s">
        <v>31</v>
      </c>
      <c r="F287">
        <v>6</v>
      </c>
      <c r="G287" t="s">
        <v>115</v>
      </c>
      <c r="H287" t="b">
        <v>0</v>
      </c>
      <c r="I287" t="s">
        <v>57</v>
      </c>
      <c r="J287" t="s">
        <v>22</v>
      </c>
      <c r="K287" t="s">
        <v>32</v>
      </c>
      <c r="L287">
        <v>0.12</v>
      </c>
      <c r="M287" t="s">
        <v>44</v>
      </c>
      <c r="N287">
        <v>0.1515</v>
      </c>
      <c r="O287">
        <v>0.54</v>
      </c>
      <c r="P287">
        <v>0.1343</v>
      </c>
      <c r="Q287">
        <v>0</v>
      </c>
      <c r="R287">
        <v>28</v>
      </c>
      <c r="S287">
        <v>28</v>
      </c>
    </row>
    <row r="288" spans="1:19" x14ac:dyDescent="0.3">
      <c r="A288">
        <v>285</v>
      </c>
      <c r="B288" t="s">
        <v>91</v>
      </c>
      <c r="C288" t="s">
        <v>78</v>
      </c>
      <c r="D288" t="s">
        <v>79</v>
      </c>
      <c r="E288" t="s">
        <v>31</v>
      </c>
      <c r="F288">
        <v>7</v>
      </c>
      <c r="G288" t="s">
        <v>115</v>
      </c>
      <c r="H288" t="b">
        <v>0</v>
      </c>
      <c r="I288" t="s">
        <v>57</v>
      </c>
      <c r="J288" t="s">
        <v>22</v>
      </c>
      <c r="K288" t="s">
        <v>32</v>
      </c>
      <c r="L288">
        <v>0.12</v>
      </c>
      <c r="M288" t="s">
        <v>44</v>
      </c>
      <c r="N288">
        <v>0.1515</v>
      </c>
      <c r="O288">
        <v>0.54</v>
      </c>
      <c r="P288">
        <v>0.1343</v>
      </c>
      <c r="Q288">
        <v>0</v>
      </c>
      <c r="R288">
        <v>72</v>
      </c>
      <c r="S288">
        <v>72</v>
      </c>
    </row>
    <row r="289" spans="1:19" x14ac:dyDescent="0.3">
      <c r="A289">
        <v>286</v>
      </c>
      <c r="B289" t="s">
        <v>91</v>
      </c>
      <c r="C289" t="s">
        <v>78</v>
      </c>
      <c r="D289" t="s">
        <v>79</v>
      </c>
      <c r="E289" t="s">
        <v>31</v>
      </c>
      <c r="F289">
        <v>8</v>
      </c>
      <c r="G289" t="s">
        <v>115</v>
      </c>
      <c r="H289" t="b">
        <v>0</v>
      </c>
      <c r="I289" t="s">
        <v>57</v>
      </c>
      <c r="J289" t="s">
        <v>22</v>
      </c>
      <c r="K289" t="s">
        <v>32</v>
      </c>
      <c r="L289">
        <v>0.14000000000000001</v>
      </c>
      <c r="M289" t="s">
        <v>44</v>
      </c>
      <c r="N289">
        <v>0.13639999999999999</v>
      </c>
      <c r="O289">
        <v>0.5</v>
      </c>
      <c r="P289">
        <v>0.19400000000000001</v>
      </c>
      <c r="Q289">
        <v>5</v>
      </c>
      <c r="R289">
        <v>197</v>
      </c>
      <c r="S289">
        <v>202</v>
      </c>
    </row>
    <row r="290" spans="1:19" x14ac:dyDescent="0.3">
      <c r="A290">
        <v>287</v>
      </c>
      <c r="B290" t="s">
        <v>91</v>
      </c>
      <c r="C290" t="s">
        <v>78</v>
      </c>
      <c r="D290" t="s">
        <v>79</v>
      </c>
      <c r="E290" t="s">
        <v>31</v>
      </c>
      <c r="F290">
        <v>9</v>
      </c>
      <c r="G290" t="s">
        <v>115</v>
      </c>
      <c r="H290" t="b">
        <v>0</v>
      </c>
      <c r="I290" t="s">
        <v>57</v>
      </c>
      <c r="J290" t="s">
        <v>22</v>
      </c>
      <c r="K290" t="s">
        <v>32</v>
      </c>
      <c r="L290">
        <v>0.14000000000000001</v>
      </c>
      <c r="M290" t="s">
        <v>44</v>
      </c>
      <c r="N290">
        <v>0.1212</v>
      </c>
      <c r="O290">
        <v>0.5</v>
      </c>
      <c r="P290">
        <v>0.32840000000000003</v>
      </c>
      <c r="Q290">
        <v>2</v>
      </c>
      <c r="R290">
        <v>137</v>
      </c>
      <c r="S290">
        <v>139</v>
      </c>
    </row>
    <row r="291" spans="1:19" x14ac:dyDescent="0.3">
      <c r="A291">
        <v>288</v>
      </c>
      <c r="B291" t="s">
        <v>91</v>
      </c>
      <c r="C291" t="s">
        <v>78</v>
      </c>
      <c r="D291" t="s">
        <v>79</v>
      </c>
      <c r="E291" t="s">
        <v>31</v>
      </c>
      <c r="F291">
        <v>10</v>
      </c>
      <c r="G291" t="s">
        <v>115</v>
      </c>
      <c r="H291" t="b">
        <v>0</v>
      </c>
      <c r="I291" t="s">
        <v>57</v>
      </c>
      <c r="J291" t="s">
        <v>22</v>
      </c>
      <c r="K291" t="s">
        <v>33</v>
      </c>
      <c r="L291">
        <v>0.16</v>
      </c>
      <c r="M291" t="s">
        <v>40</v>
      </c>
      <c r="N291">
        <v>0.13639999999999999</v>
      </c>
      <c r="O291">
        <v>0.5</v>
      </c>
      <c r="P291">
        <v>0.35820000000000002</v>
      </c>
      <c r="Q291">
        <v>2</v>
      </c>
      <c r="R291">
        <v>36</v>
      </c>
      <c r="S291">
        <v>38</v>
      </c>
    </row>
    <row r="292" spans="1:19" x14ac:dyDescent="0.3">
      <c r="A292">
        <v>289</v>
      </c>
      <c r="B292" t="s">
        <v>91</v>
      </c>
      <c r="C292" t="s">
        <v>78</v>
      </c>
      <c r="D292" t="s">
        <v>79</v>
      </c>
      <c r="E292" t="s">
        <v>31</v>
      </c>
      <c r="F292">
        <v>11</v>
      </c>
      <c r="G292" t="s">
        <v>115</v>
      </c>
      <c r="H292" t="b">
        <v>0</v>
      </c>
      <c r="I292" t="s">
        <v>57</v>
      </c>
      <c r="J292" t="s">
        <v>22</v>
      </c>
      <c r="K292" t="s">
        <v>33</v>
      </c>
      <c r="L292">
        <v>0.2</v>
      </c>
      <c r="M292" t="s">
        <v>40</v>
      </c>
      <c r="N292">
        <v>0.16669999999999999</v>
      </c>
      <c r="O292">
        <v>0.44</v>
      </c>
      <c r="P292">
        <v>0.44779999999999998</v>
      </c>
      <c r="Q292">
        <v>4</v>
      </c>
      <c r="R292">
        <v>33</v>
      </c>
      <c r="S292">
        <v>37</v>
      </c>
    </row>
    <row r="293" spans="1:19" x14ac:dyDescent="0.3">
      <c r="A293">
        <v>290</v>
      </c>
      <c r="B293" t="s">
        <v>91</v>
      </c>
      <c r="C293" t="s">
        <v>78</v>
      </c>
      <c r="D293" t="s">
        <v>79</v>
      </c>
      <c r="E293" t="s">
        <v>31</v>
      </c>
      <c r="F293">
        <v>12</v>
      </c>
      <c r="G293" t="s">
        <v>114</v>
      </c>
      <c r="H293" t="b">
        <v>0</v>
      </c>
      <c r="I293" t="s">
        <v>57</v>
      </c>
      <c r="J293" t="s">
        <v>22</v>
      </c>
      <c r="K293" t="s">
        <v>32</v>
      </c>
      <c r="L293">
        <v>0.2</v>
      </c>
      <c r="M293" t="s">
        <v>40</v>
      </c>
      <c r="N293">
        <v>0.16669999999999999</v>
      </c>
      <c r="O293">
        <v>0.44</v>
      </c>
      <c r="P293">
        <v>0.41789999999999999</v>
      </c>
      <c r="Q293">
        <v>3</v>
      </c>
      <c r="R293">
        <v>49</v>
      </c>
      <c r="S293">
        <v>52</v>
      </c>
    </row>
    <row r="294" spans="1:19" x14ac:dyDescent="0.3">
      <c r="A294">
        <v>291</v>
      </c>
      <c r="B294" t="s">
        <v>91</v>
      </c>
      <c r="C294" t="s">
        <v>78</v>
      </c>
      <c r="D294" t="s">
        <v>79</v>
      </c>
      <c r="E294" t="s">
        <v>31</v>
      </c>
      <c r="F294">
        <v>13</v>
      </c>
      <c r="G294" t="s">
        <v>114</v>
      </c>
      <c r="H294" t="b">
        <v>0</v>
      </c>
      <c r="I294" t="s">
        <v>57</v>
      </c>
      <c r="J294" t="s">
        <v>22</v>
      </c>
      <c r="K294" t="s">
        <v>32</v>
      </c>
      <c r="L294">
        <v>0.22</v>
      </c>
      <c r="M294" t="s">
        <v>40</v>
      </c>
      <c r="N294">
        <v>0.19700000000000001</v>
      </c>
      <c r="O294">
        <v>0.41</v>
      </c>
      <c r="P294">
        <v>0.44779999999999998</v>
      </c>
      <c r="Q294">
        <v>2</v>
      </c>
      <c r="R294">
        <v>81</v>
      </c>
      <c r="S294">
        <v>83</v>
      </c>
    </row>
    <row r="295" spans="1:19" x14ac:dyDescent="0.3">
      <c r="A295">
        <v>292</v>
      </c>
      <c r="B295" t="s">
        <v>91</v>
      </c>
      <c r="C295" t="s">
        <v>78</v>
      </c>
      <c r="D295" t="s">
        <v>79</v>
      </c>
      <c r="E295" t="s">
        <v>31</v>
      </c>
      <c r="F295">
        <v>14</v>
      </c>
      <c r="G295" t="s">
        <v>114</v>
      </c>
      <c r="H295" t="b">
        <v>0</v>
      </c>
      <c r="I295" t="s">
        <v>57</v>
      </c>
      <c r="J295" t="s">
        <v>22</v>
      </c>
      <c r="K295" t="s">
        <v>32</v>
      </c>
      <c r="L295">
        <v>0.22</v>
      </c>
      <c r="M295" t="s">
        <v>40</v>
      </c>
      <c r="N295">
        <v>0.19700000000000001</v>
      </c>
      <c r="O295">
        <v>0.41</v>
      </c>
      <c r="P295">
        <v>0.3881</v>
      </c>
      <c r="Q295">
        <v>3</v>
      </c>
      <c r="R295">
        <v>39</v>
      </c>
      <c r="S295">
        <v>42</v>
      </c>
    </row>
    <row r="296" spans="1:19" x14ac:dyDescent="0.3">
      <c r="A296">
        <v>293</v>
      </c>
      <c r="B296" t="s">
        <v>91</v>
      </c>
      <c r="C296" t="s">
        <v>78</v>
      </c>
      <c r="D296" t="s">
        <v>79</v>
      </c>
      <c r="E296" t="s">
        <v>31</v>
      </c>
      <c r="F296">
        <v>15</v>
      </c>
      <c r="G296" t="s">
        <v>114</v>
      </c>
      <c r="H296" t="b">
        <v>0</v>
      </c>
      <c r="I296" t="s">
        <v>57</v>
      </c>
      <c r="J296" t="s">
        <v>22</v>
      </c>
      <c r="K296" t="s">
        <v>32</v>
      </c>
      <c r="L296">
        <v>0.24</v>
      </c>
      <c r="M296" t="s">
        <v>40</v>
      </c>
      <c r="N296">
        <v>0.21210000000000001</v>
      </c>
      <c r="O296">
        <v>0.38</v>
      </c>
      <c r="P296">
        <v>0.29849999999999999</v>
      </c>
      <c r="Q296">
        <v>5</v>
      </c>
      <c r="R296">
        <v>55</v>
      </c>
      <c r="S296">
        <v>60</v>
      </c>
    </row>
    <row r="297" spans="1:19" x14ac:dyDescent="0.3">
      <c r="A297">
        <v>294</v>
      </c>
      <c r="B297" t="s">
        <v>91</v>
      </c>
      <c r="C297" t="s">
        <v>78</v>
      </c>
      <c r="D297" t="s">
        <v>79</v>
      </c>
      <c r="E297" t="s">
        <v>31</v>
      </c>
      <c r="F297">
        <v>16</v>
      </c>
      <c r="G297" t="s">
        <v>114</v>
      </c>
      <c r="H297" t="b">
        <v>0</v>
      </c>
      <c r="I297" t="s">
        <v>57</v>
      </c>
      <c r="J297" t="s">
        <v>22</v>
      </c>
      <c r="K297" t="s">
        <v>32</v>
      </c>
      <c r="L297">
        <v>0.24</v>
      </c>
      <c r="M297" t="s">
        <v>40</v>
      </c>
      <c r="N297">
        <v>0.21210000000000001</v>
      </c>
      <c r="O297">
        <v>0.38</v>
      </c>
      <c r="P297">
        <v>0.35820000000000002</v>
      </c>
      <c r="Q297">
        <v>2</v>
      </c>
      <c r="R297">
        <v>76</v>
      </c>
      <c r="S297">
        <v>78</v>
      </c>
    </row>
    <row r="298" spans="1:19" x14ac:dyDescent="0.3">
      <c r="A298">
        <v>295</v>
      </c>
      <c r="B298" t="s">
        <v>91</v>
      </c>
      <c r="C298" t="s">
        <v>78</v>
      </c>
      <c r="D298" t="s">
        <v>79</v>
      </c>
      <c r="E298" t="s">
        <v>31</v>
      </c>
      <c r="F298">
        <v>17</v>
      </c>
      <c r="G298" t="s">
        <v>114</v>
      </c>
      <c r="H298" t="b">
        <v>0</v>
      </c>
      <c r="I298" t="s">
        <v>57</v>
      </c>
      <c r="J298" t="s">
        <v>22</v>
      </c>
      <c r="K298" t="s">
        <v>32</v>
      </c>
      <c r="L298">
        <v>0.2</v>
      </c>
      <c r="M298" t="s">
        <v>40</v>
      </c>
      <c r="N298">
        <v>0.18179999999999999</v>
      </c>
      <c r="O298">
        <v>0.4</v>
      </c>
      <c r="P298">
        <v>0.28360000000000002</v>
      </c>
      <c r="Q298">
        <v>4</v>
      </c>
      <c r="R298">
        <v>158</v>
      </c>
      <c r="S298">
        <v>162</v>
      </c>
    </row>
    <row r="299" spans="1:19" x14ac:dyDescent="0.3">
      <c r="A299">
        <v>296</v>
      </c>
      <c r="B299" t="s">
        <v>91</v>
      </c>
      <c r="C299" t="s">
        <v>78</v>
      </c>
      <c r="D299" t="s">
        <v>79</v>
      </c>
      <c r="E299" t="s">
        <v>31</v>
      </c>
      <c r="F299">
        <v>18</v>
      </c>
      <c r="G299" t="s">
        <v>113</v>
      </c>
      <c r="H299" t="b">
        <v>0</v>
      </c>
      <c r="I299" t="s">
        <v>57</v>
      </c>
      <c r="J299" t="s">
        <v>22</v>
      </c>
      <c r="K299" t="s">
        <v>32</v>
      </c>
      <c r="L299">
        <v>0.2</v>
      </c>
      <c r="M299" t="s">
        <v>40</v>
      </c>
      <c r="N299">
        <v>0.18179999999999999</v>
      </c>
      <c r="O299">
        <v>0.4</v>
      </c>
      <c r="P299">
        <v>0.32840000000000003</v>
      </c>
      <c r="Q299">
        <v>3</v>
      </c>
      <c r="R299">
        <v>141</v>
      </c>
      <c r="S299">
        <v>144</v>
      </c>
    </row>
    <row r="300" spans="1:19" x14ac:dyDescent="0.3">
      <c r="A300">
        <v>297</v>
      </c>
      <c r="B300" t="s">
        <v>91</v>
      </c>
      <c r="C300" t="s">
        <v>78</v>
      </c>
      <c r="D300" t="s">
        <v>79</v>
      </c>
      <c r="E300" t="s">
        <v>31</v>
      </c>
      <c r="F300">
        <v>19</v>
      </c>
      <c r="G300" t="s">
        <v>113</v>
      </c>
      <c r="H300" t="b">
        <v>0</v>
      </c>
      <c r="I300" t="s">
        <v>57</v>
      </c>
      <c r="J300" t="s">
        <v>22</v>
      </c>
      <c r="K300" t="s">
        <v>32</v>
      </c>
      <c r="L300">
        <v>0.16</v>
      </c>
      <c r="M300" t="s">
        <v>40</v>
      </c>
      <c r="N300">
        <v>0.1515</v>
      </c>
      <c r="O300">
        <v>0.47</v>
      </c>
      <c r="P300">
        <v>0.25369999999999998</v>
      </c>
      <c r="Q300">
        <v>1</v>
      </c>
      <c r="R300">
        <v>98</v>
      </c>
      <c r="S300">
        <v>99</v>
      </c>
    </row>
    <row r="301" spans="1:19" x14ac:dyDescent="0.3">
      <c r="A301">
        <v>298</v>
      </c>
      <c r="B301" t="s">
        <v>91</v>
      </c>
      <c r="C301" t="s">
        <v>78</v>
      </c>
      <c r="D301" t="s">
        <v>79</v>
      </c>
      <c r="E301" t="s">
        <v>31</v>
      </c>
      <c r="F301">
        <v>20</v>
      </c>
      <c r="G301" t="s">
        <v>113</v>
      </c>
      <c r="H301" t="b">
        <v>0</v>
      </c>
      <c r="I301" t="s">
        <v>57</v>
      </c>
      <c r="J301" t="s">
        <v>22</v>
      </c>
      <c r="K301" t="s">
        <v>32</v>
      </c>
      <c r="L301">
        <v>0.16</v>
      </c>
      <c r="M301" t="s">
        <v>40</v>
      </c>
      <c r="N301">
        <v>0.1515</v>
      </c>
      <c r="O301">
        <v>0.47</v>
      </c>
      <c r="P301">
        <v>0.22389999999999999</v>
      </c>
      <c r="Q301">
        <v>0</v>
      </c>
      <c r="R301">
        <v>64</v>
      </c>
      <c r="S301">
        <v>64</v>
      </c>
    </row>
    <row r="302" spans="1:19" x14ac:dyDescent="0.3">
      <c r="A302">
        <v>299</v>
      </c>
      <c r="B302" t="s">
        <v>91</v>
      </c>
      <c r="C302" t="s">
        <v>78</v>
      </c>
      <c r="D302" t="s">
        <v>79</v>
      </c>
      <c r="E302" t="s">
        <v>31</v>
      </c>
      <c r="F302">
        <v>21</v>
      </c>
      <c r="G302" t="s">
        <v>113</v>
      </c>
      <c r="H302" t="b">
        <v>0</v>
      </c>
      <c r="I302" t="s">
        <v>57</v>
      </c>
      <c r="J302" t="s">
        <v>22</v>
      </c>
      <c r="K302" t="s">
        <v>32</v>
      </c>
      <c r="L302">
        <v>0.14000000000000001</v>
      </c>
      <c r="M302" t="s">
        <v>44</v>
      </c>
      <c r="N302">
        <v>0.1212</v>
      </c>
      <c r="O302">
        <v>0.46</v>
      </c>
      <c r="P302">
        <v>0.29849999999999999</v>
      </c>
      <c r="Q302">
        <v>0</v>
      </c>
      <c r="R302">
        <v>40</v>
      </c>
      <c r="S302">
        <v>40</v>
      </c>
    </row>
    <row r="303" spans="1:19" x14ac:dyDescent="0.3">
      <c r="A303">
        <v>300</v>
      </c>
      <c r="B303" t="s">
        <v>91</v>
      </c>
      <c r="C303" t="s">
        <v>78</v>
      </c>
      <c r="D303" t="s">
        <v>79</v>
      </c>
      <c r="E303" t="s">
        <v>31</v>
      </c>
      <c r="F303">
        <v>22</v>
      </c>
      <c r="G303" t="s">
        <v>113</v>
      </c>
      <c r="H303" t="b">
        <v>0</v>
      </c>
      <c r="I303" t="s">
        <v>57</v>
      </c>
      <c r="J303" t="s">
        <v>22</v>
      </c>
      <c r="K303" t="s">
        <v>32</v>
      </c>
      <c r="L303">
        <v>0.14000000000000001</v>
      </c>
      <c r="M303" t="s">
        <v>44</v>
      </c>
      <c r="N303">
        <v>0.1212</v>
      </c>
      <c r="O303">
        <v>0.46</v>
      </c>
      <c r="P303">
        <v>0.32840000000000003</v>
      </c>
      <c r="Q303">
        <v>0</v>
      </c>
      <c r="R303">
        <v>30</v>
      </c>
      <c r="S303">
        <v>30</v>
      </c>
    </row>
    <row r="304" spans="1:19" x14ac:dyDescent="0.3">
      <c r="A304">
        <v>301</v>
      </c>
      <c r="B304" t="s">
        <v>91</v>
      </c>
      <c r="C304" t="s">
        <v>78</v>
      </c>
      <c r="D304" t="s">
        <v>79</v>
      </c>
      <c r="E304" t="s">
        <v>31</v>
      </c>
      <c r="F304">
        <v>23</v>
      </c>
      <c r="G304" t="s">
        <v>113</v>
      </c>
      <c r="H304" t="b">
        <v>0</v>
      </c>
      <c r="I304" t="s">
        <v>57</v>
      </c>
      <c r="J304" t="s">
        <v>22</v>
      </c>
      <c r="K304" t="s">
        <v>32</v>
      </c>
      <c r="L304">
        <v>0.12</v>
      </c>
      <c r="M304" t="s">
        <v>44</v>
      </c>
      <c r="N304">
        <v>0.13639999999999999</v>
      </c>
      <c r="O304">
        <v>0.5</v>
      </c>
      <c r="P304">
        <v>0.19400000000000001</v>
      </c>
      <c r="Q304">
        <v>1</v>
      </c>
      <c r="R304">
        <v>14</v>
      </c>
      <c r="S304">
        <v>15</v>
      </c>
    </row>
    <row r="305" spans="1:19" x14ac:dyDescent="0.3">
      <c r="A305">
        <v>302</v>
      </c>
      <c r="B305" t="s">
        <v>92</v>
      </c>
      <c r="C305" t="s">
        <v>78</v>
      </c>
      <c r="D305" t="s">
        <v>79</v>
      </c>
      <c r="E305" t="s">
        <v>31</v>
      </c>
      <c r="F305">
        <v>0</v>
      </c>
      <c r="G305" t="s">
        <v>116</v>
      </c>
      <c r="H305" t="b">
        <v>0</v>
      </c>
      <c r="I305" t="s">
        <v>58</v>
      </c>
      <c r="J305" t="s">
        <v>22</v>
      </c>
      <c r="K305" t="s">
        <v>32</v>
      </c>
      <c r="L305">
        <v>0.12</v>
      </c>
      <c r="M305" t="s">
        <v>44</v>
      </c>
      <c r="N305">
        <v>0.13639999999999999</v>
      </c>
      <c r="O305">
        <v>0.5</v>
      </c>
      <c r="P305">
        <v>0.19400000000000001</v>
      </c>
      <c r="Q305">
        <v>0</v>
      </c>
      <c r="R305">
        <v>14</v>
      </c>
      <c r="S305">
        <v>14</v>
      </c>
    </row>
    <row r="306" spans="1:19" x14ac:dyDescent="0.3">
      <c r="A306">
        <v>303</v>
      </c>
      <c r="B306" t="s">
        <v>92</v>
      </c>
      <c r="C306" t="s">
        <v>78</v>
      </c>
      <c r="D306" t="s">
        <v>79</v>
      </c>
      <c r="E306" t="s">
        <v>31</v>
      </c>
      <c r="F306">
        <v>1</v>
      </c>
      <c r="G306" t="s">
        <v>116</v>
      </c>
      <c r="H306" t="b">
        <v>0</v>
      </c>
      <c r="I306" t="s">
        <v>58</v>
      </c>
      <c r="J306" t="s">
        <v>22</v>
      </c>
      <c r="K306" t="s">
        <v>32</v>
      </c>
      <c r="L306">
        <v>0.1</v>
      </c>
      <c r="M306" t="s">
        <v>44</v>
      </c>
      <c r="N306">
        <v>0.1212</v>
      </c>
      <c r="O306">
        <v>0.54</v>
      </c>
      <c r="P306">
        <v>0.16420000000000001</v>
      </c>
      <c r="Q306">
        <v>0</v>
      </c>
      <c r="R306">
        <v>5</v>
      </c>
      <c r="S306">
        <v>5</v>
      </c>
    </row>
    <row r="307" spans="1:19" x14ac:dyDescent="0.3">
      <c r="A307">
        <v>304</v>
      </c>
      <c r="B307" t="s">
        <v>92</v>
      </c>
      <c r="C307" t="s">
        <v>78</v>
      </c>
      <c r="D307" t="s">
        <v>79</v>
      </c>
      <c r="E307" t="s">
        <v>31</v>
      </c>
      <c r="F307">
        <v>2</v>
      </c>
      <c r="G307" t="s">
        <v>116</v>
      </c>
      <c r="H307" t="b">
        <v>0</v>
      </c>
      <c r="I307" t="s">
        <v>58</v>
      </c>
      <c r="J307" t="s">
        <v>22</v>
      </c>
      <c r="K307" t="s">
        <v>32</v>
      </c>
      <c r="L307">
        <v>0.1</v>
      </c>
      <c r="M307" t="s">
        <v>44</v>
      </c>
      <c r="N307">
        <v>0.1212</v>
      </c>
      <c r="O307">
        <v>0.54</v>
      </c>
      <c r="P307">
        <v>0.1343</v>
      </c>
      <c r="Q307">
        <v>0</v>
      </c>
      <c r="R307">
        <v>1</v>
      </c>
      <c r="S307">
        <v>1</v>
      </c>
    </row>
    <row r="308" spans="1:19" x14ac:dyDescent="0.3">
      <c r="A308">
        <v>305</v>
      </c>
      <c r="B308" t="s">
        <v>92</v>
      </c>
      <c r="C308" t="s">
        <v>78</v>
      </c>
      <c r="D308" t="s">
        <v>79</v>
      </c>
      <c r="E308" t="s">
        <v>31</v>
      </c>
      <c r="F308">
        <v>3</v>
      </c>
      <c r="G308" t="s">
        <v>116</v>
      </c>
      <c r="H308" t="b">
        <v>0</v>
      </c>
      <c r="I308" t="s">
        <v>58</v>
      </c>
      <c r="J308" t="s">
        <v>22</v>
      </c>
      <c r="K308" t="s">
        <v>32</v>
      </c>
      <c r="L308">
        <v>0.1</v>
      </c>
      <c r="M308" t="s">
        <v>44</v>
      </c>
      <c r="N308">
        <v>0.13639999999999999</v>
      </c>
      <c r="O308">
        <v>0.54</v>
      </c>
      <c r="P308">
        <v>0.1045</v>
      </c>
      <c r="Q308">
        <v>0</v>
      </c>
      <c r="R308">
        <v>1</v>
      </c>
      <c r="S308">
        <v>1</v>
      </c>
    </row>
    <row r="309" spans="1:19" x14ac:dyDescent="0.3">
      <c r="A309">
        <v>306</v>
      </c>
      <c r="B309" t="s">
        <v>92</v>
      </c>
      <c r="C309" t="s">
        <v>78</v>
      </c>
      <c r="D309" t="s">
        <v>79</v>
      </c>
      <c r="E309" t="s">
        <v>31</v>
      </c>
      <c r="F309">
        <v>5</v>
      </c>
      <c r="G309" t="s">
        <v>116</v>
      </c>
      <c r="H309" t="b">
        <v>0</v>
      </c>
      <c r="I309" t="s">
        <v>58</v>
      </c>
      <c r="J309" t="s">
        <v>22</v>
      </c>
      <c r="K309" t="s">
        <v>32</v>
      </c>
      <c r="L309">
        <v>0.1</v>
      </c>
      <c r="M309" t="s">
        <v>44</v>
      </c>
      <c r="N309">
        <v>0.13639999999999999</v>
      </c>
      <c r="O309">
        <v>0.54</v>
      </c>
      <c r="P309">
        <v>8.9599999999999999E-2</v>
      </c>
      <c r="Q309">
        <v>0</v>
      </c>
      <c r="R309">
        <v>8</v>
      </c>
      <c r="S309">
        <v>8</v>
      </c>
    </row>
    <row r="310" spans="1:19" x14ac:dyDescent="0.3">
      <c r="A310">
        <v>307</v>
      </c>
      <c r="B310" t="s">
        <v>92</v>
      </c>
      <c r="C310" t="s">
        <v>78</v>
      </c>
      <c r="D310" t="s">
        <v>79</v>
      </c>
      <c r="E310" t="s">
        <v>31</v>
      </c>
      <c r="F310">
        <v>6</v>
      </c>
      <c r="G310" t="s">
        <v>115</v>
      </c>
      <c r="H310" t="b">
        <v>0</v>
      </c>
      <c r="I310" t="s">
        <v>58</v>
      </c>
      <c r="J310" t="s">
        <v>22</v>
      </c>
      <c r="K310" t="s">
        <v>32</v>
      </c>
      <c r="L310">
        <v>0.1</v>
      </c>
      <c r="M310" t="s">
        <v>44</v>
      </c>
      <c r="N310">
        <v>0.18179999999999999</v>
      </c>
      <c r="O310">
        <v>0.54</v>
      </c>
      <c r="P310">
        <v>0</v>
      </c>
      <c r="Q310">
        <v>0</v>
      </c>
      <c r="R310">
        <v>17</v>
      </c>
      <c r="S310">
        <v>17</v>
      </c>
    </row>
    <row r="311" spans="1:19" x14ac:dyDescent="0.3">
      <c r="A311">
        <v>308</v>
      </c>
      <c r="B311" t="s">
        <v>92</v>
      </c>
      <c r="C311" t="s">
        <v>78</v>
      </c>
      <c r="D311" t="s">
        <v>79</v>
      </c>
      <c r="E311" t="s">
        <v>31</v>
      </c>
      <c r="F311">
        <v>7</v>
      </c>
      <c r="G311" t="s">
        <v>115</v>
      </c>
      <c r="H311" t="b">
        <v>0</v>
      </c>
      <c r="I311" t="s">
        <v>58</v>
      </c>
      <c r="J311" t="s">
        <v>22</v>
      </c>
      <c r="K311" t="s">
        <v>32</v>
      </c>
      <c r="L311">
        <v>0.1</v>
      </c>
      <c r="M311" t="s">
        <v>44</v>
      </c>
      <c r="N311">
        <v>0.1212</v>
      </c>
      <c r="O311">
        <v>0.74</v>
      </c>
      <c r="P311">
        <v>0.16420000000000001</v>
      </c>
      <c r="Q311">
        <v>0</v>
      </c>
      <c r="R311">
        <v>70</v>
      </c>
      <c r="S311">
        <v>70</v>
      </c>
    </row>
    <row r="312" spans="1:19" x14ac:dyDescent="0.3">
      <c r="A312">
        <v>309</v>
      </c>
      <c r="B312" t="s">
        <v>92</v>
      </c>
      <c r="C312" t="s">
        <v>78</v>
      </c>
      <c r="D312" t="s">
        <v>79</v>
      </c>
      <c r="E312" t="s">
        <v>31</v>
      </c>
      <c r="F312">
        <v>8</v>
      </c>
      <c r="G312" t="s">
        <v>115</v>
      </c>
      <c r="H312" t="b">
        <v>0</v>
      </c>
      <c r="I312" t="s">
        <v>58</v>
      </c>
      <c r="J312" t="s">
        <v>22</v>
      </c>
      <c r="K312" t="s">
        <v>32</v>
      </c>
      <c r="L312">
        <v>0.12</v>
      </c>
      <c r="M312" t="s">
        <v>44</v>
      </c>
      <c r="N312">
        <v>0.16669999999999999</v>
      </c>
      <c r="O312">
        <v>0.68</v>
      </c>
      <c r="P312">
        <v>0</v>
      </c>
      <c r="Q312">
        <v>2</v>
      </c>
      <c r="R312">
        <v>156</v>
      </c>
      <c r="S312">
        <v>158</v>
      </c>
    </row>
    <row r="313" spans="1:19" x14ac:dyDescent="0.3">
      <c r="A313">
        <v>310</v>
      </c>
      <c r="B313" t="s">
        <v>92</v>
      </c>
      <c r="C313" t="s">
        <v>78</v>
      </c>
      <c r="D313" t="s">
        <v>79</v>
      </c>
      <c r="E313" t="s">
        <v>31</v>
      </c>
      <c r="F313">
        <v>9</v>
      </c>
      <c r="G313" t="s">
        <v>115</v>
      </c>
      <c r="H313" t="b">
        <v>0</v>
      </c>
      <c r="I313" t="s">
        <v>58</v>
      </c>
      <c r="J313" t="s">
        <v>22</v>
      </c>
      <c r="K313" t="s">
        <v>32</v>
      </c>
      <c r="L313">
        <v>0.14000000000000001</v>
      </c>
      <c r="M313" t="s">
        <v>44</v>
      </c>
      <c r="N313">
        <v>0.1515</v>
      </c>
      <c r="O313">
        <v>0.69</v>
      </c>
      <c r="P313">
        <v>0.1343</v>
      </c>
      <c r="Q313">
        <v>0</v>
      </c>
      <c r="R313">
        <v>117</v>
      </c>
      <c r="S313">
        <v>117</v>
      </c>
    </row>
    <row r="314" spans="1:19" x14ac:dyDescent="0.3">
      <c r="A314">
        <v>311</v>
      </c>
      <c r="B314" t="s">
        <v>92</v>
      </c>
      <c r="C314" t="s">
        <v>78</v>
      </c>
      <c r="D314" t="s">
        <v>79</v>
      </c>
      <c r="E314" t="s">
        <v>31</v>
      </c>
      <c r="F314">
        <v>10</v>
      </c>
      <c r="G314" t="s">
        <v>115</v>
      </c>
      <c r="H314" t="b">
        <v>0</v>
      </c>
      <c r="I314" t="s">
        <v>58</v>
      </c>
      <c r="J314" t="s">
        <v>22</v>
      </c>
      <c r="K314" t="s">
        <v>32</v>
      </c>
      <c r="L314">
        <v>0.18</v>
      </c>
      <c r="M314" t="s">
        <v>40</v>
      </c>
      <c r="N314">
        <v>0.18179999999999999</v>
      </c>
      <c r="O314">
        <v>0.55000000000000004</v>
      </c>
      <c r="P314">
        <v>0.19400000000000001</v>
      </c>
      <c r="Q314">
        <v>4</v>
      </c>
      <c r="R314">
        <v>40</v>
      </c>
      <c r="S314">
        <v>44</v>
      </c>
    </row>
    <row r="315" spans="1:19" x14ac:dyDescent="0.3">
      <c r="A315">
        <v>312</v>
      </c>
      <c r="B315" t="s">
        <v>92</v>
      </c>
      <c r="C315" t="s">
        <v>78</v>
      </c>
      <c r="D315" t="s">
        <v>79</v>
      </c>
      <c r="E315" t="s">
        <v>31</v>
      </c>
      <c r="F315">
        <v>11</v>
      </c>
      <c r="G315" t="s">
        <v>115</v>
      </c>
      <c r="H315" t="b">
        <v>0</v>
      </c>
      <c r="I315" t="s">
        <v>58</v>
      </c>
      <c r="J315" t="s">
        <v>22</v>
      </c>
      <c r="K315" t="s">
        <v>32</v>
      </c>
      <c r="L315">
        <v>0.18</v>
      </c>
      <c r="M315" t="s">
        <v>40</v>
      </c>
      <c r="N315">
        <v>0.16669999999999999</v>
      </c>
      <c r="O315">
        <v>0.51</v>
      </c>
      <c r="P315">
        <v>0.28360000000000002</v>
      </c>
      <c r="Q315">
        <v>6</v>
      </c>
      <c r="R315">
        <v>47</v>
      </c>
      <c r="S315">
        <v>53</v>
      </c>
    </row>
    <row r="316" spans="1:19" x14ac:dyDescent="0.3">
      <c r="A316">
        <v>313</v>
      </c>
      <c r="B316" t="s">
        <v>92</v>
      </c>
      <c r="C316" t="s">
        <v>78</v>
      </c>
      <c r="D316" t="s">
        <v>79</v>
      </c>
      <c r="E316" t="s">
        <v>31</v>
      </c>
      <c r="F316">
        <v>12</v>
      </c>
      <c r="G316" t="s">
        <v>114</v>
      </c>
      <c r="H316" t="b">
        <v>0</v>
      </c>
      <c r="I316" t="s">
        <v>58</v>
      </c>
      <c r="J316" t="s">
        <v>22</v>
      </c>
      <c r="K316" t="s">
        <v>32</v>
      </c>
      <c r="L316">
        <v>0.2</v>
      </c>
      <c r="M316" t="s">
        <v>40</v>
      </c>
      <c r="N316">
        <v>0.19700000000000001</v>
      </c>
      <c r="O316">
        <v>0.44</v>
      </c>
      <c r="P316">
        <v>0.25369999999999998</v>
      </c>
      <c r="Q316">
        <v>2</v>
      </c>
      <c r="R316">
        <v>59</v>
      </c>
      <c r="S316">
        <v>61</v>
      </c>
    </row>
    <row r="317" spans="1:19" x14ac:dyDescent="0.3">
      <c r="A317">
        <v>314</v>
      </c>
      <c r="B317" t="s">
        <v>92</v>
      </c>
      <c r="C317" t="s">
        <v>78</v>
      </c>
      <c r="D317" t="s">
        <v>79</v>
      </c>
      <c r="E317" t="s">
        <v>31</v>
      </c>
      <c r="F317">
        <v>13</v>
      </c>
      <c r="G317" t="s">
        <v>114</v>
      </c>
      <c r="H317" t="b">
        <v>0</v>
      </c>
      <c r="I317" t="s">
        <v>58</v>
      </c>
      <c r="J317" t="s">
        <v>22</v>
      </c>
      <c r="K317" t="s">
        <v>32</v>
      </c>
      <c r="L317">
        <v>0.22</v>
      </c>
      <c r="M317" t="s">
        <v>40</v>
      </c>
      <c r="N317">
        <v>0.19700000000000001</v>
      </c>
      <c r="O317">
        <v>0.37</v>
      </c>
      <c r="P317">
        <v>0.3881</v>
      </c>
      <c r="Q317">
        <v>4</v>
      </c>
      <c r="R317">
        <v>73</v>
      </c>
      <c r="S317">
        <v>77</v>
      </c>
    </row>
    <row r="318" spans="1:19" x14ac:dyDescent="0.3">
      <c r="A318">
        <v>315</v>
      </c>
      <c r="B318" t="s">
        <v>92</v>
      </c>
      <c r="C318" t="s">
        <v>78</v>
      </c>
      <c r="D318" t="s">
        <v>79</v>
      </c>
      <c r="E318" t="s">
        <v>31</v>
      </c>
      <c r="F318">
        <v>14</v>
      </c>
      <c r="G318" t="s">
        <v>114</v>
      </c>
      <c r="H318" t="b">
        <v>0</v>
      </c>
      <c r="I318" t="s">
        <v>58</v>
      </c>
      <c r="J318" t="s">
        <v>22</v>
      </c>
      <c r="K318" t="s">
        <v>32</v>
      </c>
      <c r="L318">
        <v>0.22</v>
      </c>
      <c r="M318" t="s">
        <v>40</v>
      </c>
      <c r="N318">
        <v>0.21210000000000001</v>
      </c>
      <c r="O318">
        <v>0.41</v>
      </c>
      <c r="P318">
        <v>0.28360000000000002</v>
      </c>
      <c r="Q318">
        <v>5</v>
      </c>
      <c r="R318">
        <v>59</v>
      </c>
      <c r="S318">
        <v>64</v>
      </c>
    </row>
    <row r="319" spans="1:19" x14ac:dyDescent="0.3">
      <c r="A319">
        <v>316</v>
      </c>
      <c r="B319" t="s">
        <v>92</v>
      </c>
      <c r="C319" t="s">
        <v>78</v>
      </c>
      <c r="D319" t="s">
        <v>79</v>
      </c>
      <c r="E319" t="s">
        <v>31</v>
      </c>
      <c r="F319">
        <v>15</v>
      </c>
      <c r="G319" t="s">
        <v>114</v>
      </c>
      <c r="H319" t="b">
        <v>0</v>
      </c>
      <c r="I319" t="s">
        <v>58</v>
      </c>
      <c r="J319" t="s">
        <v>22</v>
      </c>
      <c r="K319" t="s">
        <v>32</v>
      </c>
      <c r="L319">
        <v>0.24</v>
      </c>
      <c r="M319" t="s">
        <v>40</v>
      </c>
      <c r="N319">
        <v>0.2424</v>
      </c>
      <c r="O319">
        <v>0.38</v>
      </c>
      <c r="P319">
        <v>0.16420000000000001</v>
      </c>
      <c r="Q319">
        <v>9</v>
      </c>
      <c r="R319">
        <v>59</v>
      </c>
      <c r="S319">
        <v>68</v>
      </c>
    </row>
    <row r="320" spans="1:19" x14ac:dyDescent="0.3">
      <c r="A320">
        <v>317</v>
      </c>
      <c r="B320" t="s">
        <v>92</v>
      </c>
      <c r="C320" t="s">
        <v>78</v>
      </c>
      <c r="D320" t="s">
        <v>79</v>
      </c>
      <c r="E320" t="s">
        <v>31</v>
      </c>
      <c r="F320">
        <v>16</v>
      </c>
      <c r="G320" t="s">
        <v>114</v>
      </c>
      <c r="H320" t="b">
        <v>0</v>
      </c>
      <c r="I320" t="s">
        <v>58</v>
      </c>
      <c r="J320" t="s">
        <v>22</v>
      </c>
      <c r="K320" t="s">
        <v>32</v>
      </c>
      <c r="L320">
        <v>0.22</v>
      </c>
      <c r="M320" t="s">
        <v>40</v>
      </c>
      <c r="N320">
        <v>0.2424</v>
      </c>
      <c r="O320">
        <v>0.41</v>
      </c>
      <c r="P320">
        <v>0.1045</v>
      </c>
      <c r="Q320">
        <v>3</v>
      </c>
      <c r="R320">
        <v>87</v>
      </c>
      <c r="S320">
        <v>90</v>
      </c>
    </row>
    <row r="321" spans="1:19" x14ac:dyDescent="0.3">
      <c r="A321">
        <v>318</v>
      </c>
      <c r="B321" t="s">
        <v>92</v>
      </c>
      <c r="C321" t="s">
        <v>78</v>
      </c>
      <c r="D321" t="s">
        <v>79</v>
      </c>
      <c r="E321" t="s">
        <v>31</v>
      </c>
      <c r="F321">
        <v>17</v>
      </c>
      <c r="G321" t="s">
        <v>114</v>
      </c>
      <c r="H321" t="b">
        <v>0</v>
      </c>
      <c r="I321" t="s">
        <v>58</v>
      </c>
      <c r="J321" t="s">
        <v>22</v>
      </c>
      <c r="K321" t="s">
        <v>32</v>
      </c>
      <c r="L321">
        <v>0.22</v>
      </c>
      <c r="M321" t="s">
        <v>40</v>
      </c>
      <c r="N321">
        <v>0.2273</v>
      </c>
      <c r="O321">
        <v>0.41</v>
      </c>
      <c r="P321">
        <v>0.16420000000000001</v>
      </c>
      <c r="Q321">
        <v>4</v>
      </c>
      <c r="R321">
        <v>155</v>
      </c>
      <c r="S321">
        <v>159</v>
      </c>
    </row>
    <row r="322" spans="1:19" x14ac:dyDescent="0.3">
      <c r="A322">
        <v>319</v>
      </c>
      <c r="B322" t="s">
        <v>92</v>
      </c>
      <c r="C322" t="s">
        <v>78</v>
      </c>
      <c r="D322" t="s">
        <v>79</v>
      </c>
      <c r="E322" t="s">
        <v>31</v>
      </c>
      <c r="F322">
        <v>18</v>
      </c>
      <c r="G322" t="s">
        <v>113</v>
      </c>
      <c r="H322" t="b">
        <v>0</v>
      </c>
      <c r="I322" t="s">
        <v>58</v>
      </c>
      <c r="J322" t="s">
        <v>22</v>
      </c>
      <c r="K322" t="s">
        <v>32</v>
      </c>
      <c r="L322">
        <v>0.2</v>
      </c>
      <c r="M322" t="s">
        <v>40</v>
      </c>
      <c r="N322">
        <v>0.2576</v>
      </c>
      <c r="O322">
        <v>0.47</v>
      </c>
      <c r="P322">
        <v>0</v>
      </c>
      <c r="Q322">
        <v>5</v>
      </c>
      <c r="R322">
        <v>134</v>
      </c>
      <c r="S322">
        <v>139</v>
      </c>
    </row>
    <row r="323" spans="1:19" x14ac:dyDescent="0.3">
      <c r="A323">
        <v>320</v>
      </c>
      <c r="B323" t="s">
        <v>92</v>
      </c>
      <c r="C323" t="s">
        <v>78</v>
      </c>
      <c r="D323" t="s">
        <v>79</v>
      </c>
      <c r="E323" t="s">
        <v>31</v>
      </c>
      <c r="F323">
        <v>19</v>
      </c>
      <c r="G323" t="s">
        <v>113</v>
      </c>
      <c r="H323" t="b">
        <v>0</v>
      </c>
      <c r="I323" t="s">
        <v>58</v>
      </c>
      <c r="J323" t="s">
        <v>22</v>
      </c>
      <c r="K323" t="s">
        <v>32</v>
      </c>
      <c r="L323">
        <v>0.16</v>
      </c>
      <c r="M323" t="s">
        <v>40</v>
      </c>
      <c r="N323">
        <v>0.19700000000000001</v>
      </c>
      <c r="O323">
        <v>0.59</v>
      </c>
      <c r="P323">
        <v>8.9599999999999999E-2</v>
      </c>
      <c r="Q323">
        <v>3</v>
      </c>
      <c r="R323">
        <v>89</v>
      </c>
      <c r="S323">
        <v>92</v>
      </c>
    </row>
    <row r="324" spans="1:19" x14ac:dyDescent="0.3">
      <c r="A324">
        <v>321</v>
      </c>
      <c r="B324" t="s">
        <v>92</v>
      </c>
      <c r="C324" t="s">
        <v>78</v>
      </c>
      <c r="D324" t="s">
        <v>79</v>
      </c>
      <c r="E324" t="s">
        <v>31</v>
      </c>
      <c r="F324">
        <v>20</v>
      </c>
      <c r="G324" t="s">
        <v>113</v>
      </c>
      <c r="H324" t="b">
        <v>0</v>
      </c>
      <c r="I324" t="s">
        <v>58</v>
      </c>
      <c r="J324" t="s">
        <v>22</v>
      </c>
      <c r="K324" t="s">
        <v>32</v>
      </c>
      <c r="L324">
        <v>0.18</v>
      </c>
      <c r="M324" t="s">
        <v>40</v>
      </c>
      <c r="N324">
        <v>0.2424</v>
      </c>
      <c r="O324">
        <v>0.59</v>
      </c>
      <c r="P324">
        <v>0</v>
      </c>
      <c r="Q324">
        <v>0</v>
      </c>
      <c r="R324">
        <v>68</v>
      </c>
      <c r="S324">
        <v>68</v>
      </c>
    </row>
    <row r="325" spans="1:19" x14ac:dyDescent="0.3">
      <c r="A325">
        <v>322</v>
      </c>
      <c r="B325" t="s">
        <v>92</v>
      </c>
      <c r="C325" t="s">
        <v>78</v>
      </c>
      <c r="D325" t="s">
        <v>79</v>
      </c>
      <c r="E325" t="s">
        <v>31</v>
      </c>
      <c r="F325">
        <v>21</v>
      </c>
      <c r="G325" t="s">
        <v>113</v>
      </c>
      <c r="H325" t="b">
        <v>0</v>
      </c>
      <c r="I325" t="s">
        <v>58</v>
      </c>
      <c r="J325" t="s">
        <v>22</v>
      </c>
      <c r="K325" t="s">
        <v>32</v>
      </c>
      <c r="L325">
        <v>0.16</v>
      </c>
      <c r="M325" t="s">
        <v>40</v>
      </c>
      <c r="N325">
        <v>0.2273</v>
      </c>
      <c r="O325">
        <v>0.69</v>
      </c>
      <c r="P325">
        <v>0</v>
      </c>
      <c r="Q325">
        <v>4</v>
      </c>
      <c r="R325">
        <v>48</v>
      </c>
      <c r="S325">
        <v>52</v>
      </c>
    </row>
    <row r="326" spans="1:19" x14ac:dyDescent="0.3">
      <c r="A326">
        <v>323</v>
      </c>
      <c r="B326" t="s">
        <v>92</v>
      </c>
      <c r="C326" t="s">
        <v>78</v>
      </c>
      <c r="D326" t="s">
        <v>79</v>
      </c>
      <c r="E326" t="s">
        <v>31</v>
      </c>
      <c r="F326">
        <v>22</v>
      </c>
      <c r="G326" t="s">
        <v>113</v>
      </c>
      <c r="H326" t="b">
        <v>0</v>
      </c>
      <c r="I326" t="s">
        <v>58</v>
      </c>
      <c r="J326" t="s">
        <v>22</v>
      </c>
      <c r="K326" t="s">
        <v>33</v>
      </c>
      <c r="L326">
        <v>0.16</v>
      </c>
      <c r="M326" t="s">
        <v>40</v>
      </c>
      <c r="N326">
        <v>0.2273</v>
      </c>
      <c r="O326">
        <v>0.69</v>
      </c>
      <c r="P326">
        <v>0</v>
      </c>
      <c r="Q326">
        <v>2</v>
      </c>
      <c r="R326">
        <v>34</v>
      </c>
      <c r="S326">
        <v>36</v>
      </c>
    </row>
    <row r="327" spans="1:19" x14ac:dyDescent="0.3">
      <c r="A327">
        <v>324</v>
      </c>
      <c r="B327" t="s">
        <v>92</v>
      </c>
      <c r="C327" t="s">
        <v>78</v>
      </c>
      <c r="D327" t="s">
        <v>79</v>
      </c>
      <c r="E327" t="s">
        <v>31</v>
      </c>
      <c r="F327">
        <v>23</v>
      </c>
      <c r="G327" t="s">
        <v>113</v>
      </c>
      <c r="H327" t="b">
        <v>0</v>
      </c>
      <c r="I327" t="s">
        <v>58</v>
      </c>
      <c r="J327" t="s">
        <v>22</v>
      </c>
      <c r="K327" t="s">
        <v>33</v>
      </c>
      <c r="L327">
        <v>0.18</v>
      </c>
      <c r="M327" t="s">
        <v>40</v>
      </c>
      <c r="N327">
        <v>0.2424</v>
      </c>
      <c r="O327">
        <v>0.55000000000000004</v>
      </c>
      <c r="P327">
        <v>0</v>
      </c>
      <c r="Q327">
        <v>1</v>
      </c>
      <c r="R327">
        <v>26</v>
      </c>
      <c r="S327">
        <v>27</v>
      </c>
    </row>
    <row r="328" spans="1:19" x14ac:dyDescent="0.3">
      <c r="A328">
        <v>325</v>
      </c>
      <c r="B328" t="s">
        <v>93</v>
      </c>
      <c r="C328" t="s">
        <v>78</v>
      </c>
      <c r="D328" t="s">
        <v>79</v>
      </c>
      <c r="E328" t="s">
        <v>31</v>
      </c>
      <c r="F328">
        <v>0</v>
      </c>
      <c r="G328" t="s">
        <v>116</v>
      </c>
      <c r="H328" t="b">
        <v>0</v>
      </c>
      <c r="I328" t="s">
        <v>52</v>
      </c>
      <c r="J328" t="s">
        <v>38</v>
      </c>
      <c r="K328" t="s">
        <v>32</v>
      </c>
      <c r="L328">
        <v>0.18</v>
      </c>
      <c r="M328" t="s">
        <v>40</v>
      </c>
      <c r="N328">
        <v>0.2424</v>
      </c>
      <c r="O328">
        <v>0.55000000000000004</v>
      </c>
      <c r="P328">
        <v>0</v>
      </c>
      <c r="Q328">
        <v>3</v>
      </c>
      <c r="R328">
        <v>25</v>
      </c>
      <c r="S328">
        <v>28</v>
      </c>
    </row>
    <row r="329" spans="1:19" x14ac:dyDescent="0.3">
      <c r="A329">
        <v>326</v>
      </c>
      <c r="B329" t="s">
        <v>93</v>
      </c>
      <c r="C329" t="s">
        <v>78</v>
      </c>
      <c r="D329" t="s">
        <v>79</v>
      </c>
      <c r="E329" t="s">
        <v>31</v>
      </c>
      <c r="F329">
        <v>1</v>
      </c>
      <c r="G329" t="s">
        <v>116</v>
      </c>
      <c r="H329" t="b">
        <v>0</v>
      </c>
      <c r="I329" t="s">
        <v>52</v>
      </c>
      <c r="J329" t="s">
        <v>38</v>
      </c>
      <c r="K329" t="s">
        <v>33</v>
      </c>
      <c r="L329">
        <v>0.16</v>
      </c>
      <c r="M329" t="s">
        <v>40</v>
      </c>
      <c r="N329">
        <v>0.19700000000000001</v>
      </c>
      <c r="O329">
        <v>0.59</v>
      </c>
      <c r="P329">
        <v>8.9599999999999999E-2</v>
      </c>
      <c r="Q329">
        <v>2</v>
      </c>
      <c r="R329">
        <v>18</v>
      </c>
      <c r="S329">
        <v>20</v>
      </c>
    </row>
    <row r="330" spans="1:19" x14ac:dyDescent="0.3">
      <c r="A330">
        <v>327</v>
      </c>
      <c r="B330" t="s">
        <v>93</v>
      </c>
      <c r="C330" t="s">
        <v>78</v>
      </c>
      <c r="D330" t="s">
        <v>79</v>
      </c>
      <c r="E330" t="s">
        <v>31</v>
      </c>
      <c r="F330">
        <v>2</v>
      </c>
      <c r="G330" t="s">
        <v>116</v>
      </c>
      <c r="H330" t="b">
        <v>0</v>
      </c>
      <c r="I330" t="s">
        <v>52</v>
      </c>
      <c r="J330" t="s">
        <v>38</v>
      </c>
      <c r="K330" t="s">
        <v>33</v>
      </c>
      <c r="L330">
        <v>0.16</v>
      </c>
      <c r="M330" t="s">
        <v>40</v>
      </c>
      <c r="N330">
        <v>0.19700000000000001</v>
      </c>
      <c r="O330">
        <v>0.59</v>
      </c>
      <c r="P330">
        <v>8.9599999999999999E-2</v>
      </c>
      <c r="Q330">
        <v>0</v>
      </c>
      <c r="R330">
        <v>12</v>
      </c>
      <c r="S330">
        <v>12</v>
      </c>
    </row>
    <row r="331" spans="1:19" x14ac:dyDescent="0.3">
      <c r="A331">
        <v>328</v>
      </c>
      <c r="B331" t="s">
        <v>93</v>
      </c>
      <c r="C331" t="s">
        <v>78</v>
      </c>
      <c r="D331" t="s">
        <v>79</v>
      </c>
      <c r="E331" t="s">
        <v>31</v>
      </c>
      <c r="F331">
        <v>3</v>
      </c>
      <c r="G331" t="s">
        <v>116</v>
      </c>
      <c r="H331" t="b">
        <v>0</v>
      </c>
      <c r="I331" t="s">
        <v>52</v>
      </c>
      <c r="J331" t="s">
        <v>38</v>
      </c>
      <c r="K331" t="s">
        <v>33</v>
      </c>
      <c r="L331">
        <v>0.16</v>
      </c>
      <c r="M331" t="s">
        <v>40</v>
      </c>
      <c r="N331">
        <v>0.2273</v>
      </c>
      <c r="O331">
        <v>0.59</v>
      </c>
      <c r="P331">
        <v>0</v>
      </c>
      <c r="Q331">
        <v>1</v>
      </c>
      <c r="R331">
        <v>7</v>
      </c>
      <c r="S331">
        <v>8</v>
      </c>
    </row>
    <row r="332" spans="1:19" x14ac:dyDescent="0.3">
      <c r="A332">
        <v>329</v>
      </c>
      <c r="B332" t="s">
        <v>93</v>
      </c>
      <c r="C332" t="s">
        <v>78</v>
      </c>
      <c r="D332" t="s">
        <v>79</v>
      </c>
      <c r="E332" t="s">
        <v>31</v>
      </c>
      <c r="F332">
        <v>4</v>
      </c>
      <c r="G332" t="s">
        <v>116</v>
      </c>
      <c r="H332" t="b">
        <v>0</v>
      </c>
      <c r="I332" t="s">
        <v>52</v>
      </c>
      <c r="J332" t="s">
        <v>38</v>
      </c>
      <c r="K332" t="s">
        <v>33</v>
      </c>
      <c r="L332">
        <v>0.16</v>
      </c>
      <c r="M332" t="s">
        <v>40</v>
      </c>
      <c r="N332">
        <v>0.2273</v>
      </c>
      <c r="O332">
        <v>0.59</v>
      </c>
      <c r="P332">
        <v>0</v>
      </c>
      <c r="Q332">
        <v>0</v>
      </c>
      <c r="R332">
        <v>5</v>
      </c>
      <c r="S332">
        <v>5</v>
      </c>
    </row>
    <row r="333" spans="1:19" x14ac:dyDescent="0.3">
      <c r="A333">
        <v>330</v>
      </c>
      <c r="B333" t="s">
        <v>93</v>
      </c>
      <c r="C333" t="s">
        <v>78</v>
      </c>
      <c r="D333" t="s">
        <v>79</v>
      </c>
      <c r="E333" t="s">
        <v>31</v>
      </c>
      <c r="F333">
        <v>5</v>
      </c>
      <c r="G333" t="s">
        <v>116</v>
      </c>
      <c r="H333" t="b">
        <v>0</v>
      </c>
      <c r="I333" t="s">
        <v>52</v>
      </c>
      <c r="J333" t="s">
        <v>38</v>
      </c>
      <c r="K333" t="s">
        <v>32</v>
      </c>
      <c r="L333">
        <v>0.16</v>
      </c>
      <c r="M333" t="s">
        <v>40</v>
      </c>
      <c r="N333">
        <v>0.2273</v>
      </c>
      <c r="O333">
        <v>0.59</v>
      </c>
      <c r="P333">
        <v>0</v>
      </c>
      <c r="Q333">
        <v>0</v>
      </c>
      <c r="R333">
        <v>1</v>
      </c>
      <c r="S333">
        <v>1</v>
      </c>
    </row>
    <row r="334" spans="1:19" x14ac:dyDescent="0.3">
      <c r="A334">
        <v>331</v>
      </c>
      <c r="B334" t="s">
        <v>93</v>
      </c>
      <c r="C334" t="s">
        <v>78</v>
      </c>
      <c r="D334" t="s">
        <v>79</v>
      </c>
      <c r="E334" t="s">
        <v>31</v>
      </c>
      <c r="F334">
        <v>6</v>
      </c>
      <c r="G334" t="s">
        <v>115</v>
      </c>
      <c r="H334" t="b">
        <v>0</v>
      </c>
      <c r="I334" t="s">
        <v>52</v>
      </c>
      <c r="J334" t="s">
        <v>38</v>
      </c>
      <c r="K334" t="s">
        <v>32</v>
      </c>
      <c r="L334">
        <v>0.14000000000000001</v>
      </c>
      <c r="M334" t="s">
        <v>44</v>
      </c>
      <c r="N334">
        <v>0.16669999999999999</v>
      </c>
      <c r="O334">
        <v>0.63</v>
      </c>
      <c r="P334">
        <v>0.1045</v>
      </c>
      <c r="Q334">
        <v>1</v>
      </c>
      <c r="R334">
        <v>2</v>
      </c>
      <c r="S334">
        <v>3</v>
      </c>
    </row>
    <row r="335" spans="1:19" x14ac:dyDescent="0.3">
      <c r="A335">
        <v>332</v>
      </c>
      <c r="B335" t="s">
        <v>93</v>
      </c>
      <c r="C335" t="s">
        <v>78</v>
      </c>
      <c r="D335" t="s">
        <v>79</v>
      </c>
      <c r="E335" t="s">
        <v>31</v>
      </c>
      <c r="F335">
        <v>7</v>
      </c>
      <c r="G335" t="s">
        <v>115</v>
      </c>
      <c r="H335" t="b">
        <v>0</v>
      </c>
      <c r="I335" t="s">
        <v>52</v>
      </c>
      <c r="J335" t="s">
        <v>38</v>
      </c>
      <c r="K335" t="s">
        <v>32</v>
      </c>
      <c r="L335">
        <v>0.14000000000000001</v>
      </c>
      <c r="M335" t="s">
        <v>44</v>
      </c>
      <c r="N335">
        <v>0.21210000000000001</v>
      </c>
      <c r="O335">
        <v>0.63</v>
      </c>
      <c r="P335">
        <v>0</v>
      </c>
      <c r="Q335">
        <v>1</v>
      </c>
      <c r="R335">
        <v>9</v>
      </c>
      <c r="S335">
        <v>10</v>
      </c>
    </row>
    <row r="336" spans="1:19" x14ac:dyDescent="0.3">
      <c r="A336">
        <v>333</v>
      </c>
      <c r="B336" t="s">
        <v>93</v>
      </c>
      <c r="C336" t="s">
        <v>78</v>
      </c>
      <c r="D336" t="s">
        <v>79</v>
      </c>
      <c r="E336" t="s">
        <v>31</v>
      </c>
      <c r="F336">
        <v>8</v>
      </c>
      <c r="G336" t="s">
        <v>115</v>
      </c>
      <c r="H336" t="b">
        <v>0</v>
      </c>
      <c r="I336" t="s">
        <v>52</v>
      </c>
      <c r="J336" t="s">
        <v>38</v>
      </c>
      <c r="K336" t="s">
        <v>32</v>
      </c>
      <c r="L336">
        <v>0.14000000000000001</v>
      </c>
      <c r="M336" t="s">
        <v>44</v>
      </c>
      <c r="N336">
        <v>0.1515</v>
      </c>
      <c r="O336">
        <v>0.63</v>
      </c>
      <c r="P336">
        <v>0.1343</v>
      </c>
      <c r="Q336">
        <v>1</v>
      </c>
      <c r="R336">
        <v>22</v>
      </c>
      <c r="S336">
        <v>23</v>
      </c>
    </row>
    <row r="337" spans="1:19" x14ac:dyDescent="0.3">
      <c r="A337">
        <v>334</v>
      </c>
      <c r="B337" t="s">
        <v>93</v>
      </c>
      <c r="C337" t="s">
        <v>78</v>
      </c>
      <c r="D337" t="s">
        <v>79</v>
      </c>
      <c r="E337" t="s">
        <v>31</v>
      </c>
      <c r="F337">
        <v>9</v>
      </c>
      <c r="G337" t="s">
        <v>115</v>
      </c>
      <c r="H337" t="b">
        <v>0</v>
      </c>
      <c r="I337" t="s">
        <v>52</v>
      </c>
      <c r="J337" t="s">
        <v>38</v>
      </c>
      <c r="K337" t="s">
        <v>32</v>
      </c>
      <c r="L337">
        <v>0.16</v>
      </c>
      <c r="M337" t="s">
        <v>40</v>
      </c>
      <c r="N337">
        <v>0.18179999999999999</v>
      </c>
      <c r="O337">
        <v>0.64</v>
      </c>
      <c r="P337">
        <v>0.1343</v>
      </c>
      <c r="Q337">
        <v>2</v>
      </c>
      <c r="R337">
        <v>31</v>
      </c>
      <c r="S337">
        <v>33</v>
      </c>
    </row>
    <row r="338" spans="1:19" x14ac:dyDescent="0.3">
      <c r="A338">
        <v>335</v>
      </c>
      <c r="B338" t="s">
        <v>93</v>
      </c>
      <c r="C338" t="s">
        <v>78</v>
      </c>
      <c r="D338" t="s">
        <v>79</v>
      </c>
      <c r="E338" t="s">
        <v>31</v>
      </c>
      <c r="F338">
        <v>10</v>
      </c>
      <c r="G338" t="s">
        <v>115</v>
      </c>
      <c r="H338" t="b">
        <v>0</v>
      </c>
      <c r="I338" t="s">
        <v>52</v>
      </c>
      <c r="J338" t="s">
        <v>38</v>
      </c>
      <c r="K338" t="s">
        <v>32</v>
      </c>
      <c r="L338">
        <v>0.18</v>
      </c>
      <c r="M338" t="s">
        <v>40</v>
      </c>
      <c r="N338">
        <v>0.19700000000000001</v>
      </c>
      <c r="O338">
        <v>0.59</v>
      </c>
      <c r="P338">
        <v>0.16420000000000001</v>
      </c>
      <c r="Q338">
        <v>2</v>
      </c>
      <c r="R338">
        <v>57</v>
      </c>
      <c r="S338">
        <v>59</v>
      </c>
    </row>
    <row r="339" spans="1:19" x14ac:dyDescent="0.3">
      <c r="A339">
        <v>336</v>
      </c>
      <c r="B339" t="s">
        <v>93</v>
      </c>
      <c r="C339" t="s">
        <v>78</v>
      </c>
      <c r="D339" t="s">
        <v>79</v>
      </c>
      <c r="E339" t="s">
        <v>31</v>
      </c>
      <c r="F339">
        <v>11</v>
      </c>
      <c r="G339" t="s">
        <v>115</v>
      </c>
      <c r="H339" t="b">
        <v>0</v>
      </c>
      <c r="I339" t="s">
        <v>52</v>
      </c>
      <c r="J339" t="s">
        <v>38</v>
      </c>
      <c r="K339" t="s">
        <v>32</v>
      </c>
      <c r="L339">
        <v>0.2</v>
      </c>
      <c r="M339" t="s">
        <v>40</v>
      </c>
      <c r="N339">
        <v>0.19700000000000001</v>
      </c>
      <c r="O339">
        <v>0.55000000000000004</v>
      </c>
      <c r="P339">
        <v>0.22389999999999999</v>
      </c>
      <c r="Q339">
        <v>18</v>
      </c>
      <c r="R339">
        <v>54</v>
      </c>
      <c r="S339">
        <v>72</v>
      </c>
    </row>
    <row r="340" spans="1:19" x14ac:dyDescent="0.3">
      <c r="A340">
        <v>337</v>
      </c>
      <c r="B340" t="s">
        <v>93</v>
      </c>
      <c r="C340" t="s">
        <v>78</v>
      </c>
      <c r="D340" t="s">
        <v>79</v>
      </c>
      <c r="E340" t="s">
        <v>31</v>
      </c>
      <c r="F340">
        <v>12</v>
      </c>
      <c r="G340" t="s">
        <v>114</v>
      </c>
      <c r="H340" t="b">
        <v>0</v>
      </c>
      <c r="I340" t="s">
        <v>52</v>
      </c>
      <c r="J340" t="s">
        <v>38</v>
      </c>
      <c r="K340" t="s">
        <v>32</v>
      </c>
      <c r="L340">
        <v>0.24</v>
      </c>
      <c r="M340" t="s">
        <v>40</v>
      </c>
      <c r="N340">
        <v>0.2273</v>
      </c>
      <c r="O340">
        <v>0.48</v>
      </c>
      <c r="P340">
        <v>0.22389999999999999</v>
      </c>
      <c r="Q340">
        <v>15</v>
      </c>
      <c r="R340">
        <v>74</v>
      </c>
      <c r="S340">
        <v>89</v>
      </c>
    </row>
    <row r="341" spans="1:19" x14ac:dyDescent="0.3">
      <c r="A341">
        <v>338</v>
      </c>
      <c r="B341" t="s">
        <v>93</v>
      </c>
      <c r="C341" t="s">
        <v>78</v>
      </c>
      <c r="D341" t="s">
        <v>79</v>
      </c>
      <c r="E341" t="s">
        <v>31</v>
      </c>
      <c r="F341">
        <v>13</v>
      </c>
      <c r="G341" t="s">
        <v>114</v>
      </c>
      <c r="H341" t="b">
        <v>0</v>
      </c>
      <c r="I341" t="s">
        <v>52</v>
      </c>
      <c r="J341" t="s">
        <v>38</v>
      </c>
      <c r="K341" t="s">
        <v>32</v>
      </c>
      <c r="L341">
        <v>0.28000000000000003</v>
      </c>
      <c r="M341" t="s">
        <v>41</v>
      </c>
      <c r="N341">
        <v>0.2576</v>
      </c>
      <c r="O341">
        <v>0.38</v>
      </c>
      <c r="P341">
        <v>0.29849999999999999</v>
      </c>
      <c r="Q341">
        <v>21</v>
      </c>
      <c r="R341">
        <v>80</v>
      </c>
      <c r="S341">
        <v>101</v>
      </c>
    </row>
    <row r="342" spans="1:19" x14ac:dyDescent="0.3">
      <c r="A342">
        <v>339</v>
      </c>
      <c r="B342" t="s">
        <v>93</v>
      </c>
      <c r="C342" t="s">
        <v>78</v>
      </c>
      <c r="D342" t="s">
        <v>79</v>
      </c>
      <c r="E342" t="s">
        <v>31</v>
      </c>
      <c r="F342">
        <v>14</v>
      </c>
      <c r="G342" t="s">
        <v>114</v>
      </c>
      <c r="H342" t="b">
        <v>0</v>
      </c>
      <c r="I342" t="s">
        <v>52</v>
      </c>
      <c r="J342" t="s">
        <v>38</v>
      </c>
      <c r="K342" t="s">
        <v>32</v>
      </c>
      <c r="L342">
        <v>0.3</v>
      </c>
      <c r="M342" t="s">
        <v>41</v>
      </c>
      <c r="N342">
        <v>0.28789999999999999</v>
      </c>
      <c r="O342">
        <v>0.39</v>
      </c>
      <c r="P342">
        <v>0.28360000000000002</v>
      </c>
      <c r="Q342">
        <v>26</v>
      </c>
      <c r="R342">
        <v>92</v>
      </c>
      <c r="S342">
        <v>118</v>
      </c>
    </row>
    <row r="343" spans="1:19" x14ac:dyDescent="0.3">
      <c r="A343">
        <v>340</v>
      </c>
      <c r="B343" t="s">
        <v>93</v>
      </c>
      <c r="C343" t="s">
        <v>78</v>
      </c>
      <c r="D343" t="s">
        <v>79</v>
      </c>
      <c r="E343" t="s">
        <v>31</v>
      </c>
      <c r="F343">
        <v>15</v>
      </c>
      <c r="G343" t="s">
        <v>114</v>
      </c>
      <c r="H343" t="b">
        <v>0</v>
      </c>
      <c r="I343" t="s">
        <v>52</v>
      </c>
      <c r="J343" t="s">
        <v>38</v>
      </c>
      <c r="K343" t="s">
        <v>33</v>
      </c>
      <c r="L343">
        <v>0.32</v>
      </c>
      <c r="M343" t="s">
        <v>41</v>
      </c>
      <c r="N343">
        <v>0.31819999999999998</v>
      </c>
      <c r="O343">
        <v>0.36</v>
      </c>
      <c r="P343">
        <v>0.19400000000000001</v>
      </c>
      <c r="Q343">
        <v>21</v>
      </c>
      <c r="R343">
        <v>108</v>
      </c>
      <c r="S343">
        <v>129</v>
      </c>
    </row>
    <row r="344" spans="1:19" x14ac:dyDescent="0.3">
      <c r="A344">
        <v>341</v>
      </c>
      <c r="B344" t="s">
        <v>93</v>
      </c>
      <c r="C344" t="s">
        <v>78</v>
      </c>
      <c r="D344" t="s">
        <v>79</v>
      </c>
      <c r="E344" t="s">
        <v>31</v>
      </c>
      <c r="F344">
        <v>16</v>
      </c>
      <c r="G344" t="s">
        <v>114</v>
      </c>
      <c r="H344" t="b">
        <v>0</v>
      </c>
      <c r="I344" t="s">
        <v>52</v>
      </c>
      <c r="J344" t="s">
        <v>38</v>
      </c>
      <c r="K344" t="s">
        <v>33</v>
      </c>
      <c r="L344">
        <v>0.34</v>
      </c>
      <c r="M344" t="s">
        <v>42</v>
      </c>
      <c r="N344">
        <v>0.33329999999999999</v>
      </c>
      <c r="O344">
        <v>0.34</v>
      </c>
      <c r="P344">
        <v>0.19400000000000001</v>
      </c>
      <c r="Q344">
        <v>33</v>
      </c>
      <c r="R344">
        <v>95</v>
      </c>
      <c r="S344">
        <v>128</v>
      </c>
    </row>
    <row r="345" spans="1:19" x14ac:dyDescent="0.3">
      <c r="A345">
        <v>342</v>
      </c>
      <c r="B345" t="s">
        <v>93</v>
      </c>
      <c r="C345" t="s">
        <v>78</v>
      </c>
      <c r="D345" t="s">
        <v>79</v>
      </c>
      <c r="E345" t="s">
        <v>31</v>
      </c>
      <c r="F345">
        <v>17</v>
      </c>
      <c r="G345" t="s">
        <v>114</v>
      </c>
      <c r="H345" t="b">
        <v>0</v>
      </c>
      <c r="I345" t="s">
        <v>52</v>
      </c>
      <c r="J345" t="s">
        <v>38</v>
      </c>
      <c r="K345" t="s">
        <v>33</v>
      </c>
      <c r="L345">
        <v>0.32</v>
      </c>
      <c r="M345" t="s">
        <v>41</v>
      </c>
      <c r="N345">
        <v>0.30299999999999999</v>
      </c>
      <c r="O345">
        <v>0.36</v>
      </c>
      <c r="P345">
        <v>0.28360000000000002</v>
      </c>
      <c r="Q345">
        <v>29</v>
      </c>
      <c r="R345">
        <v>54</v>
      </c>
      <c r="S345">
        <v>83</v>
      </c>
    </row>
    <row r="346" spans="1:19" x14ac:dyDescent="0.3">
      <c r="A346">
        <v>343</v>
      </c>
      <c r="B346" t="s">
        <v>93</v>
      </c>
      <c r="C346" t="s">
        <v>78</v>
      </c>
      <c r="D346" t="s">
        <v>79</v>
      </c>
      <c r="E346" t="s">
        <v>31</v>
      </c>
      <c r="F346">
        <v>18</v>
      </c>
      <c r="G346" t="s">
        <v>113</v>
      </c>
      <c r="H346" t="b">
        <v>0</v>
      </c>
      <c r="I346" t="s">
        <v>52</v>
      </c>
      <c r="J346" t="s">
        <v>38</v>
      </c>
      <c r="K346" t="s">
        <v>33</v>
      </c>
      <c r="L346">
        <v>0.3</v>
      </c>
      <c r="M346" t="s">
        <v>41</v>
      </c>
      <c r="N346">
        <v>0.28789999999999999</v>
      </c>
      <c r="O346">
        <v>0.45</v>
      </c>
      <c r="P346">
        <v>0.25369999999999998</v>
      </c>
      <c r="Q346">
        <v>15</v>
      </c>
      <c r="R346">
        <v>69</v>
      </c>
      <c r="S346">
        <v>84</v>
      </c>
    </row>
    <row r="347" spans="1:19" x14ac:dyDescent="0.3">
      <c r="A347">
        <v>344</v>
      </c>
      <c r="B347" t="s">
        <v>93</v>
      </c>
      <c r="C347" t="s">
        <v>78</v>
      </c>
      <c r="D347" t="s">
        <v>79</v>
      </c>
      <c r="E347" t="s">
        <v>31</v>
      </c>
      <c r="F347">
        <v>19</v>
      </c>
      <c r="G347" t="s">
        <v>113</v>
      </c>
      <c r="H347" t="b">
        <v>0</v>
      </c>
      <c r="I347" t="s">
        <v>52</v>
      </c>
      <c r="J347" t="s">
        <v>38</v>
      </c>
      <c r="K347" t="s">
        <v>33</v>
      </c>
      <c r="L347">
        <v>0.32</v>
      </c>
      <c r="M347" t="s">
        <v>41</v>
      </c>
      <c r="N347">
        <v>0.30299999999999999</v>
      </c>
      <c r="O347">
        <v>0.39</v>
      </c>
      <c r="P347">
        <v>0.25369999999999998</v>
      </c>
      <c r="Q347">
        <v>14</v>
      </c>
      <c r="R347">
        <v>60</v>
      </c>
      <c r="S347">
        <v>74</v>
      </c>
    </row>
    <row r="348" spans="1:19" x14ac:dyDescent="0.3">
      <c r="A348">
        <v>345</v>
      </c>
      <c r="B348" t="s">
        <v>93</v>
      </c>
      <c r="C348" t="s">
        <v>78</v>
      </c>
      <c r="D348" t="s">
        <v>79</v>
      </c>
      <c r="E348" t="s">
        <v>31</v>
      </c>
      <c r="F348">
        <v>20</v>
      </c>
      <c r="G348" t="s">
        <v>113</v>
      </c>
      <c r="H348" t="b">
        <v>0</v>
      </c>
      <c r="I348" t="s">
        <v>52</v>
      </c>
      <c r="J348" t="s">
        <v>38</v>
      </c>
      <c r="K348" t="s">
        <v>33</v>
      </c>
      <c r="L348">
        <v>0.32</v>
      </c>
      <c r="M348" t="s">
        <v>41</v>
      </c>
      <c r="N348">
        <v>0.30299999999999999</v>
      </c>
      <c r="O348">
        <v>0.39</v>
      </c>
      <c r="P348">
        <v>0.25369999999999998</v>
      </c>
      <c r="Q348">
        <v>6</v>
      </c>
      <c r="R348">
        <v>35</v>
      </c>
      <c r="S348">
        <v>41</v>
      </c>
    </row>
    <row r="349" spans="1:19" x14ac:dyDescent="0.3">
      <c r="A349">
        <v>346</v>
      </c>
      <c r="B349" t="s">
        <v>93</v>
      </c>
      <c r="C349" t="s">
        <v>78</v>
      </c>
      <c r="D349" t="s">
        <v>79</v>
      </c>
      <c r="E349" t="s">
        <v>31</v>
      </c>
      <c r="F349">
        <v>21</v>
      </c>
      <c r="G349" t="s">
        <v>113</v>
      </c>
      <c r="H349" t="b">
        <v>0</v>
      </c>
      <c r="I349" t="s">
        <v>52</v>
      </c>
      <c r="J349" t="s">
        <v>38</v>
      </c>
      <c r="K349" t="s">
        <v>33</v>
      </c>
      <c r="L349">
        <v>0.32</v>
      </c>
      <c r="M349" t="s">
        <v>41</v>
      </c>
      <c r="N349">
        <v>0.30299999999999999</v>
      </c>
      <c r="O349">
        <v>0.39</v>
      </c>
      <c r="P349">
        <v>0.22389999999999999</v>
      </c>
      <c r="Q349">
        <v>6</v>
      </c>
      <c r="R349">
        <v>51</v>
      </c>
      <c r="S349">
        <v>57</v>
      </c>
    </row>
    <row r="350" spans="1:19" x14ac:dyDescent="0.3">
      <c r="A350">
        <v>347</v>
      </c>
      <c r="B350" t="s">
        <v>93</v>
      </c>
      <c r="C350" t="s">
        <v>78</v>
      </c>
      <c r="D350" t="s">
        <v>79</v>
      </c>
      <c r="E350" t="s">
        <v>31</v>
      </c>
      <c r="F350">
        <v>22</v>
      </c>
      <c r="G350" t="s">
        <v>113</v>
      </c>
      <c r="H350" t="b">
        <v>0</v>
      </c>
      <c r="I350" t="s">
        <v>52</v>
      </c>
      <c r="J350" t="s">
        <v>38</v>
      </c>
      <c r="K350" t="s">
        <v>33</v>
      </c>
      <c r="L350">
        <v>0.3</v>
      </c>
      <c r="M350" t="s">
        <v>41</v>
      </c>
      <c r="N350">
        <v>0.31819999999999998</v>
      </c>
      <c r="O350">
        <v>0.42</v>
      </c>
      <c r="P350">
        <v>0.1045</v>
      </c>
      <c r="Q350">
        <v>0</v>
      </c>
      <c r="R350">
        <v>26</v>
      </c>
      <c r="S350">
        <v>26</v>
      </c>
    </row>
    <row r="351" spans="1:19" x14ac:dyDescent="0.3">
      <c r="A351">
        <v>348</v>
      </c>
      <c r="B351" t="s">
        <v>93</v>
      </c>
      <c r="C351" t="s">
        <v>78</v>
      </c>
      <c r="D351" t="s">
        <v>79</v>
      </c>
      <c r="E351" t="s">
        <v>31</v>
      </c>
      <c r="F351">
        <v>23</v>
      </c>
      <c r="G351" t="s">
        <v>113</v>
      </c>
      <c r="H351" t="b">
        <v>0</v>
      </c>
      <c r="I351" t="s">
        <v>52</v>
      </c>
      <c r="J351" t="s">
        <v>38</v>
      </c>
      <c r="K351" t="s">
        <v>32</v>
      </c>
      <c r="L351">
        <v>0.3</v>
      </c>
      <c r="M351" t="s">
        <v>41</v>
      </c>
      <c r="N351">
        <v>0.28789999999999999</v>
      </c>
      <c r="O351">
        <v>0.45</v>
      </c>
      <c r="P351">
        <v>0.28360000000000002</v>
      </c>
      <c r="Q351">
        <v>5</v>
      </c>
      <c r="R351">
        <v>39</v>
      </c>
      <c r="S351">
        <v>44</v>
      </c>
    </row>
    <row r="352" spans="1:19" x14ac:dyDescent="0.3">
      <c r="A352">
        <v>349</v>
      </c>
      <c r="B352" t="s">
        <v>94</v>
      </c>
      <c r="C352" t="s">
        <v>78</v>
      </c>
      <c r="D352" t="s">
        <v>79</v>
      </c>
      <c r="E352" t="s">
        <v>31</v>
      </c>
      <c r="F352">
        <v>0</v>
      </c>
      <c r="G352" t="s">
        <v>116</v>
      </c>
      <c r="H352" t="b">
        <v>0</v>
      </c>
      <c r="I352" t="s">
        <v>53</v>
      </c>
      <c r="J352" t="s">
        <v>38</v>
      </c>
      <c r="K352" t="s">
        <v>32</v>
      </c>
      <c r="L352">
        <v>0.26</v>
      </c>
      <c r="M352" t="s">
        <v>41</v>
      </c>
      <c r="N352">
        <v>0.30299999999999999</v>
      </c>
      <c r="O352">
        <v>0.56000000000000005</v>
      </c>
      <c r="P352">
        <v>0</v>
      </c>
      <c r="Q352">
        <v>6</v>
      </c>
      <c r="R352">
        <v>33</v>
      </c>
      <c r="S352">
        <v>39</v>
      </c>
    </row>
    <row r="353" spans="1:19" x14ac:dyDescent="0.3">
      <c r="A353">
        <v>350</v>
      </c>
      <c r="B353" t="s">
        <v>94</v>
      </c>
      <c r="C353" t="s">
        <v>78</v>
      </c>
      <c r="D353" t="s">
        <v>79</v>
      </c>
      <c r="E353" t="s">
        <v>31</v>
      </c>
      <c r="F353">
        <v>1</v>
      </c>
      <c r="G353" t="s">
        <v>116</v>
      </c>
      <c r="H353" t="b">
        <v>0</v>
      </c>
      <c r="I353" t="s">
        <v>53</v>
      </c>
      <c r="J353" t="s">
        <v>38</v>
      </c>
      <c r="K353" t="s">
        <v>32</v>
      </c>
      <c r="L353">
        <v>0.26</v>
      </c>
      <c r="M353" t="s">
        <v>41</v>
      </c>
      <c r="N353">
        <v>0.2727</v>
      </c>
      <c r="O353">
        <v>0.56000000000000005</v>
      </c>
      <c r="P353">
        <v>0.1343</v>
      </c>
      <c r="Q353">
        <v>4</v>
      </c>
      <c r="R353">
        <v>19</v>
      </c>
      <c r="S353">
        <v>23</v>
      </c>
    </row>
    <row r="354" spans="1:19" x14ac:dyDescent="0.3">
      <c r="A354">
        <v>351</v>
      </c>
      <c r="B354" t="s">
        <v>94</v>
      </c>
      <c r="C354" t="s">
        <v>78</v>
      </c>
      <c r="D354" t="s">
        <v>79</v>
      </c>
      <c r="E354" t="s">
        <v>31</v>
      </c>
      <c r="F354">
        <v>2</v>
      </c>
      <c r="G354" t="s">
        <v>116</v>
      </c>
      <c r="H354" t="b">
        <v>0</v>
      </c>
      <c r="I354" t="s">
        <v>53</v>
      </c>
      <c r="J354" t="s">
        <v>38</v>
      </c>
      <c r="K354" t="s">
        <v>32</v>
      </c>
      <c r="L354">
        <v>0.26</v>
      </c>
      <c r="M354" t="s">
        <v>41</v>
      </c>
      <c r="N354">
        <v>0.28789999999999999</v>
      </c>
      <c r="O354">
        <v>0.56000000000000005</v>
      </c>
      <c r="P354">
        <v>8.9599999999999999E-2</v>
      </c>
      <c r="Q354">
        <v>3</v>
      </c>
      <c r="R354">
        <v>13</v>
      </c>
      <c r="S354">
        <v>16</v>
      </c>
    </row>
    <row r="355" spans="1:19" x14ac:dyDescent="0.3">
      <c r="A355">
        <v>352</v>
      </c>
      <c r="B355" t="s">
        <v>94</v>
      </c>
      <c r="C355" t="s">
        <v>78</v>
      </c>
      <c r="D355" t="s">
        <v>79</v>
      </c>
      <c r="E355" t="s">
        <v>31</v>
      </c>
      <c r="F355">
        <v>3</v>
      </c>
      <c r="G355" t="s">
        <v>116</v>
      </c>
      <c r="H355" t="b">
        <v>0</v>
      </c>
      <c r="I355" t="s">
        <v>53</v>
      </c>
      <c r="J355" t="s">
        <v>38</v>
      </c>
      <c r="K355" t="s">
        <v>32</v>
      </c>
      <c r="L355">
        <v>0.22</v>
      </c>
      <c r="M355" t="s">
        <v>40</v>
      </c>
      <c r="N355">
        <v>0.2727</v>
      </c>
      <c r="O355">
        <v>0.69</v>
      </c>
      <c r="P355">
        <v>0</v>
      </c>
      <c r="Q355">
        <v>9</v>
      </c>
      <c r="R355">
        <v>6</v>
      </c>
      <c r="S355">
        <v>15</v>
      </c>
    </row>
    <row r="356" spans="1:19" x14ac:dyDescent="0.3">
      <c r="A356">
        <v>353</v>
      </c>
      <c r="B356" t="s">
        <v>94</v>
      </c>
      <c r="C356" t="s">
        <v>78</v>
      </c>
      <c r="D356" t="s">
        <v>79</v>
      </c>
      <c r="E356" t="s">
        <v>31</v>
      </c>
      <c r="F356">
        <v>4</v>
      </c>
      <c r="G356" t="s">
        <v>116</v>
      </c>
      <c r="H356" t="b">
        <v>0</v>
      </c>
      <c r="I356" t="s">
        <v>53</v>
      </c>
      <c r="J356" t="s">
        <v>38</v>
      </c>
      <c r="K356" t="s">
        <v>32</v>
      </c>
      <c r="L356">
        <v>0.26</v>
      </c>
      <c r="M356" t="s">
        <v>41</v>
      </c>
      <c r="N356">
        <v>0.2576</v>
      </c>
      <c r="O356">
        <v>0.56000000000000005</v>
      </c>
      <c r="P356">
        <v>0.16420000000000001</v>
      </c>
      <c r="Q356">
        <v>0</v>
      </c>
      <c r="R356">
        <v>1</v>
      </c>
      <c r="S356">
        <v>1</v>
      </c>
    </row>
    <row r="357" spans="1:19" x14ac:dyDescent="0.3">
      <c r="A357">
        <v>354</v>
      </c>
      <c r="B357" t="s">
        <v>94</v>
      </c>
      <c r="C357" t="s">
        <v>78</v>
      </c>
      <c r="D357" t="s">
        <v>79</v>
      </c>
      <c r="E357" t="s">
        <v>31</v>
      </c>
      <c r="F357">
        <v>5</v>
      </c>
      <c r="G357" t="s">
        <v>116</v>
      </c>
      <c r="H357" t="b">
        <v>0</v>
      </c>
      <c r="I357" t="s">
        <v>53</v>
      </c>
      <c r="J357" t="s">
        <v>38</v>
      </c>
      <c r="K357" t="s">
        <v>33</v>
      </c>
      <c r="L357">
        <v>0.26</v>
      </c>
      <c r="M357" t="s">
        <v>41</v>
      </c>
      <c r="N357">
        <v>0.2576</v>
      </c>
      <c r="O357">
        <v>0.56000000000000005</v>
      </c>
      <c r="P357">
        <v>0.16420000000000001</v>
      </c>
      <c r="Q357">
        <v>1</v>
      </c>
      <c r="R357">
        <v>1</v>
      </c>
      <c r="S357">
        <v>2</v>
      </c>
    </row>
    <row r="358" spans="1:19" x14ac:dyDescent="0.3">
      <c r="A358">
        <v>355</v>
      </c>
      <c r="B358" t="s">
        <v>94</v>
      </c>
      <c r="C358" t="s">
        <v>78</v>
      </c>
      <c r="D358" t="s">
        <v>79</v>
      </c>
      <c r="E358" t="s">
        <v>31</v>
      </c>
      <c r="F358">
        <v>6</v>
      </c>
      <c r="G358" t="s">
        <v>115</v>
      </c>
      <c r="H358" t="b">
        <v>0</v>
      </c>
      <c r="I358" t="s">
        <v>53</v>
      </c>
      <c r="J358" t="s">
        <v>38</v>
      </c>
      <c r="K358" t="s">
        <v>33</v>
      </c>
      <c r="L358">
        <v>0.26</v>
      </c>
      <c r="M358" t="s">
        <v>41</v>
      </c>
      <c r="N358">
        <v>0.2576</v>
      </c>
      <c r="O358">
        <v>0.56000000000000005</v>
      </c>
      <c r="P358">
        <v>0.16420000000000001</v>
      </c>
      <c r="Q358">
        <v>0</v>
      </c>
      <c r="R358">
        <v>1</v>
      </c>
      <c r="S358">
        <v>1</v>
      </c>
    </row>
    <row r="359" spans="1:19" x14ac:dyDescent="0.3">
      <c r="A359">
        <v>356</v>
      </c>
      <c r="B359" t="s">
        <v>94</v>
      </c>
      <c r="C359" t="s">
        <v>78</v>
      </c>
      <c r="D359" t="s">
        <v>79</v>
      </c>
      <c r="E359" t="s">
        <v>31</v>
      </c>
      <c r="F359">
        <v>7</v>
      </c>
      <c r="G359" t="s">
        <v>115</v>
      </c>
      <c r="H359" t="b">
        <v>0</v>
      </c>
      <c r="I359" t="s">
        <v>53</v>
      </c>
      <c r="J359" t="s">
        <v>38</v>
      </c>
      <c r="K359" t="s">
        <v>33</v>
      </c>
      <c r="L359">
        <v>0.24</v>
      </c>
      <c r="M359" t="s">
        <v>40</v>
      </c>
      <c r="N359">
        <v>0.21210000000000001</v>
      </c>
      <c r="O359">
        <v>0.56000000000000005</v>
      </c>
      <c r="P359">
        <v>0.29849999999999999</v>
      </c>
      <c r="Q359">
        <v>0</v>
      </c>
      <c r="R359">
        <v>3</v>
      </c>
      <c r="S359">
        <v>3</v>
      </c>
    </row>
    <row r="360" spans="1:19" x14ac:dyDescent="0.3">
      <c r="A360">
        <v>357</v>
      </c>
      <c r="B360" t="s">
        <v>94</v>
      </c>
      <c r="C360" t="s">
        <v>78</v>
      </c>
      <c r="D360" t="s">
        <v>79</v>
      </c>
      <c r="E360" t="s">
        <v>31</v>
      </c>
      <c r="F360">
        <v>8</v>
      </c>
      <c r="G360" t="s">
        <v>115</v>
      </c>
      <c r="H360" t="b">
        <v>0</v>
      </c>
      <c r="I360" t="s">
        <v>53</v>
      </c>
      <c r="J360" t="s">
        <v>38</v>
      </c>
      <c r="K360" t="s">
        <v>32</v>
      </c>
      <c r="L360">
        <v>0.22</v>
      </c>
      <c r="M360" t="s">
        <v>40</v>
      </c>
      <c r="N360">
        <v>0.21210000000000001</v>
      </c>
      <c r="O360">
        <v>0.55000000000000004</v>
      </c>
      <c r="P360">
        <v>0.28360000000000002</v>
      </c>
      <c r="Q360">
        <v>0</v>
      </c>
      <c r="R360">
        <v>18</v>
      </c>
      <c r="S360">
        <v>18</v>
      </c>
    </row>
    <row r="361" spans="1:19" x14ac:dyDescent="0.3">
      <c r="A361">
        <v>358</v>
      </c>
      <c r="B361" t="s">
        <v>94</v>
      </c>
      <c r="C361" t="s">
        <v>78</v>
      </c>
      <c r="D361" t="s">
        <v>79</v>
      </c>
      <c r="E361" t="s">
        <v>31</v>
      </c>
      <c r="F361">
        <v>9</v>
      </c>
      <c r="G361" t="s">
        <v>115</v>
      </c>
      <c r="H361" t="b">
        <v>0</v>
      </c>
      <c r="I361" t="s">
        <v>53</v>
      </c>
      <c r="J361" t="s">
        <v>38</v>
      </c>
      <c r="K361" t="s">
        <v>32</v>
      </c>
      <c r="L361">
        <v>0.22</v>
      </c>
      <c r="M361" t="s">
        <v>40</v>
      </c>
      <c r="N361">
        <v>0.21210000000000001</v>
      </c>
      <c r="O361">
        <v>0.51</v>
      </c>
      <c r="P361">
        <v>0.25369999999999998</v>
      </c>
      <c r="Q361">
        <v>3</v>
      </c>
      <c r="R361">
        <v>29</v>
      </c>
      <c r="S361">
        <v>32</v>
      </c>
    </row>
    <row r="362" spans="1:19" x14ac:dyDescent="0.3">
      <c r="A362">
        <v>359</v>
      </c>
      <c r="B362" t="s">
        <v>94</v>
      </c>
      <c r="C362" t="s">
        <v>78</v>
      </c>
      <c r="D362" t="s">
        <v>79</v>
      </c>
      <c r="E362" t="s">
        <v>31</v>
      </c>
      <c r="F362">
        <v>10</v>
      </c>
      <c r="G362" t="s">
        <v>115</v>
      </c>
      <c r="H362" t="b">
        <v>0</v>
      </c>
      <c r="I362" t="s">
        <v>53</v>
      </c>
      <c r="J362" t="s">
        <v>38</v>
      </c>
      <c r="K362" t="s">
        <v>32</v>
      </c>
      <c r="L362">
        <v>0.22</v>
      </c>
      <c r="M362" t="s">
        <v>40</v>
      </c>
      <c r="N362">
        <v>0.21210000000000001</v>
      </c>
      <c r="O362">
        <v>0.51</v>
      </c>
      <c r="P362">
        <v>0.28360000000000002</v>
      </c>
      <c r="Q362">
        <v>8</v>
      </c>
      <c r="R362">
        <v>71</v>
      </c>
      <c r="S362">
        <v>79</v>
      </c>
    </row>
    <row r="363" spans="1:19" x14ac:dyDescent="0.3">
      <c r="A363">
        <v>360</v>
      </c>
      <c r="B363" t="s">
        <v>94</v>
      </c>
      <c r="C363" t="s">
        <v>78</v>
      </c>
      <c r="D363" t="s">
        <v>79</v>
      </c>
      <c r="E363" t="s">
        <v>31</v>
      </c>
      <c r="F363">
        <v>11</v>
      </c>
      <c r="G363" t="s">
        <v>115</v>
      </c>
      <c r="H363" t="b">
        <v>0</v>
      </c>
      <c r="I363" t="s">
        <v>53</v>
      </c>
      <c r="J363" t="s">
        <v>38</v>
      </c>
      <c r="K363" t="s">
        <v>32</v>
      </c>
      <c r="L363">
        <v>0.24</v>
      </c>
      <c r="M363" t="s">
        <v>40</v>
      </c>
      <c r="N363">
        <v>0.2273</v>
      </c>
      <c r="O363">
        <v>0.44</v>
      </c>
      <c r="P363">
        <v>0.25369999999999998</v>
      </c>
      <c r="Q363">
        <v>23</v>
      </c>
      <c r="R363">
        <v>70</v>
      </c>
      <c r="S363">
        <v>93</v>
      </c>
    </row>
    <row r="364" spans="1:19" x14ac:dyDescent="0.3">
      <c r="A364">
        <v>361</v>
      </c>
      <c r="B364" t="s">
        <v>94</v>
      </c>
      <c r="C364" t="s">
        <v>78</v>
      </c>
      <c r="D364" t="s">
        <v>79</v>
      </c>
      <c r="E364" t="s">
        <v>31</v>
      </c>
      <c r="F364">
        <v>12</v>
      </c>
      <c r="G364" t="s">
        <v>114</v>
      </c>
      <c r="H364" t="b">
        <v>0</v>
      </c>
      <c r="I364" t="s">
        <v>53</v>
      </c>
      <c r="J364" t="s">
        <v>38</v>
      </c>
      <c r="K364" t="s">
        <v>32</v>
      </c>
      <c r="L364">
        <v>0.24</v>
      </c>
      <c r="M364" t="s">
        <v>40</v>
      </c>
      <c r="N364">
        <v>0.21210000000000001</v>
      </c>
      <c r="O364">
        <v>0.41</v>
      </c>
      <c r="P364">
        <v>0.28360000000000002</v>
      </c>
      <c r="Q364">
        <v>29</v>
      </c>
      <c r="R364">
        <v>75</v>
      </c>
      <c r="S364">
        <v>104</v>
      </c>
    </row>
    <row r="365" spans="1:19" x14ac:dyDescent="0.3">
      <c r="A365">
        <v>362</v>
      </c>
      <c r="B365" t="s">
        <v>94</v>
      </c>
      <c r="C365" t="s">
        <v>78</v>
      </c>
      <c r="D365" t="s">
        <v>79</v>
      </c>
      <c r="E365" t="s">
        <v>31</v>
      </c>
      <c r="F365">
        <v>13</v>
      </c>
      <c r="G365" t="s">
        <v>114</v>
      </c>
      <c r="H365" t="b">
        <v>0</v>
      </c>
      <c r="I365" t="s">
        <v>53</v>
      </c>
      <c r="J365" t="s">
        <v>38</v>
      </c>
      <c r="K365" t="s">
        <v>32</v>
      </c>
      <c r="L365">
        <v>0.26</v>
      </c>
      <c r="M365" t="s">
        <v>41</v>
      </c>
      <c r="N365">
        <v>0.2273</v>
      </c>
      <c r="O365">
        <v>0.35</v>
      </c>
      <c r="P365">
        <v>0.29849999999999999</v>
      </c>
      <c r="Q365">
        <v>23</v>
      </c>
      <c r="R365">
        <v>95</v>
      </c>
      <c r="S365">
        <v>118</v>
      </c>
    </row>
    <row r="366" spans="1:19" x14ac:dyDescent="0.3">
      <c r="A366">
        <v>363</v>
      </c>
      <c r="B366" t="s">
        <v>94</v>
      </c>
      <c r="C366" t="s">
        <v>78</v>
      </c>
      <c r="D366" t="s">
        <v>79</v>
      </c>
      <c r="E366" t="s">
        <v>31</v>
      </c>
      <c r="F366">
        <v>14</v>
      </c>
      <c r="G366" t="s">
        <v>114</v>
      </c>
      <c r="H366" t="b">
        <v>0</v>
      </c>
      <c r="I366" t="s">
        <v>53</v>
      </c>
      <c r="J366" t="s">
        <v>38</v>
      </c>
      <c r="K366" t="s">
        <v>32</v>
      </c>
      <c r="L366">
        <v>0.28000000000000003</v>
      </c>
      <c r="M366" t="s">
        <v>41</v>
      </c>
      <c r="N366">
        <v>0.2727</v>
      </c>
      <c r="O366">
        <v>0.36</v>
      </c>
      <c r="P366">
        <v>0.25369999999999998</v>
      </c>
      <c r="Q366">
        <v>22</v>
      </c>
      <c r="R366">
        <v>69</v>
      </c>
      <c r="S366">
        <v>91</v>
      </c>
    </row>
    <row r="367" spans="1:19" x14ac:dyDescent="0.3">
      <c r="A367">
        <v>364</v>
      </c>
      <c r="B367" t="s">
        <v>94</v>
      </c>
      <c r="C367" t="s">
        <v>78</v>
      </c>
      <c r="D367" t="s">
        <v>79</v>
      </c>
      <c r="E367" t="s">
        <v>31</v>
      </c>
      <c r="F367">
        <v>15</v>
      </c>
      <c r="G367" t="s">
        <v>114</v>
      </c>
      <c r="H367" t="b">
        <v>0</v>
      </c>
      <c r="I367" t="s">
        <v>53</v>
      </c>
      <c r="J367" t="s">
        <v>38</v>
      </c>
      <c r="K367" t="s">
        <v>32</v>
      </c>
      <c r="L367">
        <v>0.26</v>
      </c>
      <c r="M367" t="s">
        <v>41</v>
      </c>
      <c r="N367">
        <v>0.2424</v>
      </c>
      <c r="O367">
        <v>0.38</v>
      </c>
      <c r="P367">
        <v>0.25369999999999998</v>
      </c>
      <c r="Q367">
        <v>35</v>
      </c>
      <c r="R367">
        <v>78</v>
      </c>
      <c r="S367">
        <v>113</v>
      </c>
    </row>
    <row r="368" spans="1:19" x14ac:dyDescent="0.3">
      <c r="A368">
        <v>365</v>
      </c>
      <c r="B368" t="s">
        <v>94</v>
      </c>
      <c r="C368" t="s">
        <v>78</v>
      </c>
      <c r="D368" t="s">
        <v>79</v>
      </c>
      <c r="E368" t="s">
        <v>31</v>
      </c>
      <c r="F368">
        <v>16</v>
      </c>
      <c r="G368" t="s">
        <v>114</v>
      </c>
      <c r="H368" t="b">
        <v>0</v>
      </c>
      <c r="I368" t="s">
        <v>53</v>
      </c>
      <c r="J368" t="s">
        <v>38</v>
      </c>
      <c r="K368" t="s">
        <v>32</v>
      </c>
      <c r="L368">
        <v>0.24</v>
      </c>
      <c r="M368" t="s">
        <v>40</v>
      </c>
      <c r="N368">
        <v>0.2273</v>
      </c>
      <c r="O368">
        <v>0.38</v>
      </c>
      <c r="P368">
        <v>0.22389999999999999</v>
      </c>
      <c r="Q368">
        <v>22</v>
      </c>
      <c r="R368">
        <v>77</v>
      </c>
      <c r="S368">
        <v>99</v>
      </c>
    </row>
    <row r="369" spans="1:19" x14ac:dyDescent="0.3">
      <c r="A369">
        <v>366</v>
      </c>
      <c r="B369" t="s">
        <v>94</v>
      </c>
      <c r="C369" t="s">
        <v>78</v>
      </c>
      <c r="D369" t="s">
        <v>79</v>
      </c>
      <c r="E369" t="s">
        <v>31</v>
      </c>
      <c r="F369">
        <v>17</v>
      </c>
      <c r="G369" t="s">
        <v>114</v>
      </c>
      <c r="H369" t="b">
        <v>0</v>
      </c>
      <c r="I369" t="s">
        <v>53</v>
      </c>
      <c r="J369" t="s">
        <v>38</v>
      </c>
      <c r="K369" t="s">
        <v>32</v>
      </c>
      <c r="L369">
        <v>0.22</v>
      </c>
      <c r="M369" t="s">
        <v>40</v>
      </c>
      <c r="N369">
        <v>0.21210000000000001</v>
      </c>
      <c r="O369">
        <v>0.37</v>
      </c>
      <c r="P369">
        <v>0.25369999999999998</v>
      </c>
      <c r="Q369">
        <v>23</v>
      </c>
      <c r="R369">
        <v>82</v>
      </c>
      <c r="S369">
        <v>105</v>
      </c>
    </row>
    <row r="370" spans="1:19" x14ac:dyDescent="0.3">
      <c r="A370">
        <v>367</v>
      </c>
      <c r="B370" t="s">
        <v>94</v>
      </c>
      <c r="C370" t="s">
        <v>78</v>
      </c>
      <c r="D370" t="s">
        <v>79</v>
      </c>
      <c r="E370" t="s">
        <v>31</v>
      </c>
      <c r="F370">
        <v>18</v>
      </c>
      <c r="G370" t="s">
        <v>113</v>
      </c>
      <c r="H370" t="b">
        <v>0</v>
      </c>
      <c r="I370" t="s">
        <v>53</v>
      </c>
      <c r="J370" t="s">
        <v>38</v>
      </c>
      <c r="K370" t="s">
        <v>32</v>
      </c>
      <c r="L370">
        <v>0.2</v>
      </c>
      <c r="M370" t="s">
        <v>40</v>
      </c>
      <c r="N370">
        <v>0.21210000000000001</v>
      </c>
      <c r="O370">
        <v>0.4</v>
      </c>
      <c r="P370">
        <v>0.16420000000000001</v>
      </c>
      <c r="Q370">
        <v>11</v>
      </c>
      <c r="R370">
        <v>56</v>
      </c>
      <c r="S370">
        <v>67</v>
      </c>
    </row>
    <row r="371" spans="1:19" x14ac:dyDescent="0.3">
      <c r="A371">
        <v>368</v>
      </c>
      <c r="B371" t="s">
        <v>94</v>
      </c>
      <c r="C371" t="s">
        <v>78</v>
      </c>
      <c r="D371" t="s">
        <v>79</v>
      </c>
      <c r="E371" t="s">
        <v>31</v>
      </c>
      <c r="F371">
        <v>19</v>
      </c>
      <c r="G371" t="s">
        <v>113</v>
      </c>
      <c r="H371" t="b">
        <v>0</v>
      </c>
      <c r="I371" t="s">
        <v>53</v>
      </c>
      <c r="J371" t="s">
        <v>38</v>
      </c>
      <c r="K371" t="s">
        <v>32</v>
      </c>
      <c r="L371">
        <v>0.18</v>
      </c>
      <c r="M371" t="s">
        <v>40</v>
      </c>
      <c r="N371">
        <v>0.19700000000000001</v>
      </c>
      <c r="O371">
        <v>0.47</v>
      </c>
      <c r="P371">
        <v>0.1343</v>
      </c>
      <c r="Q371">
        <v>14</v>
      </c>
      <c r="R371">
        <v>47</v>
      </c>
      <c r="S371">
        <v>61</v>
      </c>
    </row>
    <row r="372" spans="1:19" x14ac:dyDescent="0.3">
      <c r="A372">
        <v>369</v>
      </c>
      <c r="B372" t="s">
        <v>94</v>
      </c>
      <c r="C372" t="s">
        <v>78</v>
      </c>
      <c r="D372" t="s">
        <v>79</v>
      </c>
      <c r="E372" t="s">
        <v>31</v>
      </c>
      <c r="F372">
        <v>20</v>
      </c>
      <c r="G372" t="s">
        <v>113</v>
      </c>
      <c r="H372" t="b">
        <v>0</v>
      </c>
      <c r="I372" t="s">
        <v>53</v>
      </c>
      <c r="J372" t="s">
        <v>38</v>
      </c>
      <c r="K372" t="s">
        <v>32</v>
      </c>
      <c r="L372">
        <v>0.18</v>
      </c>
      <c r="M372" t="s">
        <v>40</v>
      </c>
      <c r="N372">
        <v>0.19700000000000001</v>
      </c>
      <c r="O372">
        <v>0.47</v>
      </c>
      <c r="P372">
        <v>0.16420000000000001</v>
      </c>
      <c r="Q372">
        <v>7</v>
      </c>
      <c r="R372">
        <v>50</v>
      </c>
      <c r="S372">
        <v>57</v>
      </c>
    </row>
    <row r="373" spans="1:19" x14ac:dyDescent="0.3">
      <c r="A373">
        <v>370</v>
      </c>
      <c r="B373" t="s">
        <v>94</v>
      </c>
      <c r="C373" t="s">
        <v>78</v>
      </c>
      <c r="D373" t="s">
        <v>79</v>
      </c>
      <c r="E373" t="s">
        <v>31</v>
      </c>
      <c r="F373">
        <v>21</v>
      </c>
      <c r="G373" t="s">
        <v>113</v>
      </c>
      <c r="H373" t="b">
        <v>0</v>
      </c>
      <c r="I373" t="s">
        <v>53</v>
      </c>
      <c r="J373" t="s">
        <v>38</v>
      </c>
      <c r="K373" t="s">
        <v>32</v>
      </c>
      <c r="L373">
        <v>0.18</v>
      </c>
      <c r="M373" t="s">
        <v>40</v>
      </c>
      <c r="N373">
        <v>0.19700000000000001</v>
      </c>
      <c r="O373">
        <v>0.51</v>
      </c>
      <c r="P373">
        <v>0.16420000000000001</v>
      </c>
      <c r="Q373">
        <v>6</v>
      </c>
      <c r="R373">
        <v>22</v>
      </c>
      <c r="S373">
        <v>28</v>
      </c>
    </row>
    <row r="374" spans="1:19" x14ac:dyDescent="0.3">
      <c r="A374">
        <v>371</v>
      </c>
      <c r="B374" t="s">
        <v>94</v>
      </c>
      <c r="C374" t="s">
        <v>78</v>
      </c>
      <c r="D374" t="s">
        <v>79</v>
      </c>
      <c r="E374" t="s">
        <v>31</v>
      </c>
      <c r="F374">
        <v>22</v>
      </c>
      <c r="G374" t="s">
        <v>113</v>
      </c>
      <c r="H374" t="b">
        <v>0</v>
      </c>
      <c r="I374" t="s">
        <v>53</v>
      </c>
      <c r="J374" t="s">
        <v>38</v>
      </c>
      <c r="K374" t="s">
        <v>33</v>
      </c>
      <c r="L374">
        <v>0.2</v>
      </c>
      <c r="M374" t="s">
        <v>40</v>
      </c>
      <c r="N374">
        <v>0.21210000000000001</v>
      </c>
      <c r="O374">
        <v>0.49</v>
      </c>
      <c r="P374">
        <v>0.1343</v>
      </c>
      <c r="Q374">
        <v>2</v>
      </c>
      <c r="R374">
        <v>19</v>
      </c>
      <c r="S374">
        <v>21</v>
      </c>
    </row>
    <row r="375" spans="1:19" x14ac:dyDescent="0.3">
      <c r="A375">
        <v>372</v>
      </c>
      <c r="B375" t="s">
        <v>94</v>
      </c>
      <c r="C375" t="s">
        <v>78</v>
      </c>
      <c r="D375" t="s">
        <v>79</v>
      </c>
      <c r="E375" t="s">
        <v>31</v>
      </c>
      <c r="F375">
        <v>23</v>
      </c>
      <c r="G375" t="s">
        <v>113</v>
      </c>
      <c r="H375" t="b">
        <v>0</v>
      </c>
      <c r="I375" t="s">
        <v>53</v>
      </c>
      <c r="J375" t="s">
        <v>38</v>
      </c>
      <c r="K375" t="s">
        <v>33</v>
      </c>
      <c r="L375">
        <v>0.2</v>
      </c>
      <c r="M375" t="s">
        <v>40</v>
      </c>
      <c r="N375">
        <v>0.2273</v>
      </c>
      <c r="O375">
        <v>0.4</v>
      </c>
      <c r="P375">
        <v>0.1045</v>
      </c>
      <c r="Q375">
        <v>0</v>
      </c>
      <c r="R375">
        <v>18</v>
      </c>
      <c r="S375">
        <v>18</v>
      </c>
    </row>
    <row r="376" spans="1:19" x14ac:dyDescent="0.3">
      <c r="A376">
        <v>373</v>
      </c>
      <c r="B376" t="s">
        <v>95</v>
      </c>
      <c r="C376" t="s">
        <v>78</v>
      </c>
      <c r="D376" t="s">
        <v>79</v>
      </c>
      <c r="E376" t="s">
        <v>31</v>
      </c>
      <c r="F376">
        <v>0</v>
      </c>
      <c r="G376" t="s">
        <v>116</v>
      </c>
      <c r="H376" t="b">
        <v>1</v>
      </c>
      <c r="I376" t="s">
        <v>54</v>
      </c>
      <c r="J376" t="s">
        <v>22</v>
      </c>
      <c r="K376" t="s">
        <v>33</v>
      </c>
      <c r="L376">
        <v>0.2</v>
      </c>
      <c r="M376" t="s">
        <v>40</v>
      </c>
      <c r="N376">
        <v>0.19700000000000001</v>
      </c>
      <c r="O376">
        <v>0.47</v>
      </c>
      <c r="P376">
        <v>0.22389999999999999</v>
      </c>
      <c r="Q376">
        <v>1</v>
      </c>
      <c r="R376">
        <v>16</v>
      </c>
      <c r="S376">
        <v>17</v>
      </c>
    </row>
    <row r="377" spans="1:19" x14ac:dyDescent="0.3">
      <c r="A377">
        <v>374</v>
      </c>
      <c r="B377" t="s">
        <v>95</v>
      </c>
      <c r="C377" t="s">
        <v>78</v>
      </c>
      <c r="D377" t="s">
        <v>79</v>
      </c>
      <c r="E377" t="s">
        <v>31</v>
      </c>
      <c r="F377">
        <v>1</v>
      </c>
      <c r="G377" t="s">
        <v>116</v>
      </c>
      <c r="H377" t="b">
        <v>1</v>
      </c>
      <c r="I377" t="s">
        <v>54</v>
      </c>
      <c r="J377" t="s">
        <v>22</v>
      </c>
      <c r="K377" t="s">
        <v>33</v>
      </c>
      <c r="L377">
        <v>0.2</v>
      </c>
      <c r="M377" t="s">
        <v>40</v>
      </c>
      <c r="N377">
        <v>0.19700000000000001</v>
      </c>
      <c r="O377">
        <v>0.44</v>
      </c>
      <c r="P377">
        <v>0.19400000000000001</v>
      </c>
      <c r="Q377">
        <v>1</v>
      </c>
      <c r="R377">
        <v>15</v>
      </c>
      <c r="S377">
        <v>16</v>
      </c>
    </row>
    <row r="378" spans="1:19" x14ac:dyDescent="0.3">
      <c r="A378">
        <v>375</v>
      </c>
      <c r="B378" t="s">
        <v>95</v>
      </c>
      <c r="C378" t="s">
        <v>78</v>
      </c>
      <c r="D378" t="s">
        <v>79</v>
      </c>
      <c r="E378" t="s">
        <v>31</v>
      </c>
      <c r="F378">
        <v>2</v>
      </c>
      <c r="G378" t="s">
        <v>116</v>
      </c>
      <c r="H378" t="b">
        <v>1</v>
      </c>
      <c r="I378" t="s">
        <v>54</v>
      </c>
      <c r="J378" t="s">
        <v>22</v>
      </c>
      <c r="K378" t="s">
        <v>33</v>
      </c>
      <c r="L378">
        <v>0.18</v>
      </c>
      <c r="M378" t="s">
        <v>40</v>
      </c>
      <c r="N378">
        <v>0.16669999999999999</v>
      </c>
      <c r="O378">
        <v>0.43</v>
      </c>
      <c r="P378">
        <v>0.25369999999999998</v>
      </c>
      <c r="Q378">
        <v>0</v>
      </c>
      <c r="R378">
        <v>8</v>
      </c>
      <c r="S378">
        <v>8</v>
      </c>
    </row>
    <row r="379" spans="1:19" x14ac:dyDescent="0.3">
      <c r="A379">
        <v>376</v>
      </c>
      <c r="B379" t="s">
        <v>95</v>
      </c>
      <c r="C379" t="s">
        <v>78</v>
      </c>
      <c r="D379" t="s">
        <v>79</v>
      </c>
      <c r="E379" t="s">
        <v>31</v>
      </c>
      <c r="F379">
        <v>3</v>
      </c>
      <c r="G379" t="s">
        <v>116</v>
      </c>
      <c r="H379" t="b">
        <v>1</v>
      </c>
      <c r="I379" t="s">
        <v>54</v>
      </c>
      <c r="J379" t="s">
        <v>22</v>
      </c>
      <c r="K379" t="s">
        <v>33</v>
      </c>
      <c r="L379">
        <v>0.18</v>
      </c>
      <c r="M379" t="s">
        <v>40</v>
      </c>
      <c r="N379">
        <v>0.18179999999999999</v>
      </c>
      <c r="O379">
        <v>0.43</v>
      </c>
      <c r="P379">
        <v>0.19400000000000001</v>
      </c>
      <c r="Q379">
        <v>0</v>
      </c>
      <c r="R379">
        <v>2</v>
      </c>
      <c r="S379">
        <v>2</v>
      </c>
    </row>
    <row r="380" spans="1:19" x14ac:dyDescent="0.3">
      <c r="A380">
        <v>377</v>
      </c>
      <c r="B380" t="s">
        <v>95</v>
      </c>
      <c r="C380" t="s">
        <v>78</v>
      </c>
      <c r="D380" t="s">
        <v>79</v>
      </c>
      <c r="E380" t="s">
        <v>31</v>
      </c>
      <c r="F380">
        <v>4</v>
      </c>
      <c r="G380" t="s">
        <v>116</v>
      </c>
      <c r="H380" t="b">
        <v>1</v>
      </c>
      <c r="I380" t="s">
        <v>54</v>
      </c>
      <c r="J380" t="s">
        <v>22</v>
      </c>
      <c r="K380" t="s">
        <v>33</v>
      </c>
      <c r="L380">
        <v>0.18</v>
      </c>
      <c r="M380" t="s">
        <v>40</v>
      </c>
      <c r="N380">
        <v>0.19700000000000001</v>
      </c>
      <c r="O380">
        <v>0.43</v>
      </c>
      <c r="P380">
        <v>0.1343</v>
      </c>
      <c r="Q380">
        <v>1</v>
      </c>
      <c r="R380">
        <v>2</v>
      </c>
      <c r="S380">
        <v>3</v>
      </c>
    </row>
    <row r="381" spans="1:19" x14ac:dyDescent="0.3">
      <c r="A381">
        <v>378</v>
      </c>
      <c r="B381" t="s">
        <v>95</v>
      </c>
      <c r="C381" t="s">
        <v>78</v>
      </c>
      <c r="D381" t="s">
        <v>79</v>
      </c>
      <c r="E381" t="s">
        <v>31</v>
      </c>
      <c r="F381">
        <v>5</v>
      </c>
      <c r="G381" t="s">
        <v>116</v>
      </c>
      <c r="H381" t="b">
        <v>1</v>
      </c>
      <c r="I381" t="s">
        <v>54</v>
      </c>
      <c r="J381" t="s">
        <v>22</v>
      </c>
      <c r="K381" t="s">
        <v>33</v>
      </c>
      <c r="L381">
        <v>0.18</v>
      </c>
      <c r="M381" t="s">
        <v>40</v>
      </c>
      <c r="N381">
        <v>0.19700000000000001</v>
      </c>
      <c r="O381">
        <v>0.43</v>
      </c>
      <c r="P381">
        <v>0.16420000000000001</v>
      </c>
      <c r="Q381">
        <v>0</v>
      </c>
      <c r="R381">
        <v>1</v>
      </c>
      <c r="S381">
        <v>1</v>
      </c>
    </row>
    <row r="382" spans="1:19" x14ac:dyDescent="0.3">
      <c r="A382">
        <v>379</v>
      </c>
      <c r="B382" t="s">
        <v>95</v>
      </c>
      <c r="C382" t="s">
        <v>78</v>
      </c>
      <c r="D382" t="s">
        <v>79</v>
      </c>
      <c r="E382" t="s">
        <v>31</v>
      </c>
      <c r="F382">
        <v>6</v>
      </c>
      <c r="G382" t="s">
        <v>115</v>
      </c>
      <c r="H382" t="b">
        <v>1</v>
      </c>
      <c r="I382" t="s">
        <v>54</v>
      </c>
      <c r="J382" t="s">
        <v>22</v>
      </c>
      <c r="K382" t="s">
        <v>33</v>
      </c>
      <c r="L382">
        <v>0.18</v>
      </c>
      <c r="M382" t="s">
        <v>40</v>
      </c>
      <c r="N382">
        <v>0.18179999999999999</v>
      </c>
      <c r="O382">
        <v>0.43</v>
      </c>
      <c r="P382">
        <v>0.19400000000000001</v>
      </c>
      <c r="Q382">
        <v>0</v>
      </c>
      <c r="R382">
        <v>5</v>
      </c>
      <c r="S382">
        <v>5</v>
      </c>
    </row>
    <row r="383" spans="1:19" x14ac:dyDescent="0.3">
      <c r="A383">
        <v>380</v>
      </c>
      <c r="B383" t="s">
        <v>95</v>
      </c>
      <c r="C383" t="s">
        <v>78</v>
      </c>
      <c r="D383" t="s">
        <v>79</v>
      </c>
      <c r="E383" t="s">
        <v>31</v>
      </c>
      <c r="F383">
        <v>7</v>
      </c>
      <c r="G383" t="s">
        <v>115</v>
      </c>
      <c r="H383" t="b">
        <v>1</v>
      </c>
      <c r="I383" t="s">
        <v>54</v>
      </c>
      <c r="J383" t="s">
        <v>22</v>
      </c>
      <c r="K383" t="s">
        <v>33</v>
      </c>
      <c r="L383">
        <v>0.16</v>
      </c>
      <c r="M383" t="s">
        <v>40</v>
      </c>
      <c r="N383">
        <v>0.18179999999999999</v>
      </c>
      <c r="O383">
        <v>0.5</v>
      </c>
      <c r="P383">
        <v>0.1343</v>
      </c>
      <c r="Q383">
        <v>4</v>
      </c>
      <c r="R383">
        <v>9</v>
      </c>
      <c r="S383">
        <v>13</v>
      </c>
    </row>
    <row r="384" spans="1:19" x14ac:dyDescent="0.3">
      <c r="A384">
        <v>381</v>
      </c>
      <c r="B384" t="s">
        <v>95</v>
      </c>
      <c r="C384" t="s">
        <v>78</v>
      </c>
      <c r="D384" t="s">
        <v>79</v>
      </c>
      <c r="E384" t="s">
        <v>31</v>
      </c>
      <c r="F384">
        <v>8</v>
      </c>
      <c r="G384" t="s">
        <v>115</v>
      </c>
      <c r="H384" t="b">
        <v>1</v>
      </c>
      <c r="I384" t="s">
        <v>54</v>
      </c>
      <c r="J384" t="s">
        <v>22</v>
      </c>
      <c r="K384" t="s">
        <v>33</v>
      </c>
      <c r="L384">
        <v>0.16</v>
      </c>
      <c r="M384" t="s">
        <v>40</v>
      </c>
      <c r="N384">
        <v>0.1515</v>
      </c>
      <c r="O384">
        <v>0.47</v>
      </c>
      <c r="P384">
        <v>0.22389999999999999</v>
      </c>
      <c r="Q384">
        <v>3</v>
      </c>
      <c r="R384">
        <v>30</v>
      </c>
      <c r="S384">
        <v>33</v>
      </c>
    </row>
    <row r="385" spans="1:19" x14ac:dyDescent="0.3">
      <c r="A385">
        <v>382</v>
      </c>
      <c r="B385" t="s">
        <v>95</v>
      </c>
      <c r="C385" t="s">
        <v>78</v>
      </c>
      <c r="D385" t="s">
        <v>79</v>
      </c>
      <c r="E385" t="s">
        <v>31</v>
      </c>
      <c r="F385">
        <v>9</v>
      </c>
      <c r="G385" t="s">
        <v>115</v>
      </c>
      <c r="H385" t="b">
        <v>1</v>
      </c>
      <c r="I385" t="s">
        <v>54</v>
      </c>
      <c r="J385" t="s">
        <v>22</v>
      </c>
      <c r="K385" t="s">
        <v>33</v>
      </c>
      <c r="L385">
        <v>0.16</v>
      </c>
      <c r="M385" t="s">
        <v>40</v>
      </c>
      <c r="N385">
        <v>0.1515</v>
      </c>
      <c r="O385">
        <v>0.47</v>
      </c>
      <c r="P385">
        <v>0.22389999999999999</v>
      </c>
      <c r="Q385">
        <v>8</v>
      </c>
      <c r="R385">
        <v>39</v>
      </c>
      <c r="S385">
        <v>47</v>
      </c>
    </row>
    <row r="386" spans="1:19" x14ac:dyDescent="0.3">
      <c r="A386">
        <v>383</v>
      </c>
      <c r="B386" t="s">
        <v>95</v>
      </c>
      <c r="C386" t="s">
        <v>78</v>
      </c>
      <c r="D386" t="s">
        <v>79</v>
      </c>
      <c r="E386" t="s">
        <v>31</v>
      </c>
      <c r="F386">
        <v>10</v>
      </c>
      <c r="G386" t="s">
        <v>115</v>
      </c>
      <c r="H386" t="b">
        <v>1</v>
      </c>
      <c r="I386" t="s">
        <v>54</v>
      </c>
      <c r="J386" t="s">
        <v>22</v>
      </c>
      <c r="K386" t="s">
        <v>33</v>
      </c>
      <c r="L386">
        <v>0.16</v>
      </c>
      <c r="M386" t="s">
        <v>40</v>
      </c>
      <c r="N386">
        <v>0.1515</v>
      </c>
      <c r="O386">
        <v>0.5</v>
      </c>
      <c r="P386">
        <v>0.25369999999999998</v>
      </c>
      <c r="Q386">
        <v>7</v>
      </c>
      <c r="R386">
        <v>50</v>
      </c>
      <c r="S386">
        <v>57</v>
      </c>
    </row>
    <row r="387" spans="1:19" x14ac:dyDescent="0.3">
      <c r="A387">
        <v>384</v>
      </c>
      <c r="B387" t="s">
        <v>95</v>
      </c>
      <c r="C387" t="s">
        <v>78</v>
      </c>
      <c r="D387" t="s">
        <v>79</v>
      </c>
      <c r="E387" t="s">
        <v>31</v>
      </c>
      <c r="F387">
        <v>11</v>
      </c>
      <c r="G387" t="s">
        <v>115</v>
      </c>
      <c r="H387" t="b">
        <v>1</v>
      </c>
      <c r="I387" t="s">
        <v>54</v>
      </c>
      <c r="J387" t="s">
        <v>22</v>
      </c>
      <c r="K387" t="s">
        <v>33</v>
      </c>
      <c r="L387">
        <v>0.16</v>
      </c>
      <c r="M387" t="s">
        <v>40</v>
      </c>
      <c r="N387">
        <v>0.1515</v>
      </c>
      <c r="O387">
        <v>0.55000000000000004</v>
      </c>
      <c r="P387">
        <v>0.19400000000000001</v>
      </c>
      <c r="Q387">
        <v>9</v>
      </c>
      <c r="R387">
        <v>55</v>
      </c>
      <c r="S387">
        <v>64</v>
      </c>
    </row>
    <row r="388" spans="1:19" x14ac:dyDescent="0.3">
      <c r="A388">
        <v>385</v>
      </c>
      <c r="B388" t="s">
        <v>95</v>
      </c>
      <c r="C388" t="s">
        <v>78</v>
      </c>
      <c r="D388" t="s">
        <v>79</v>
      </c>
      <c r="E388" t="s">
        <v>31</v>
      </c>
      <c r="F388">
        <v>12</v>
      </c>
      <c r="G388" t="s">
        <v>114</v>
      </c>
      <c r="H388" t="b">
        <v>1</v>
      </c>
      <c r="I388" t="s">
        <v>54</v>
      </c>
      <c r="J388" t="s">
        <v>22</v>
      </c>
      <c r="K388" t="s">
        <v>33</v>
      </c>
      <c r="L388">
        <v>0.18</v>
      </c>
      <c r="M388" t="s">
        <v>40</v>
      </c>
      <c r="N388">
        <v>0.19700000000000001</v>
      </c>
      <c r="O388">
        <v>0.47</v>
      </c>
      <c r="P388">
        <v>0.1343</v>
      </c>
      <c r="Q388">
        <v>10</v>
      </c>
      <c r="R388">
        <v>70</v>
      </c>
      <c r="S388">
        <v>80</v>
      </c>
    </row>
    <row r="389" spans="1:19" x14ac:dyDescent="0.3">
      <c r="A389">
        <v>386</v>
      </c>
      <c r="B389" t="s">
        <v>95</v>
      </c>
      <c r="C389" t="s">
        <v>78</v>
      </c>
      <c r="D389" t="s">
        <v>79</v>
      </c>
      <c r="E389" t="s">
        <v>31</v>
      </c>
      <c r="F389">
        <v>13</v>
      </c>
      <c r="G389" t="s">
        <v>114</v>
      </c>
      <c r="H389" t="b">
        <v>1</v>
      </c>
      <c r="I389" t="s">
        <v>54</v>
      </c>
      <c r="J389" t="s">
        <v>22</v>
      </c>
      <c r="K389" t="s">
        <v>33</v>
      </c>
      <c r="L389">
        <v>0.18</v>
      </c>
      <c r="M389" t="s">
        <v>40</v>
      </c>
      <c r="N389">
        <v>0.19700000000000001</v>
      </c>
      <c r="O389">
        <v>0.47</v>
      </c>
      <c r="P389">
        <v>0.1343</v>
      </c>
      <c r="Q389">
        <v>13</v>
      </c>
      <c r="R389">
        <v>80</v>
      </c>
      <c r="S389">
        <v>93</v>
      </c>
    </row>
    <row r="390" spans="1:19" x14ac:dyDescent="0.3">
      <c r="A390">
        <v>387</v>
      </c>
      <c r="B390" t="s">
        <v>95</v>
      </c>
      <c r="C390" t="s">
        <v>78</v>
      </c>
      <c r="D390" t="s">
        <v>79</v>
      </c>
      <c r="E390" t="s">
        <v>31</v>
      </c>
      <c r="F390">
        <v>14</v>
      </c>
      <c r="G390" t="s">
        <v>114</v>
      </c>
      <c r="H390" t="b">
        <v>1</v>
      </c>
      <c r="I390" t="s">
        <v>54</v>
      </c>
      <c r="J390" t="s">
        <v>22</v>
      </c>
      <c r="K390" t="s">
        <v>33</v>
      </c>
      <c r="L390">
        <v>0.18</v>
      </c>
      <c r="M390" t="s">
        <v>40</v>
      </c>
      <c r="N390">
        <v>0.21210000000000001</v>
      </c>
      <c r="O390">
        <v>0.43</v>
      </c>
      <c r="P390">
        <v>0.1045</v>
      </c>
      <c r="Q390">
        <v>12</v>
      </c>
      <c r="R390">
        <v>74</v>
      </c>
      <c r="S390">
        <v>86</v>
      </c>
    </row>
    <row r="391" spans="1:19" x14ac:dyDescent="0.3">
      <c r="A391">
        <v>388</v>
      </c>
      <c r="B391" t="s">
        <v>95</v>
      </c>
      <c r="C391" t="s">
        <v>78</v>
      </c>
      <c r="D391" t="s">
        <v>79</v>
      </c>
      <c r="E391" t="s">
        <v>31</v>
      </c>
      <c r="F391">
        <v>15</v>
      </c>
      <c r="G391" t="s">
        <v>114</v>
      </c>
      <c r="H391" t="b">
        <v>1</v>
      </c>
      <c r="I391" t="s">
        <v>54</v>
      </c>
      <c r="J391" t="s">
        <v>22</v>
      </c>
      <c r="K391" t="s">
        <v>33</v>
      </c>
      <c r="L391">
        <v>0.2</v>
      </c>
      <c r="M391" t="s">
        <v>40</v>
      </c>
      <c r="N391">
        <v>0.21210000000000001</v>
      </c>
      <c r="O391">
        <v>0.47</v>
      </c>
      <c r="P391">
        <v>0.16420000000000001</v>
      </c>
      <c r="Q391">
        <v>21</v>
      </c>
      <c r="R391">
        <v>72</v>
      </c>
      <c r="S391">
        <v>93</v>
      </c>
    </row>
    <row r="392" spans="1:19" x14ac:dyDescent="0.3">
      <c r="A392">
        <v>389</v>
      </c>
      <c r="B392" t="s">
        <v>95</v>
      </c>
      <c r="C392" t="s">
        <v>78</v>
      </c>
      <c r="D392" t="s">
        <v>79</v>
      </c>
      <c r="E392" t="s">
        <v>31</v>
      </c>
      <c r="F392">
        <v>16</v>
      </c>
      <c r="G392" t="s">
        <v>114</v>
      </c>
      <c r="H392" t="b">
        <v>1</v>
      </c>
      <c r="I392" t="s">
        <v>54</v>
      </c>
      <c r="J392" t="s">
        <v>22</v>
      </c>
      <c r="K392" t="s">
        <v>33</v>
      </c>
      <c r="L392">
        <v>0.2</v>
      </c>
      <c r="M392" t="s">
        <v>40</v>
      </c>
      <c r="N392">
        <v>0.21210000000000001</v>
      </c>
      <c r="O392">
        <v>0.47</v>
      </c>
      <c r="P392">
        <v>0.16420000000000001</v>
      </c>
      <c r="Q392">
        <v>6</v>
      </c>
      <c r="R392">
        <v>76</v>
      </c>
      <c r="S392">
        <v>82</v>
      </c>
    </row>
    <row r="393" spans="1:19" x14ac:dyDescent="0.3">
      <c r="A393">
        <v>390</v>
      </c>
      <c r="B393" t="s">
        <v>95</v>
      </c>
      <c r="C393" t="s">
        <v>78</v>
      </c>
      <c r="D393" t="s">
        <v>79</v>
      </c>
      <c r="E393" t="s">
        <v>31</v>
      </c>
      <c r="F393">
        <v>17</v>
      </c>
      <c r="G393" t="s">
        <v>114</v>
      </c>
      <c r="H393" t="b">
        <v>1</v>
      </c>
      <c r="I393" t="s">
        <v>54</v>
      </c>
      <c r="J393" t="s">
        <v>22</v>
      </c>
      <c r="K393" t="s">
        <v>32</v>
      </c>
      <c r="L393">
        <v>0.2</v>
      </c>
      <c r="M393" t="s">
        <v>40</v>
      </c>
      <c r="N393">
        <v>0.19700000000000001</v>
      </c>
      <c r="O393">
        <v>0.51</v>
      </c>
      <c r="P393">
        <v>0.19400000000000001</v>
      </c>
      <c r="Q393">
        <v>4</v>
      </c>
      <c r="R393">
        <v>67</v>
      </c>
      <c r="S393">
        <v>71</v>
      </c>
    </row>
    <row r="394" spans="1:19" x14ac:dyDescent="0.3">
      <c r="A394">
        <v>391</v>
      </c>
      <c r="B394" t="s">
        <v>95</v>
      </c>
      <c r="C394" t="s">
        <v>78</v>
      </c>
      <c r="D394" t="s">
        <v>79</v>
      </c>
      <c r="E394" t="s">
        <v>31</v>
      </c>
      <c r="F394">
        <v>18</v>
      </c>
      <c r="G394" t="s">
        <v>113</v>
      </c>
      <c r="H394" t="b">
        <v>1</v>
      </c>
      <c r="I394" t="s">
        <v>54</v>
      </c>
      <c r="J394" t="s">
        <v>22</v>
      </c>
      <c r="K394" t="s">
        <v>33</v>
      </c>
      <c r="L394">
        <v>0.18</v>
      </c>
      <c r="M394" t="s">
        <v>40</v>
      </c>
      <c r="N394">
        <v>0.16669999999999999</v>
      </c>
      <c r="O394">
        <v>0.55000000000000004</v>
      </c>
      <c r="P394">
        <v>0.25369999999999998</v>
      </c>
      <c r="Q394">
        <v>7</v>
      </c>
      <c r="R394">
        <v>85</v>
      </c>
      <c r="S394">
        <v>92</v>
      </c>
    </row>
    <row r="395" spans="1:19" x14ac:dyDescent="0.3">
      <c r="A395">
        <v>392</v>
      </c>
      <c r="B395" t="s">
        <v>95</v>
      </c>
      <c r="C395" t="s">
        <v>78</v>
      </c>
      <c r="D395" t="s">
        <v>79</v>
      </c>
      <c r="E395" t="s">
        <v>31</v>
      </c>
      <c r="F395">
        <v>19</v>
      </c>
      <c r="G395" t="s">
        <v>113</v>
      </c>
      <c r="H395" t="b">
        <v>1</v>
      </c>
      <c r="I395" t="s">
        <v>54</v>
      </c>
      <c r="J395" t="s">
        <v>22</v>
      </c>
      <c r="K395" t="s">
        <v>34</v>
      </c>
      <c r="L395">
        <v>0.18</v>
      </c>
      <c r="M395" t="s">
        <v>40</v>
      </c>
      <c r="N395">
        <v>0.18179999999999999</v>
      </c>
      <c r="O395">
        <v>0.59</v>
      </c>
      <c r="P395">
        <v>0.19400000000000001</v>
      </c>
      <c r="Q395">
        <v>2</v>
      </c>
      <c r="R395">
        <v>58</v>
      </c>
      <c r="S395">
        <v>60</v>
      </c>
    </row>
    <row r="396" spans="1:19" x14ac:dyDescent="0.3">
      <c r="A396">
        <v>393</v>
      </c>
      <c r="B396" t="s">
        <v>95</v>
      </c>
      <c r="C396" t="s">
        <v>78</v>
      </c>
      <c r="D396" t="s">
        <v>79</v>
      </c>
      <c r="E396" t="s">
        <v>31</v>
      </c>
      <c r="F396">
        <v>20</v>
      </c>
      <c r="G396" t="s">
        <v>113</v>
      </c>
      <c r="H396" t="b">
        <v>1</v>
      </c>
      <c r="I396" t="s">
        <v>54</v>
      </c>
      <c r="J396" t="s">
        <v>22</v>
      </c>
      <c r="K396" t="s">
        <v>34</v>
      </c>
      <c r="L396">
        <v>0.16</v>
      </c>
      <c r="M396" t="s">
        <v>40</v>
      </c>
      <c r="N396">
        <v>0.1515</v>
      </c>
      <c r="O396">
        <v>0.8</v>
      </c>
      <c r="P396">
        <v>0.19400000000000001</v>
      </c>
      <c r="Q396">
        <v>4</v>
      </c>
      <c r="R396">
        <v>29</v>
      </c>
      <c r="S396">
        <v>33</v>
      </c>
    </row>
    <row r="397" spans="1:19" x14ac:dyDescent="0.3">
      <c r="A397">
        <v>394</v>
      </c>
      <c r="B397" t="s">
        <v>95</v>
      </c>
      <c r="C397" t="s">
        <v>78</v>
      </c>
      <c r="D397" t="s">
        <v>79</v>
      </c>
      <c r="E397" t="s">
        <v>31</v>
      </c>
      <c r="F397">
        <v>21</v>
      </c>
      <c r="G397" t="s">
        <v>113</v>
      </c>
      <c r="H397" t="b">
        <v>1</v>
      </c>
      <c r="I397" t="s">
        <v>54</v>
      </c>
      <c r="J397" t="s">
        <v>22</v>
      </c>
      <c r="K397" t="s">
        <v>34</v>
      </c>
      <c r="L397">
        <v>0.16</v>
      </c>
      <c r="M397" t="s">
        <v>40</v>
      </c>
      <c r="N397">
        <v>0.1515</v>
      </c>
      <c r="O397">
        <v>0.8</v>
      </c>
      <c r="P397">
        <v>0.19400000000000001</v>
      </c>
      <c r="Q397">
        <v>3</v>
      </c>
      <c r="R397">
        <v>24</v>
      </c>
      <c r="S397">
        <v>27</v>
      </c>
    </row>
    <row r="398" spans="1:19" x14ac:dyDescent="0.3">
      <c r="A398">
        <v>395</v>
      </c>
      <c r="B398" t="s">
        <v>95</v>
      </c>
      <c r="C398" t="s">
        <v>78</v>
      </c>
      <c r="D398" t="s">
        <v>79</v>
      </c>
      <c r="E398" t="s">
        <v>31</v>
      </c>
      <c r="F398">
        <v>22</v>
      </c>
      <c r="G398" t="s">
        <v>113</v>
      </c>
      <c r="H398" t="b">
        <v>1</v>
      </c>
      <c r="I398" t="s">
        <v>54</v>
      </c>
      <c r="J398" t="s">
        <v>22</v>
      </c>
      <c r="K398" t="s">
        <v>34</v>
      </c>
      <c r="L398">
        <v>0.14000000000000001</v>
      </c>
      <c r="M398" t="s">
        <v>44</v>
      </c>
      <c r="N398">
        <v>0.1212</v>
      </c>
      <c r="O398">
        <v>0.93</v>
      </c>
      <c r="P398">
        <v>0.25369999999999998</v>
      </c>
      <c r="Q398">
        <v>0</v>
      </c>
      <c r="R398">
        <v>13</v>
      </c>
      <c r="S398">
        <v>13</v>
      </c>
    </row>
    <row r="399" spans="1:19" x14ac:dyDescent="0.3">
      <c r="A399">
        <v>396</v>
      </c>
      <c r="B399" t="s">
        <v>95</v>
      </c>
      <c r="C399" t="s">
        <v>78</v>
      </c>
      <c r="D399" t="s">
        <v>79</v>
      </c>
      <c r="E399" t="s">
        <v>31</v>
      </c>
      <c r="F399">
        <v>23</v>
      </c>
      <c r="G399" t="s">
        <v>113</v>
      </c>
      <c r="H399" t="b">
        <v>1</v>
      </c>
      <c r="I399" t="s">
        <v>54</v>
      </c>
      <c r="J399" t="s">
        <v>22</v>
      </c>
      <c r="K399" t="s">
        <v>34</v>
      </c>
      <c r="L399">
        <v>0.16</v>
      </c>
      <c r="M399" t="s">
        <v>40</v>
      </c>
      <c r="N399">
        <v>0.13639999999999999</v>
      </c>
      <c r="O399">
        <v>0.86</v>
      </c>
      <c r="P399">
        <v>0.28360000000000002</v>
      </c>
      <c r="Q399">
        <v>1</v>
      </c>
      <c r="R399">
        <v>3</v>
      </c>
      <c r="S399">
        <v>4</v>
      </c>
    </row>
    <row r="400" spans="1:19" x14ac:dyDescent="0.3">
      <c r="A400">
        <v>397</v>
      </c>
      <c r="B400" t="s">
        <v>96</v>
      </c>
      <c r="C400" t="s">
        <v>78</v>
      </c>
      <c r="D400" t="s">
        <v>79</v>
      </c>
      <c r="E400" t="s">
        <v>31</v>
      </c>
      <c r="F400">
        <v>12</v>
      </c>
      <c r="G400" t="s">
        <v>114</v>
      </c>
      <c r="H400" t="b">
        <v>0</v>
      </c>
      <c r="I400" t="s">
        <v>55</v>
      </c>
      <c r="J400" t="s">
        <v>22</v>
      </c>
      <c r="K400" t="s">
        <v>33</v>
      </c>
      <c r="L400">
        <v>0.2</v>
      </c>
      <c r="M400" t="s">
        <v>40</v>
      </c>
      <c r="N400">
        <v>0.18179999999999999</v>
      </c>
      <c r="O400">
        <v>0.86</v>
      </c>
      <c r="P400">
        <v>0.32840000000000003</v>
      </c>
      <c r="Q400">
        <v>0</v>
      </c>
      <c r="R400">
        <v>3</v>
      </c>
      <c r="S400">
        <v>3</v>
      </c>
    </row>
    <row r="401" spans="1:19" x14ac:dyDescent="0.3">
      <c r="A401">
        <v>398</v>
      </c>
      <c r="B401" t="s">
        <v>96</v>
      </c>
      <c r="C401" t="s">
        <v>78</v>
      </c>
      <c r="D401" t="s">
        <v>79</v>
      </c>
      <c r="E401" t="s">
        <v>31</v>
      </c>
      <c r="F401">
        <v>13</v>
      </c>
      <c r="G401" t="s">
        <v>114</v>
      </c>
      <c r="H401" t="b">
        <v>0</v>
      </c>
      <c r="I401" t="s">
        <v>55</v>
      </c>
      <c r="J401" t="s">
        <v>22</v>
      </c>
      <c r="K401" t="s">
        <v>33</v>
      </c>
      <c r="L401">
        <v>0.2</v>
      </c>
      <c r="M401" t="s">
        <v>40</v>
      </c>
      <c r="N401">
        <v>0.19700000000000001</v>
      </c>
      <c r="O401">
        <v>0.86</v>
      </c>
      <c r="P401">
        <v>0.22389999999999999</v>
      </c>
      <c r="Q401">
        <v>0</v>
      </c>
      <c r="R401">
        <v>22</v>
      </c>
      <c r="S401">
        <v>22</v>
      </c>
    </row>
    <row r="402" spans="1:19" x14ac:dyDescent="0.3">
      <c r="A402">
        <v>399</v>
      </c>
      <c r="B402" t="s">
        <v>96</v>
      </c>
      <c r="C402" t="s">
        <v>78</v>
      </c>
      <c r="D402" t="s">
        <v>79</v>
      </c>
      <c r="E402" t="s">
        <v>31</v>
      </c>
      <c r="F402">
        <v>14</v>
      </c>
      <c r="G402" t="s">
        <v>114</v>
      </c>
      <c r="H402" t="b">
        <v>0</v>
      </c>
      <c r="I402" t="s">
        <v>55</v>
      </c>
      <c r="J402" t="s">
        <v>22</v>
      </c>
      <c r="K402" t="s">
        <v>33</v>
      </c>
      <c r="L402">
        <v>0.22</v>
      </c>
      <c r="M402" t="s">
        <v>40</v>
      </c>
      <c r="N402">
        <v>0.2273</v>
      </c>
      <c r="O402">
        <v>0.8</v>
      </c>
      <c r="P402">
        <v>0.16420000000000001</v>
      </c>
      <c r="Q402">
        <v>2</v>
      </c>
      <c r="R402">
        <v>26</v>
      </c>
      <c r="S402">
        <v>28</v>
      </c>
    </row>
    <row r="403" spans="1:19" x14ac:dyDescent="0.3">
      <c r="A403">
        <v>400</v>
      </c>
      <c r="B403" t="s">
        <v>96</v>
      </c>
      <c r="C403" t="s">
        <v>78</v>
      </c>
      <c r="D403" t="s">
        <v>79</v>
      </c>
      <c r="E403" t="s">
        <v>31</v>
      </c>
      <c r="F403">
        <v>15</v>
      </c>
      <c r="G403" t="s">
        <v>114</v>
      </c>
      <c r="H403" t="b">
        <v>0</v>
      </c>
      <c r="I403" t="s">
        <v>55</v>
      </c>
      <c r="J403" t="s">
        <v>22</v>
      </c>
      <c r="K403" t="s">
        <v>33</v>
      </c>
      <c r="L403">
        <v>0.22</v>
      </c>
      <c r="M403" t="s">
        <v>40</v>
      </c>
      <c r="N403">
        <v>0.2273</v>
      </c>
      <c r="O403">
        <v>0.87</v>
      </c>
      <c r="P403">
        <v>0.16420000000000001</v>
      </c>
      <c r="Q403">
        <v>3</v>
      </c>
      <c r="R403">
        <v>32</v>
      </c>
      <c r="S403">
        <v>35</v>
      </c>
    </row>
    <row r="404" spans="1:19" x14ac:dyDescent="0.3">
      <c r="A404">
        <v>401</v>
      </c>
      <c r="B404" t="s">
        <v>96</v>
      </c>
      <c r="C404" t="s">
        <v>78</v>
      </c>
      <c r="D404" t="s">
        <v>79</v>
      </c>
      <c r="E404" t="s">
        <v>31</v>
      </c>
      <c r="F404">
        <v>16</v>
      </c>
      <c r="G404" t="s">
        <v>114</v>
      </c>
      <c r="H404" t="b">
        <v>0</v>
      </c>
      <c r="I404" t="s">
        <v>55</v>
      </c>
      <c r="J404" t="s">
        <v>22</v>
      </c>
      <c r="K404" t="s">
        <v>33</v>
      </c>
      <c r="L404">
        <v>0.22</v>
      </c>
      <c r="M404" t="s">
        <v>40</v>
      </c>
      <c r="N404">
        <v>0.2273</v>
      </c>
      <c r="O404">
        <v>0.87</v>
      </c>
      <c r="P404">
        <v>0.19400000000000001</v>
      </c>
      <c r="Q404">
        <v>0</v>
      </c>
      <c r="R404">
        <v>61</v>
      </c>
      <c r="S404">
        <v>61</v>
      </c>
    </row>
    <row r="405" spans="1:19" x14ac:dyDescent="0.3">
      <c r="A405">
        <v>402</v>
      </c>
      <c r="B405" t="s">
        <v>96</v>
      </c>
      <c r="C405" t="s">
        <v>78</v>
      </c>
      <c r="D405" t="s">
        <v>79</v>
      </c>
      <c r="E405" t="s">
        <v>31</v>
      </c>
      <c r="F405">
        <v>17</v>
      </c>
      <c r="G405" t="s">
        <v>114</v>
      </c>
      <c r="H405" t="b">
        <v>0</v>
      </c>
      <c r="I405" t="s">
        <v>55</v>
      </c>
      <c r="J405" t="s">
        <v>22</v>
      </c>
      <c r="K405" t="s">
        <v>33</v>
      </c>
      <c r="L405">
        <v>0.22</v>
      </c>
      <c r="M405" t="s">
        <v>40</v>
      </c>
      <c r="N405">
        <v>0.2273</v>
      </c>
      <c r="O405">
        <v>0.82</v>
      </c>
      <c r="P405">
        <v>0.19400000000000001</v>
      </c>
      <c r="Q405">
        <v>1</v>
      </c>
      <c r="R405">
        <v>124</v>
      </c>
      <c r="S405">
        <v>125</v>
      </c>
    </row>
    <row r="406" spans="1:19" x14ac:dyDescent="0.3">
      <c r="A406">
        <v>403</v>
      </c>
      <c r="B406" t="s">
        <v>96</v>
      </c>
      <c r="C406" t="s">
        <v>78</v>
      </c>
      <c r="D406" t="s">
        <v>79</v>
      </c>
      <c r="E406" t="s">
        <v>31</v>
      </c>
      <c r="F406">
        <v>18</v>
      </c>
      <c r="G406" t="s">
        <v>113</v>
      </c>
      <c r="H406" t="b">
        <v>0</v>
      </c>
      <c r="I406" t="s">
        <v>55</v>
      </c>
      <c r="J406" t="s">
        <v>22</v>
      </c>
      <c r="K406" t="s">
        <v>33</v>
      </c>
      <c r="L406">
        <v>0.22</v>
      </c>
      <c r="M406" t="s">
        <v>40</v>
      </c>
      <c r="N406">
        <v>0.2273</v>
      </c>
      <c r="O406">
        <v>0.8</v>
      </c>
      <c r="P406">
        <v>0.16420000000000001</v>
      </c>
      <c r="Q406">
        <v>1</v>
      </c>
      <c r="R406">
        <v>132</v>
      </c>
      <c r="S406">
        <v>133</v>
      </c>
    </row>
    <row r="407" spans="1:19" x14ac:dyDescent="0.3">
      <c r="A407">
        <v>404</v>
      </c>
      <c r="B407" t="s">
        <v>96</v>
      </c>
      <c r="C407" t="s">
        <v>78</v>
      </c>
      <c r="D407" t="s">
        <v>79</v>
      </c>
      <c r="E407" t="s">
        <v>31</v>
      </c>
      <c r="F407">
        <v>19</v>
      </c>
      <c r="G407" t="s">
        <v>113</v>
      </c>
      <c r="H407" t="b">
        <v>0</v>
      </c>
      <c r="I407" t="s">
        <v>55</v>
      </c>
      <c r="J407" t="s">
        <v>22</v>
      </c>
      <c r="K407" t="s">
        <v>33</v>
      </c>
      <c r="L407">
        <v>0.22</v>
      </c>
      <c r="M407" t="s">
        <v>40</v>
      </c>
      <c r="N407">
        <v>0.2273</v>
      </c>
      <c r="O407">
        <v>0.8</v>
      </c>
      <c r="P407">
        <v>0.1343</v>
      </c>
      <c r="Q407">
        <v>1</v>
      </c>
      <c r="R407">
        <v>98</v>
      </c>
      <c r="S407">
        <v>99</v>
      </c>
    </row>
    <row r="408" spans="1:19" x14ac:dyDescent="0.3">
      <c r="A408">
        <v>405</v>
      </c>
      <c r="B408" t="s">
        <v>96</v>
      </c>
      <c r="C408" t="s">
        <v>78</v>
      </c>
      <c r="D408" t="s">
        <v>79</v>
      </c>
      <c r="E408" t="s">
        <v>31</v>
      </c>
      <c r="F408">
        <v>20</v>
      </c>
      <c r="G408" t="s">
        <v>113</v>
      </c>
      <c r="H408" t="b">
        <v>0</v>
      </c>
      <c r="I408" t="s">
        <v>55</v>
      </c>
      <c r="J408" t="s">
        <v>22</v>
      </c>
      <c r="K408" t="s">
        <v>33</v>
      </c>
      <c r="L408">
        <v>0.22</v>
      </c>
      <c r="M408" t="s">
        <v>40</v>
      </c>
      <c r="N408">
        <v>0.2727</v>
      </c>
      <c r="O408">
        <v>0.87</v>
      </c>
      <c r="P408">
        <v>0</v>
      </c>
      <c r="Q408">
        <v>0</v>
      </c>
      <c r="R408">
        <v>83</v>
      </c>
      <c r="S408">
        <v>83</v>
      </c>
    </row>
    <row r="409" spans="1:19" x14ac:dyDescent="0.3">
      <c r="A409">
        <v>406</v>
      </c>
      <c r="B409" t="s">
        <v>96</v>
      </c>
      <c r="C409" t="s">
        <v>78</v>
      </c>
      <c r="D409" t="s">
        <v>79</v>
      </c>
      <c r="E409" t="s">
        <v>31</v>
      </c>
      <c r="F409">
        <v>21</v>
      </c>
      <c r="G409" t="s">
        <v>113</v>
      </c>
      <c r="H409" t="b">
        <v>0</v>
      </c>
      <c r="I409" t="s">
        <v>55</v>
      </c>
      <c r="J409" t="s">
        <v>22</v>
      </c>
      <c r="K409" t="s">
        <v>33</v>
      </c>
      <c r="L409">
        <v>0.22</v>
      </c>
      <c r="M409" t="s">
        <v>40</v>
      </c>
      <c r="N409">
        <v>0.2424</v>
      </c>
      <c r="O409">
        <v>0.93</v>
      </c>
      <c r="P409">
        <v>0.1045</v>
      </c>
      <c r="Q409">
        <v>0</v>
      </c>
      <c r="R409">
        <v>41</v>
      </c>
      <c r="S409">
        <v>41</v>
      </c>
    </row>
    <row r="410" spans="1:19" x14ac:dyDescent="0.3">
      <c r="A410">
        <v>407</v>
      </c>
      <c r="B410" t="s">
        <v>96</v>
      </c>
      <c r="C410" t="s">
        <v>78</v>
      </c>
      <c r="D410" t="s">
        <v>79</v>
      </c>
      <c r="E410" t="s">
        <v>31</v>
      </c>
      <c r="F410">
        <v>22</v>
      </c>
      <c r="G410" t="s">
        <v>113</v>
      </c>
      <c r="H410" t="b">
        <v>0</v>
      </c>
      <c r="I410" t="s">
        <v>55</v>
      </c>
      <c r="J410" t="s">
        <v>22</v>
      </c>
      <c r="K410" t="s">
        <v>33</v>
      </c>
      <c r="L410">
        <v>0.22</v>
      </c>
      <c r="M410" t="s">
        <v>40</v>
      </c>
      <c r="N410">
        <v>0.2576</v>
      </c>
      <c r="O410">
        <v>0.93</v>
      </c>
      <c r="P410">
        <v>8.9599999999999999E-2</v>
      </c>
      <c r="Q410">
        <v>0</v>
      </c>
      <c r="R410">
        <v>33</v>
      </c>
      <c r="S410">
        <v>33</v>
      </c>
    </row>
    <row r="411" spans="1:19" x14ac:dyDescent="0.3">
      <c r="A411">
        <v>408</v>
      </c>
      <c r="B411" t="s">
        <v>96</v>
      </c>
      <c r="C411" t="s">
        <v>78</v>
      </c>
      <c r="D411" t="s">
        <v>79</v>
      </c>
      <c r="E411" t="s">
        <v>31</v>
      </c>
      <c r="F411">
        <v>23</v>
      </c>
      <c r="G411" t="s">
        <v>113</v>
      </c>
      <c r="H411" t="b">
        <v>0</v>
      </c>
      <c r="I411" t="s">
        <v>55</v>
      </c>
      <c r="J411" t="s">
        <v>22</v>
      </c>
      <c r="K411" t="s">
        <v>33</v>
      </c>
      <c r="L411">
        <v>0.22</v>
      </c>
      <c r="M411" t="s">
        <v>40</v>
      </c>
      <c r="N411">
        <v>0.2727</v>
      </c>
      <c r="O411">
        <v>0.93</v>
      </c>
      <c r="P411">
        <v>0</v>
      </c>
      <c r="Q411">
        <v>1</v>
      </c>
      <c r="R411">
        <v>19</v>
      </c>
      <c r="S411">
        <v>20</v>
      </c>
    </row>
    <row r="412" spans="1:19" x14ac:dyDescent="0.3">
      <c r="A412">
        <v>409</v>
      </c>
      <c r="B412" t="s">
        <v>97</v>
      </c>
      <c r="C412" t="s">
        <v>78</v>
      </c>
      <c r="D412" t="s">
        <v>79</v>
      </c>
      <c r="E412" t="s">
        <v>31</v>
      </c>
      <c r="F412">
        <v>0</v>
      </c>
      <c r="G412" t="s">
        <v>116</v>
      </c>
      <c r="H412" t="b">
        <v>0</v>
      </c>
      <c r="I412" t="s">
        <v>56</v>
      </c>
      <c r="J412" t="s">
        <v>22</v>
      </c>
      <c r="K412" t="s">
        <v>33</v>
      </c>
      <c r="L412">
        <v>0.22</v>
      </c>
      <c r="M412" t="s">
        <v>40</v>
      </c>
      <c r="N412">
        <v>0.2727</v>
      </c>
      <c r="O412">
        <v>0.93</v>
      </c>
      <c r="P412">
        <v>0</v>
      </c>
      <c r="Q412">
        <v>0</v>
      </c>
      <c r="R412">
        <v>3</v>
      </c>
      <c r="S412">
        <v>3</v>
      </c>
    </row>
    <row r="413" spans="1:19" x14ac:dyDescent="0.3">
      <c r="A413">
        <v>410</v>
      </c>
      <c r="B413" t="s">
        <v>97</v>
      </c>
      <c r="C413" t="s">
        <v>78</v>
      </c>
      <c r="D413" t="s">
        <v>79</v>
      </c>
      <c r="E413" t="s">
        <v>31</v>
      </c>
      <c r="F413">
        <v>1</v>
      </c>
      <c r="G413" t="s">
        <v>116</v>
      </c>
      <c r="H413" t="b">
        <v>0</v>
      </c>
      <c r="I413" t="s">
        <v>56</v>
      </c>
      <c r="J413" t="s">
        <v>22</v>
      </c>
      <c r="K413" t="s">
        <v>34</v>
      </c>
      <c r="L413">
        <v>0.22</v>
      </c>
      <c r="M413" t="s">
        <v>40</v>
      </c>
      <c r="N413">
        <v>0.2273</v>
      </c>
      <c r="O413">
        <v>0.93</v>
      </c>
      <c r="P413">
        <v>0.1343</v>
      </c>
      <c r="Q413">
        <v>1</v>
      </c>
      <c r="R413">
        <v>6</v>
      </c>
      <c r="S413">
        <v>7</v>
      </c>
    </row>
    <row r="414" spans="1:19" x14ac:dyDescent="0.3">
      <c r="A414">
        <v>411</v>
      </c>
      <c r="B414" t="s">
        <v>97</v>
      </c>
      <c r="C414" t="s">
        <v>78</v>
      </c>
      <c r="D414" t="s">
        <v>79</v>
      </c>
      <c r="E414" t="s">
        <v>31</v>
      </c>
      <c r="F414">
        <v>2</v>
      </c>
      <c r="G414" t="s">
        <v>116</v>
      </c>
      <c r="H414" t="b">
        <v>0</v>
      </c>
      <c r="I414" t="s">
        <v>56</v>
      </c>
      <c r="J414" t="s">
        <v>22</v>
      </c>
      <c r="K414" t="s">
        <v>34</v>
      </c>
      <c r="L414">
        <v>0.22</v>
      </c>
      <c r="M414" t="s">
        <v>40</v>
      </c>
      <c r="N414">
        <v>0.2273</v>
      </c>
      <c r="O414">
        <v>0.93</v>
      </c>
      <c r="P414">
        <v>0.1343</v>
      </c>
      <c r="Q414">
        <v>0</v>
      </c>
      <c r="R414">
        <v>3</v>
      </c>
      <c r="S414">
        <v>3</v>
      </c>
    </row>
    <row r="415" spans="1:19" x14ac:dyDescent="0.3">
      <c r="A415">
        <v>412</v>
      </c>
      <c r="B415" t="s">
        <v>97</v>
      </c>
      <c r="C415" t="s">
        <v>78</v>
      </c>
      <c r="D415" t="s">
        <v>79</v>
      </c>
      <c r="E415" t="s">
        <v>31</v>
      </c>
      <c r="F415">
        <v>4</v>
      </c>
      <c r="G415" t="s">
        <v>116</v>
      </c>
      <c r="H415" t="b">
        <v>0</v>
      </c>
      <c r="I415" t="s">
        <v>56</v>
      </c>
      <c r="J415" t="s">
        <v>22</v>
      </c>
      <c r="K415" t="s">
        <v>34</v>
      </c>
      <c r="L415">
        <v>0.22</v>
      </c>
      <c r="M415" t="s">
        <v>40</v>
      </c>
      <c r="N415">
        <v>0.2273</v>
      </c>
      <c r="O415">
        <v>0.93</v>
      </c>
      <c r="P415">
        <v>0.1343</v>
      </c>
      <c r="Q415">
        <v>1</v>
      </c>
      <c r="R415">
        <v>1</v>
      </c>
      <c r="S415">
        <v>2</v>
      </c>
    </row>
    <row r="416" spans="1:19" x14ac:dyDescent="0.3">
      <c r="A416">
        <v>413</v>
      </c>
      <c r="B416" t="s">
        <v>97</v>
      </c>
      <c r="C416" t="s">
        <v>78</v>
      </c>
      <c r="D416" t="s">
        <v>79</v>
      </c>
      <c r="E416" t="s">
        <v>31</v>
      </c>
      <c r="F416">
        <v>5</v>
      </c>
      <c r="G416" t="s">
        <v>116</v>
      </c>
      <c r="H416" t="b">
        <v>0</v>
      </c>
      <c r="I416" t="s">
        <v>56</v>
      </c>
      <c r="J416" t="s">
        <v>22</v>
      </c>
      <c r="K416" t="s">
        <v>33</v>
      </c>
      <c r="L416">
        <v>0.22</v>
      </c>
      <c r="M416" t="s">
        <v>40</v>
      </c>
      <c r="N416">
        <v>0.2576</v>
      </c>
      <c r="O416">
        <v>0.93</v>
      </c>
      <c r="P416">
        <v>8.9599999999999999E-2</v>
      </c>
      <c r="Q416">
        <v>0</v>
      </c>
      <c r="R416">
        <v>7</v>
      </c>
      <c r="S416">
        <v>7</v>
      </c>
    </row>
    <row r="417" spans="1:19" x14ac:dyDescent="0.3">
      <c r="A417">
        <v>414</v>
      </c>
      <c r="B417" t="s">
        <v>97</v>
      </c>
      <c r="C417" t="s">
        <v>78</v>
      </c>
      <c r="D417" t="s">
        <v>79</v>
      </c>
      <c r="E417" t="s">
        <v>31</v>
      </c>
      <c r="F417">
        <v>6</v>
      </c>
      <c r="G417" t="s">
        <v>115</v>
      </c>
      <c r="H417" t="b">
        <v>0</v>
      </c>
      <c r="I417" t="s">
        <v>56</v>
      </c>
      <c r="J417" t="s">
        <v>22</v>
      </c>
      <c r="K417" t="s">
        <v>33</v>
      </c>
      <c r="L417">
        <v>0.22</v>
      </c>
      <c r="M417" t="s">
        <v>40</v>
      </c>
      <c r="N417">
        <v>0.2576</v>
      </c>
      <c r="O417">
        <v>0.93</v>
      </c>
      <c r="P417">
        <v>8.9599999999999999E-2</v>
      </c>
      <c r="Q417">
        <v>0</v>
      </c>
      <c r="R417">
        <v>32</v>
      </c>
      <c r="S417">
        <v>32</v>
      </c>
    </row>
    <row r="418" spans="1:19" x14ac:dyDescent="0.3">
      <c r="A418">
        <v>415</v>
      </c>
      <c r="B418" t="s">
        <v>97</v>
      </c>
      <c r="C418" t="s">
        <v>78</v>
      </c>
      <c r="D418" t="s">
        <v>79</v>
      </c>
      <c r="E418" t="s">
        <v>31</v>
      </c>
      <c r="F418">
        <v>7</v>
      </c>
      <c r="G418" t="s">
        <v>115</v>
      </c>
      <c r="H418" t="b">
        <v>0</v>
      </c>
      <c r="I418" t="s">
        <v>56</v>
      </c>
      <c r="J418" t="s">
        <v>22</v>
      </c>
      <c r="K418" t="s">
        <v>33</v>
      </c>
      <c r="L418">
        <v>0.24</v>
      </c>
      <c r="M418" t="s">
        <v>40</v>
      </c>
      <c r="N418">
        <v>0.2576</v>
      </c>
      <c r="O418">
        <v>0.92</v>
      </c>
      <c r="P418">
        <v>0.1045</v>
      </c>
      <c r="Q418">
        <v>1</v>
      </c>
      <c r="R418">
        <v>89</v>
      </c>
      <c r="S418">
        <v>90</v>
      </c>
    </row>
    <row r="419" spans="1:19" x14ac:dyDescent="0.3">
      <c r="A419">
        <v>416</v>
      </c>
      <c r="B419" t="s">
        <v>97</v>
      </c>
      <c r="C419" t="s">
        <v>78</v>
      </c>
      <c r="D419" t="s">
        <v>79</v>
      </c>
      <c r="E419" t="s">
        <v>31</v>
      </c>
      <c r="F419">
        <v>8</v>
      </c>
      <c r="G419" t="s">
        <v>115</v>
      </c>
      <c r="H419" t="b">
        <v>0</v>
      </c>
      <c r="I419" t="s">
        <v>56</v>
      </c>
      <c r="J419" t="s">
        <v>22</v>
      </c>
      <c r="K419" t="s">
        <v>33</v>
      </c>
      <c r="L419">
        <v>0.24</v>
      </c>
      <c r="M419" t="s">
        <v>40</v>
      </c>
      <c r="N419">
        <v>0.2576</v>
      </c>
      <c r="O419">
        <v>0.93</v>
      </c>
      <c r="P419">
        <v>0.1045</v>
      </c>
      <c r="Q419">
        <v>1</v>
      </c>
      <c r="R419">
        <v>196</v>
      </c>
      <c r="S419">
        <v>197</v>
      </c>
    </row>
    <row r="420" spans="1:19" x14ac:dyDescent="0.3">
      <c r="A420">
        <v>417</v>
      </c>
      <c r="B420" t="s">
        <v>97</v>
      </c>
      <c r="C420" t="s">
        <v>78</v>
      </c>
      <c r="D420" t="s">
        <v>79</v>
      </c>
      <c r="E420" t="s">
        <v>31</v>
      </c>
      <c r="F420">
        <v>9</v>
      </c>
      <c r="G420" t="s">
        <v>115</v>
      </c>
      <c r="H420" t="b">
        <v>0</v>
      </c>
      <c r="I420" t="s">
        <v>56</v>
      </c>
      <c r="J420" t="s">
        <v>22</v>
      </c>
      <c r="K420" t="s">
        <v>33</v>
      </c>
      <c r="L420">
        <v>0.24</v>
      </c>
      <c r="M420" t="s">
        <v>40</v>
      </c>
      <c r="N420">
        <v>0.2576</v>
      </c>
      <c r="O420">
        <v>0.93</v>
      </c>
      <c r="P420">
        <v>0.1045</v>
      </c>
      <c r="Q420">
        <v>2</v>
      </c>
      <c r="R420">
        <v>107</v>
      </c>
      <c r="S420">
        <v>109</v>
      </c>
    </row>
    <row r="421" spans="1:19" x14ac:dyDescent="0.3">
      <c r="A421">
        <v>418</v>
      </c>
      <c r="B421" t="s">
        <v>97</v>
      </c>
      <c r="C421" t="s">
        <v>78</v>
      </c>
      <c r="D421" t="s">
        <v>79</v>
      </c>
      <c r="E421" t="s">
        <v>31</v>
      </c>
      <c r="F421">
        <v>10</v>
      </c>
      <c r="G421" t="s">
        <v>115</v>
      </c>
      <c r="H421" t="b">
        <v>0</v>
      </c>
      <c r="I421" t="s">
        <v>56</v>
      </c>
      <c r="J421" t="s">
        <v>22</v>
      </c>
      <c r="K421" t="s">
        <v>33</v>
      </c>
      <c r="L421">
        <v>0.26</v>
      </c>
      <c r="M421" t="s">
        <v>41</v>
      </c>
      <c r="N421">
        <v>0.2727</v>
      </c>
      <c r="O421">
        <v>0.93</v>
      </c>
      <c r="P421">
        <v>0.1343</v>
      </c>
      <c r="Q421">
        <v>1</v>
      </c>
      <c r="R421">
        <v>46</v>
      </c>
      <c r="S421">
        <v>47</v>
      </c>
    </row>
    <row r="422" spans="1:19" x14ac:dyDescent="0.3">
      <c r="A422">
        <v>419</v>
      </c>
      <c r="B422" t="s">
        <v>97</v>
      </c>
      <c r="C422" t="s">
        <v>78</v>
      </c>
      <c r="D422" t="s">
        <v>79</v>
      </c>
      <c r="E422" t="s">
        <v>31</v>
      </c>
      <c r="F422">
        <v>11</v>
      </c>
      <c r="G422" t="s">
        <v>115</v>
      </c>
      <c r="H422" t="b">
        <v>0</v>
      </c>
      <c r="I422" t="s">
        <v>56</v>
      </c>
      <c r="J422" t="s">
        <v>22</v>
      </c>
      <c r="K422" t="s">
        <v>33</v>
      </c>
      <c r="L422">
        <v>0.28000000000000003</v>
      </c>
      <c r="M422" t="s">
        <v>41</v>
      </c>
      <c r="N422">
        <v>0.30299999999999999</v>
      </c>
      <c r="O422">
        <v>0.87</v>
      </c>
      <c r="P422">
        <v>8.9599999999999999E-2</v>
      </c>
      <c r="Q422">
        <v>5</v>
      </c>
      <c r="R422">
        <v>47</v>
      </c>
      <c r="S422">
        <v>52</v>
      </c>
    </row>
    <row r="423" spans="1:19" x14ac:dyDescent="0.3">
      <c r="A423">
        <v>420</v>
      </c>
      <c r="B423" t="s">
        <v>97</v>
      </c>
      <c r="C423" t="s">
        <v>78</v>
      </c>
      <c r="D423" t="s">
        <v>79</v>
      </c>
      <c r="E423" t="s">
        <v>31</v>
      </c>
      <c r="F423">
        <v>12</v>
      </c>
      <c r="G423" t="s">
        <v>114</v>
      </c>
      <c r="H423" t="b">
        <v>0</v>
      </c>
      <c r="I423" t="s">
        <v>56</v>
      </c>
      <c r="J423" t="s">
        <v>22</v>
      </c>
      <c r="K423" t="s">
        <v>33</v>
      </c>
      <c r="L423">
        <v>0.3</v>
      </c>
      <c r="M423" t="s">
        <v>41</v>
      </c>
      <c r="N423">
        <v>0.31819999999999998</v>
      </c>
      <c r="O423">
        <v>0.81</v>
      </c>
      <c r="P423">
        <v>8.9599999999999999E-2</v>
      </c>
      <c r="Q423">
        <v>5</v>
      </c>
      <c r="R423">
        <v>65</v>
      </c>
      <c r="S423">
        <v>70</v>
      </c>
    </row>
    <row r="424" spans="1:19" x14ac:dyDescent="0.3">
      <c r="A424">
        <v>421</v>
      </c>
      <c r="B424" t="s">
        <v>97</v>
      </c>
      <c r="C424" t="s">
        <v>78</v>
      </c>
      <c r="D424" t="s">
        <v>79</v>
      </c>
      <c r="E424" t="s">
        <v>31</v>
      </c>
      <c r="F424">
        <v>13</v>
      </c>
      <c r="G424" t="s">
        <v>114</v>
      </c>
      <c r="H424" t="b">
        <v>0</v>
      </c>
      <c r="I424" t="s">
        <v>56</v>
      </c>
      <c r="J424" t="s">
        <v>22</v>
      </c>
      <c r="K424" t="s">
        <v>32</v>
      </c>
      <c r="L424">
        <v>0.4</v>
      </c>
      <c r="M424" t="s">
        <v>42</v>
      </c>
      <c r="N424">
        <v>0.40910000000000002</v>
      </c>
      <c r="O424">
        <v>0.62</v>
      </c>
      <c r="P424">
        <v>0.28360000000000002</v>
      </c>
      <c r="Q424">
        <v>11</v>
      </c>
      <c r="R424">
        <v>67</v>
      </c>
      <c r="S424">
        <v>78</v>
      </c>
    </row>
    <row r="425" spans="1:19" x14ac:dyDescent="0.3">
      <c r="A425">
        <v>422</v>
      </c>
      <c r="B425" t="s">
        <v>97</v>
      </c>
      <c r="C425" t="s">
        <v>78</v>
      </c>
      <c r="D425" t="s">
        <v>79</v>
      </c>
      <c r="E425" t="s">
        <v>31</v>
      </c>
      <c r="F425">
        <v>14</v>
      </c>
      <c r="G425" t="s">
        <v>114</v>
      </c>
      <c r="H425" t="b">
        <v>0</v>
      </c>
      <c r="I425" t="s">
        <v>56</v>
      </c>
      <c r="J425" t="s">
        <v>22</v>
      </c>
      <c r="K425" t="s">
        <v>32</v>
      </c>
      <c r="L425">
        <v>0.4</v>
      </c>
      <c r="M425" t="s">
        <v>42</v>
      </c>
      <c r="N425">
        <v>0.40910000000000002</v>
      </c>
      <c r="O425">
        <v>0.57999999999999996</v>
      </c>
      <c r="P425">
        <v>0.25369999999999998</v>
      </c>
      <c r="Q425">
        <v>7</v>
      </c>
      <c r="R425">
        <v>68</v>
      </c>
      <c r="S425">
        <v>75</v>
      </c>
    </row>
    <row r="426" spans="1:19" x14ac:dyDescent="0.3">
      <c r="A426">
        <v>423</v>
      </c>
      <c r="B426" t="s">
        <v>97</v>
      </c>
      <c r="C426" t="s">
        <v>78</v>
      </c>
      <c r="D426" t="s">
        <v>79</v>
      </c>
      <c r="E426" t="s">
        <v>31</v>
      </c>
      <c r="F426">
        <v>15</v>
      </c>
      <c r="G426" t="s">
        <v>114</v>
      </c>
      <c r="H426" t="b">
        <v>0</v>
      </c>
      <c r="I426" t="s">
        <v>56</v>
      </c>
      <c r="J426" t="s">
        <v>22</v>
      </c>
      <c r="K426" t="s">
        <v>32</v>
      </c>
      <c r="L426">
        <v>0.4</v>
      </c>
      <c r="M426" t="s">
        <v>42</v>
      </c>
      <c r="N426">
        <v>0.40910000000000002</v>
      </c>
      <c r="O426">
        <v>0.54</v>
      </c>
      <c r="P426">
        <v>0.28360000000000002</v>
      </c>
      <c r="Q426">
        <v>4</v>
      </c>
      <c r="R426">
        <v>78</v>
      </c>
      <c r="S426">
        <v>82</v>
      </c>
    </row>
    <row r="427" spans="1:19" x14ac:dyDescent="0.3">
      <c r="A427">
        <v>424</v>
      </c>
      <c r="B427" t="s">
        <v>97</v>
      </c>
      <c r="C427" t="s">
        <v>78</v>
      </c>
      <c r="D427" t="s">
        <v>79</v>
      </c>
      <c r="E427" t="s">
        <v>31</v>
      </c>
      <c r="F427">
        <v>16</v>
      </c>
      <c r="G427" t="s">
        <v>114</v>
      </c>
      <c r="H427" t="b">
        <v>0</v>
      </c>
      <c r="I427" t="s">
        <v>56</v>
      </c>
      <c r="J427" t="s">
        <v>22</v>
      </c>
      <c r="K427" t="s">
        <v>32</v>
      </c>
      <c r="L427">
        <v>0.38</v>
      </c>
      <c r="M427" t="s">
        <v>42</v>
      </c>
      <c r="N427">
        <v>0.39389999999999997</v>
      </c>
      <c r="O427">
        <v>0.57999999999999996</v>
      </c>
      <c r="P427">
        <v>0.3881</v>
      </c>
      <c r="Q427">
        <v>10</v>
      </c>
      <c r="R427">
        <v>94</v>
      </c>
      <c r="S427">
        <v>104</v>
      </c>
    </row>
    <row r="428" spans="1:19" x14ac:dyDescent="0.3">
      <c r="A428">
        <v>425</v>
      </c>
      <c r="B428" t="s">
        <v>97</v>
      </c>
      <c r="C428" t="s">
        <v>78</v>
      </c>
      <c r="D428" t="s">
        <v>79</v>
      </c>
      <c r="E428" t="s">
        <v>31</v>
      </c>
      <c r="F428">
        <v>17</v>
      </c>
      <c r="G428" t="s">
        <v>114</v>
      </c>
      <c r="H428" t="b">
        <v>0</v>
      </c>
      <c r="I428" t="s">
        <v>56</v>
      </c>
      <c r="J428" t="s">
        <v>22</v>
      </c>
      <c r="K428" t="s">
        <v>32</v>
      </c>
      <c r="L428">
        <v>0.36</v>
      </c>
      <c r="M428" t="s">
        <v>42</v>
      </c>
      <c r="N428">
        <v>0.33329999999999999</v>
      </c>
      <c r="O428">
        <v>0.56999999999999995</v>
      </c>
      <c r="P428">
        <v>0.32840000000000003</v>
      </c>
      <c r="Q428">
        <v>7</v>
      </c>
      <c r="R428">
        <v>190</v>
      </c>
      <c r="S428">
        <v>197</v>
      </c>
    </row>
    <row r="429" spans="1:19" x14ac:dyDescent="0.3">
      <c r="A429">
        <v>426</v>
      </c>
      <c r="B429" t="s">
        <v>97</v>
      </c>
      <c r="C429" t="s">
        <v>78</v>
      </c>
      <c r="D429" t="s">
        <v>79</v>
      </c>
      <c r="E429" t="s">
        <v>31</v>
      </c>
      <c r="F429">
        <v>18</v>
      </c>
      <c r="G429" t="s">
        <v>113</v>
      </c>
      <c r="H429" t="b">
        <v>0</v>
      </c>
      <c r="I429" t="s">
        <v>56</v>
      </c>
      <c r="J429" t="s">
        <v>22</v>
      </c>
      <c r="K429" t="s">
        <v>32</v>
      </c>
      <c r="L429">
        <v>0.34</v>
      </c>
      <c r="M429" t="s">
        <v>42</v>
      </c>
      <c r="N429">
        <v>0.31819999999999998</v>
      </c>
      <c r="O429">
        <v>0.61</v>
      </c>
      <c r="P429">
        <v>0.28360000000000002</v>
      </c>
      <c r="Q429">
        <v>5</v>
      </c>
      <c r="R429">
        <v>156</v>
      </c>
      <c r="S429">
        <v>161</v>
      </c>
    </row>
    <row r="430" spans="1:19" x14ac:dyDescent="0.3">
      <c r="A430">
        <v>427</v>
      </c>
      <c r="B430" t="s">
        <v>97</v>
      </c>
      <c r="C430" t="s">
        <v>78</v>
      </c>
      <c r="D430" t="s">
        <v>79</v>
      </c>
      <c r="E430" t="s">
        <v>31</v>
      </c>
      <c r="F430">
        <v>19</v>
      </c>
      <c r="G430" t="s">
        <v>113</v>
      </c>
      <c r="H430" t="b">
        <v>0</v>
      </c>
      <c r="I430" t="s">
        <v>56</v>
      </c>
      <c r="J430" t="s">
        <v>22</v>
      </c>
      <c r="K430" t="s">
        <v>32</v>
      </c>
      <c r="L430">
        <v>0.32</v>
      </c>
      <c r="M430" t="s">
        <v>41</v>
      </c>
      <c r="N430">
        <v>0.28789999999999999</v>
      </c>
      <c r="O430">
        <v>0.56999999999999995</v>
      </c>
      <c r="P430">
        <v>0.41789999999999999</v>
      </c>
      <c r="Q430">
        <v>4</v>
      </c>
      <c r="R430">
        <v>108</v>
      </c>
      <c r="S430">
        <v>112</v>
      </c>
    </row>
    <row r="431" spans="1:19" x14ac:dyDescent="0.3">
      <c r="A431">
        <v>428</v>
      </c>
      <c r="B431" t="s">
        <v>97</v>
      </c>
      <c r="C431" t="s">
        <v>78</v>
      </c>
      <c r="D431" t="s">
        <v>79</v>
      </c>
      <c r="E431" t="s">
        <v>31</v>
      </c>
      <c r="F431">
        <v>20</v>
      </c>
      <c r="G431" t="s">
        <v>113</v>
      </c>
      <c r="H431" t="b">
        <v>0</v>
      </c>
      <c r="I431" t="s">
        <v>56</v>
      </c>
      <c r="J431" t="s">
        <v>22</v>
      </c>
      <c r="K431" t="s">
        <v>32</v>
      </c>
      <c r="L431">
        <v>0.32</v>
      </c>
      <c r="M431" t="s">
        <v>41</v>
      </c>
      <c r="N431">
        <v>0.30299999999999999</v>
      </c>
      <c r="O431">
        <v>0.49</v>
      </c>
      <c r="P431">
        <v>0.29849999999999999</v>
      </c>
      <c r="Q431">
        <v>2</v>
      </c>
      <c r="R431">
        <v>74</v>
      </c>
      <c r="S431">
        <v>76</v>
      </c>
    </row>
    <row r="432" spans="1:19" x14ac:dyDescent="0.3">
      <c r="A432">
        <v>429</v>
      </c>
      <c r="B432" t="s">
        <v>97</v>
      </c>
      <c r="C432" t="s">
        <v>78</v>
      </c>
      <c r="D432" t="s">
        <v>79</v>
      </c>
      <c r="E432" t="s">
        <v>31</v>
      </c>
      <c r="F432">
        <v>21</v>
      </c>
      <c r="G432" t="s">
        <v>113</v>
      </c>
      <c r="H432" t="b">
        <v>0</v>
      </c>
      <c r="I432" t="s">
        <v>56</v>
      </c>
      <c r="J432" t="s">
        <v>22</v>
      </c>
      <c r="K432" t="s">
        <v>32</v>
      </c>
      <c r="L432">
        <v>0.32</v>
      </c>
      <c r="M432" t="s">
        <v>41</v>
      </c>
      <c r="N432">
        <v>0.28789999999999999</v>
      </c>
      <c r="O432">
        <v>0.49</v>
      </c>
      <c r="P432">
        <v>0.41789999999999999</v>
      </c>
      <c r="Q432">
        <v>4</v>
      </c>
      <c r="R432">
        <v>55</v>
      </c>
      <c r="S432">
        <v>59</v>
      </c>
    </row>
    <row r="433" spans="1:19" x14ac:dyDescent="0.3">
      <c r="A433">
        <v>430</v>
      </c>
      <c r="B433" t="s">
        <v>97</v>
      </c>
      <c r="C433" t="s">
        <v>78</v>
      </c>
      <c r="D433" t="s">
        <v>79</v>
      </c>
      <c r="E433" t="s">
        <v>31</v>
      </c>
      <c r="F433">
        <v>22</v>
      </c>
      <c r="G433" t="s">
        <v>113</v>
      </c>
      <c r="H433" t="b">
        <v>0</v>
      </c>
      <c r="I433" t="s">
        <v>56</v>
      </c>
      <c r="J433" t="s">
        <v>22</v>
      </c>
      <c r="K433" t="s">
        <v>32</v>
      </c>
      <c r="L433">
        <v>0.3</v>
      </c>
      <c r="M433" t="s">
        <v>41</v>
      </c>
      <c r="N433">
        <v>0.30299999999999999</v>
      </c>
      <c r="O433">
        <v>0.52</v>
      </c>
      <c r="P433">
        <v>0.16420000000000001</v>
      </c>
      <c r="Q433">
        <v>6</v>
      </c>
      <c r="R433">
        <v>53</v>
      </c>
      <c r="S433">
        <v>59</v>
      </c>
    </row>
    <row r="434" spans="1:19" x14ac:dyDescent="0.3">
      <c r="A434">
        <v>431</v>
      </c>
      <c r="B434" t="s">
        <v>97</v>
      </c>
      <c r="C434" t="s">
        <v>78</v>
      </c>
      <c r="D434" t="s">
        <v>79</v>
      </c>
      <c r="E434" t="s">
        <v>31</v>
      </c>
      <c r="F434">
        <v>23</v>
      </c>
      <c r="G434" t="s">
        <v>113</v>
      </c>
      <c r="H434" t="b">
        <v>0</v>
      </c>
      <c r="I434" t="s">
        <v>56</v>
      </c>
      <c r="J434" t="s">
        <v>22</v>
      </c>
      <c r="K434" t="s">
        <v>32</v>
      </c>
      <c r="L434">
        <v>0.3</v>
      </c>
      <c r="M434" t="s">
        <v>41</v>
      </c>
      <c r="N434">
        <v>0.2727</v>
      </c>
      <c r="O434">
        <v>0.52</v>
      </c>
      <c r="P434">
        <v>0.4627</v>
      </c>
      <c r="Q434">
        <v>1</v>
      </c>
      <c r="R434">
        <v>27</v>
      </c>
      <c r="S434">
        <v>28</v>
      </c>
    </row>
    <row r="435" spans="1:19" x14ac:dyDescent="0.3">
      <c r="A435">
        <v>432</v>
      </c>
      <c r="B435" t="s">
        <v>98</v>
      </c>
      <c r="C435" t="s">
        <v>78</v>
      </c>
      <c r="D435" t="s">
        <v>79</v>
      </c>
      <c r="E435" t="s">
        <v>31</v>
      </c>
      <c r="F435">
        <v>0</v>
      </c>
      <c r="G435" t="s">
        <v>116</v>
      </c>
      <c r="H435" t="b">
        <v>0</v>
      </c>
      <c r="I435" t="s">
        <v>57</v>
      </c>
      <c r="J435" t="s">
        <v>22</v>
      </c>
      <c r="K435" t="s">
        <v>32</v>
      </c>
      <c r="L435">
        <v>0.26</v>
      </c>
      <c r="M435" t="s">
        <v>41</v>
      </c>
      <c r="N435">
        <v>0.2273</v>
      </c>
      <c r="O435">
        <v>0.56000000000000005</v>
      </c>
      <c r="P435">
        <v>0.3881</v>
      </c>
      <c r="Q435">
        <v>5</v>
      </c>
      <c r="R435">
        <v>8</v>
      </c>
      <c r="S435">
        <v>13</v>
      </c>
    </row>
    <row r="436" spans="1:19" x14ac:dyDescent="0.3">
      <c r="A436">
        <v>433</v>
      </c>
      <c r="B436" t="s">
        <v>98</v>
      </c>
      <c r="C436" t="s">
        <v>78</v>
      </c>
      <c r="D436" t="s">
        <v>79</v>
      </c>
      <c r="E436" t="s">
        <v>31</v>
      </c>
      <c r="F436">
        <v>1</v>
      </c>
      <c r="G436" t="s">
        <v>116</v>
      </c>
      <c r="H436" t="b">
        <v>0</v>
      </c>
      <c r="I436" t="s">
        <v>57</v>
      </c>
      <c r="J436" t="s">
        <v>22</v>
      </c>
      <c r="K436" t="s">
        <v>32</v>
      </c>
      <c r="L436">
        <v>0.26</v>
      </c>
      <c r="M436" t="s">
        <v>41</v>
      </c>
      <c r="N436">
        <v>0.2727</v>
      </c>
      <c r="O436">
        <v>0.56000000000000005</v>
      </c>
      <c r="P436">
        <v>0</v>
      </c>
      <c r="Q436">
        <v>2</v>
      </c>
      <c r="R436">
        <v>3</v>
      </c>
      <c r="S436">
        <v>5</v>
      </c>
    </row>
    <row r="437" spans="1:19" x14ac:dyDescent="0.3">
      <c r="A437">
        <v>434</v>
      </c>
      <c r="B437" t="s">
        <v>98</v>
      </c>
      <c r="C437" t="s">
        <v>78</v>
      </c>
      <c r="D437" t="s">
        <v>79</v>
      </c>
      <c r="E437" t="s">
        <v>31</v>
      </c>
      <c r="F437">
        <v>2</v>
      </c>
      <c r="G437" t="s">
        <v>116</v>
      </c>
      <c r="H437" t="b">
        <v>0</v>
      </c>
      <c r="I437" t="s">
        <v>57</v>
      </c>
      <c r="J437" t="s">
        <v>22</v>
      </c>
      <c r="K437" t="s">
        <v>32</v>
      </c>
      <c r="L437">
        <v>0.26</v>
      </c>
      <c r="M437" t="s">
        <v>41</v>
      </c>
      <c r="N437">
        <v>0.2727</v>
      </c>
      <c r="O437">
        <v>0.56000000000000005</v>
      </c>
      <c r="P437">
        <v>0</v>
      </c>
      <c r="Q437">
        <v>0</v>
      </c>
      <c r="R437">
        <v>2</v>
      </c>
      <c r="S437">
        <v>2</v>
      </c>
    </row>
    <row r="438" spans="1:19" x14ac:dyDescent="0.3">
      <c r="A438">
        <v>435</v>
      </c>
      <c r="B438" t="s">
        <v>98</v>
      </c>
      <c r="C438" t="s">
        <v>78</v>
      </c>
      <c r="D438" t="s">
        <v>79</v>
      </c>
      <c r="E438" t="s">
        <v>31</v>
      </c>
      <c r="F438">
        <v>3</v>
      </c>
      <c r="G438" t="s">
        <v>116</v>
      </c>
      <c r="H438" t="b">
        <v>0</v>
      </c>
      <c r="I438" t="s">
        <v>57</v>
      </c>
      <c r="J438" t="s">
        <v>22</v>
      </c>
      <c r="K438" t="s">
        <v>32</v>
      </c>
      <c r="L438">
        <v>0.26</v>
      </c>
      <c r="M438" t="s">
        <v>41</v>
      </c>
      <c r="N438">
        <v>0.2576</v>
      </c>
      <c r="O438">
        <v>0.56000000000000005</v>
      </c>
      <c r="P438">
        <v>0.16420000000000001</v>
      </c>
      <c r="Q438">
        <v>0</v>
      </c>
      <c r="R438">
        <v>1</v>
      </c>
      <c r="S438">
        <v>1</v>
      </c>
    </row>
    <row r="439" spans="1:19" x14ac:dyDescent="0.3">
      <c r="A439">
        <v>436</v>
      </c>
      <c r="B439" t="s">
        <v>98</v>
      </c>
      <c r="C439" t="s">
        <v>78</v>
      </c>
      <c r="D439" t="s">
        <v>79</v>
      </c>
      <c r="E439" t="s">
        <v>31</v>
      </c>
      <c r="F439">
        <v>4</v>
      </c>
      <c r="G439" t="s">
        <v>116</v>
      </c>
      <c r="H439" t="b">
        <v>0</v>
      </c>
      <c r="I439" t="s">
        <v>57</v>
      </c>
      <c r="J439" t="s">
        <v>22</v>
      </c>
      <c r="K439" t="s">
        <v>32</v>
      </c>
      <c r="L439">
        <v>0.26</v>
      </c>
      <c r="M439" t="s">
        <v>41</v>
      </c>
      <c r="N439">
        <v>0.2576</v>
      </c>
      <c r="O439">
        <v>0.56000000000000005</v>
      </c>
      <c r="P439">
        <v>0.16420000000000001</v>
      </c>
      <c r="Q439">
        <v>0</v>
      </c>
      <c r="R439">
        <v>1</v>
      </c>
      <c r="S439">
        <v>1</v>
      </c>
    </row>
    <row r="440" spans="1:19" x14ac:dyDescent="0.3">
      <c r="A440">
        <v>437</v>
      </c>
      <c r="B440" t="s">
        <v>98</v>
      </c>
      <c r="C440" t="s">
        <v>78</v>
      </c>
      <c r="D440" t="s">
        <v>79</v>
      </c>
      <c r="E440" t="s">
        <v>31</v>
      </c>
      <c r="F440">
        <v>5</v>
      </c>
      <c r="G440" t="s">
        <v>116</v>
      </c>
      <c r="H440" t="b">
        <v>0</v>
      </c>
      <c r="I440" t="s">
        <v>57</v>
      </c>
      <c r="J440" t="s">
        <v>22</v>
      </c>
      <c r="K440" t="s">
        <v>32</v>
      </c>
      <c r="L440">
        <v>0.24</v>
      </c>
      <c r="M440" t="s">
        <v>40</v>
      </c>
      <c r="N440">
        <v>0.2273</v>
      </c>
      <c r="O440">
        <v>0.6</v>
      </c>
      <c r="P440">
        <v>0.22389999999999999</v>
      </c>
      <c r="Q440">
        <v>0</v>
      </c>
      <c r="R440">
        <v>6</v>
      </c>
      <c r="S440">
        <v>6</v>
      </c>
    </row>
    <row r="441" spans="1:19" x14ac:dyDescent="0.3">
      <c r="A441">
        <v>438</v>
      </c>
      <c r="B441" t="s">
        <v>98</v>
      </c>
      <c r="C441" t="s">
        <v>78</v>
      </c>
      <c r="D441" t="s">
        <v>79</v>
      </c>
      <c r="E441" t="s">
        <v>31</v>
      </c>
      <c r="F441">
        <v>6</v>
      </c>
      <c r="G441" t="s">
        <v>115</v>
      </c>
      <c r="H441" t="b">
        <v>0</v>
      </c>
      <c r="I441" t="s">
        <v>57</v>
      </c>
      <c r="J441" t="s">
        <v>22</v>
      </c>
      <c r="K441" t="s">
        <v>32</v>
      </c>
      <c r="L441">
        <v>0.22</v>
      </c>
      <c r="M441" t="s">
        <v>40</v>
      </c>
      <c r="N441">
        <v>0.21210000000000001</v>
      </c>
      <c r="O441">
        <v>0.6</v>
      </c>
      <c r="P441">
        <v>0.22389999999999999</v>
      </c>
      <c r="Q441">
        <v>0</v>
      </c>
      <c r="R441">
        <v>35</v>
      </c>
      <c r="S441">
        <v>35</v>
      </c>
    </row>
    <row r="442" spans="1:19" x14ac:dyDescent="0.3">
      <c r="A442">
        <v>439</v>
      </c>
      <c r="B442" t="s">
        <v>98</v>
      </c>
      <c r="C442" t="s">
        <v>78</v>
      </c>
      <c r="D442" t="s">
        <v>79</v>
      </c>
      <c r="E442" t="s">
        <v>31</v>
      </c>
      <c r="F442">
        <v>7</v>
      </c>
      <c r="G442" t="s">
        <v>115</v>
      </c>
      <c r="H442" t="b">
        <v>0</v>
      </c>
      <c r="I442" t="s">
        <v>57</v>
      </c>
      <c r="J442" t="s">
        <v>22</v>
      </c>
      <c r="K442" t="s">
        <v>32</v>
      </c>
      <c r="L442">
        <v>0.22</v>
      </c>
      <c r="M442" t="s">
        <v>40</v>
      </c>
      <c r="N442">
        <v>0.21210000000000001</v>
      </c>
      <c r="O442">
        <v>0.55000000000000004</v>
      </c>
      <c r="P442">
        <v>0.22389999999999999</v>
      </c>
      <c r="Q442">
        <v>1</v>
      </c>
      <c r="R442">
        <v>100</v>
      </c>
      <c r="S442">
        <v>101</v>
      </c>
    </row>
    <row r="443" spans="1:19" x14ac:dyDescent="0.3">
      <c r="A443">
        <v>440</v>
      </c>
      <c r="B443" t="s">
        <v>98</v>
      </c>
      <c r="C443" t="s">
        <v>78</v>
      </c>
      <c r="D443" t="s">
        <v>79</v>
      </c>
      <c r="E443" t="s">
        <v>31</v>
      </c>
      <c r="F443">
        <v>8</v>
      </c>
      <c r="G443" t="s">
        <v>115</v>
      </c>
      <c r="H443" t="b">
        <v>0</v>
      </c>
      <c r="I443" t="s">
        <v>57</v>
      </c>
      <c r="J443" t="s">
        <v>22</v>
      </c>
      <c r="K443" t="s">
        <v>32</v>
      </c>
      <c r="L443">
        <v>0.22</v>
      </c>
      <c r="M443" t="s">
        <v>40</v>
      </c>
      <c r="N443">
        <v>0.21210000000000001</v>
      </c>
      <c r="O443">
        <v>0.55000000000000004</v>
      </c>
      <c r="P443">
        <v>0.28360000000000002</v>
      </c>
      <c r="Q443">
        <v>2</v>
      </c>
      <c r="R443">
        <v>247</v>
      </c>
      <c r="S443">
        <v>249</v>
      </c>
    </row>
    <row r="444" spans="1:19" x14ac:dyDescent="0.3">
      <c r="A444">
        <v>441</v>
      </c>
      <c r="B444" t="s">
        <v>98</v>
      </c>
      <c r="C444" t="s">
        <v>78</v>
      </c>
      <c r="D444" t="s">
        <v>79</v>
      </c>
      <c r="E444" t="s">
        <v>31</v>
      </c>
      <c r="F444">
        <v>9</v>
      </c>
      <c r="G444" t="s">
        <v>115</v>
      </c>
      <c r="H444" t="b">
        <v>0</v>
      </c>
      <c r="I444" t="s">
        <v>57</v>
      </c>
      <c r="J444" t="s">
        <v>22</v>
      </c>
      <c r="K444" t="s">
        <v>33</v>
      </c>
      <c r="L444">
        <v>0.24</v>
      </c>
      <c r="M444" t="s">
        <v>40</v>
      </c>
      <c r="N444">
        <v>0.2273</v>
      </c>
      <c r="O444">
        <v>0.52</v>
      </c>
      <c r="P444">
        <v>0.22389999999999999</v>
      </c>
      <c r="Q444">
        <v>3</v>
      </c>
      <c r="R444">
        <v>140</v>
      </c>
      <c r="S444">
        <v>143</v>
      </c>
    </row>
    <row r="445" spans="1:19" x14ac:dyDescent="0.3">
      <c r="A445">
        <v>442</v>
      </c>
      <c r="B445" t="s">
        <v>98</v>
      </c>
      <c r="C445" t="s">
        <v>78</v>
      </c>
      <c r="D445" t="s">
        <v>79</v>
      </c>
      <c r="E445" t="s">
        <v>31</v>
      </c>
      <c r="F445">
        <v>10</v>
      </c>
      <c r="G445" t="s">
        <v>115</v>
      </c>
      <c r="H445" t="b">
        <v>0</v>
      </c>
      <c r="I445" t="s">
        <v>57</v>
      </c>
      <c r="J445" t="s">
        <v>22</v>
      </c>
      <c r="K445" t="s">
        <v>32</v>
      </c>
      <c r="L445">
        <v>0.26</v>
      </c>
      <c r="M445" t="s">
        <v>41</v>
      </c>
      <c r="N445">
        <v>0.2273</v>
      </c>
      <c r="O445">
        <v>0.48</v>
      </c>
      <c r="P445">
        <v>0.29849999999999999</v>
      </c>
      <c r="Q445">
        <v>1</v>
      </c>
      <c r="R445">
        <v>56</v>
      </c>
      <c r="S445">
        <v>57</v>
      </c>
    </row>
    <row r="446" spans="1:19" x14ac:dyDescent="0.3">
      <c r="A446">
        <v>443</v>
      </c>
      <c r="B446" t="s">
        <v>98</v>
      </c>
      <c r="C446" t="s">
        <v>78</v>
      </c>
      <c r="D446" t="s">
        <v>79</v>
      </c>
      <c r="E446" t="s">
        <v>31</v>
      </c>
      <c r="F446">
        <v>11</v>
      </c>
      <c r="G446" t="s">
        <v>115</v>
      </c>
      <c r="H446" t="b">
        <v>0</v>
      </c>
      <c r="I446" t="s">
        <v>57</v>
      </c>
      <c r="J446" t="s">
        <v>22</v>
      </c>
      <c r="K446" t="s">
        <v>33</v>
      </c>
      <c r="L446">
        <v>0.28000000000000003</v>
      </c>
      <c r="M446" t="s">
        <v>41</v>
      </c>
      <c r="N446">
        <v>0.2727</v>
      </c>
      <c r="O446">
        <v>0.45</v>
      </c>
      <c r="P446">
        <v>0.16420000000000001</v>
      </c>
      <c r="Q446">
        <v>5</v>
      </c>
      <c r="R446">
        <v>63</v>
      </c>
      <c r="S446">
        <v>68</v>
      </c>
    </row>
    <row r="447" spans="1:19" x14ac:dyDescent="0.3">
      <c r="A447">
        <v>444</v>
      </c>
      <c r="B447" t="s">
        <v>98</v>
      </c>
      <c r="C447" t="s">
        <v>78</v>
      </c>
      <c r="D447" t="s">
        <v>79</v>
      </c>
      <c r="E447" t="s">
        <v>31</v>
      </c>
      <c r="F447">
        <v>12</v>
      </c>
      <c r="G447" t="s">
        <v>114</v>
      </c>
      <c r="H447" t="b">
        <v>0</v>
      </c>
      <c r="I447" t="s">
        <v>57</v>
      </c>
      <c r="J447" t="s">
        <v>22</v>
      </c>
      <c r="K447" t="s">
        <v>33</v>
      </c>
      <c r="L447">
        <v>0.3</v>
      </c>
      <c r="M447" t="s">
        <v>41</v>
      </c>
      <c r="N447">
        <v>0.33329999999999999</v>
      </c>
      <c r="O447">
        <v>0.42</v>
      </c>
      <c r="P447">
        <v>0</v>
      </c>
      <c r="Q447">
        <v>7</v>
      </c>
      <c r="R447">
        <v>77</v>
      </c>
      <c r="S447">
        <v>84</v>
      </c>
    </row>
    <row r="448" spans="1:19" x14ac:dyDescent="0.3">
      <c r="A448">
        <v>445</v>
      </c>
      <c r="B448" t="s">
        <v>98</v>
      </c>
      <c r="C448" t="s">
        <v>78</v>
      </c>
      <c r="D448" t="s">
        <v>79</v>
      </c>
      <c r="E448" t="s">
        <v>31</v>
      </c>
      <c r="F448">
        <v>13</v>
      </c>
      <c r="G448" t="s">
        <v>114</v>
      </c>
      <c r="H448" t="b">
        <v>0</v>
      </c>
      <c r="I448" t="s">
        <v>57</v>
      </c>
      <c r="J448" t="s">
        <v>22</v>
      </c>
      <c r="K448" t="s">
        <v>33</v>
      </c>
      <c r="L448">
        <v>0.28000000000000003</v>
      </c>
      <c r="M448" t="s">
        <v>41</v>
      </c>
      <c r="N448">
        <v>0.28789999999999999</v>
      </c>
      <c r="O448">
        <v>0.45</v>
      </c>
      <c r="P448">
        <v>0.1045</v>
      </c>
      <c r="Q448">
        <v>12</v>
      </c>
      <c r="R448">
        <v>86</v>
      </c>
      <c r="S448">
        <v>98</v>
      </c>
    </row>
    <row r="449" spans="1:19" x14ac:dyDescent="0.3">
      <c r="A449">
        <v>446</v>
      </c>
      <c r="B449" t="s">
        <v>98</v>
      </c>
      <c r="C449" t="s">
        <v>78</v>
      </c>
      <c r="D449" t="s">
        <v>79</v>
      </c>
      <c r="E449" t="s">
        <v>31</v>
      </c>
      <c r="F449">
        <v>14</v>
      </c>
      <c r="G449" t="s">
        <v>114</v>
      </c>
      <c r="H449" t="b">
        <v>0</v>
      </c>
      <c r="I449" t="s">
        <v>57</v>
      </c>
      <c r="J449" t="s">
        <v>22</v>
      </c>
      <c r="K449" t="s">
        <v>33</v>
      </c>
      <c r="L449">
        <v>0.3</v>
      </c>
      <c r="M449" t="s">
        <v>41</v>
      </c>
      <c r="N449">
        <v>0.30299999999999999</v>
      </c>
      <c r="O449">
        <v>0.45</v>
      </c>
      <c r="P449">
        <v>0.1343</v>
      </c>
      <c r="Q449">
        <v>6</v>
      </c>
      <c r="R449">
        <v>75</v>
      </c>
      <c r="S449">
        <v>81</v>
      </c>
    </row>
    <row r="450" spans="1:19" x14ac:dyDescent="0.3">
      <c r="A450">
        <v>447</v>
      </c>
      <c r="B450" t="s">
        <v>98</v>
      </c>
      <c r="C450" t="s">
        <v>78</v>
      </c>
      <c r="D450" t="s">
        <v>79</v>
      </c>
      <c r="E450" t="s">
        <v>31</v>
      </c>
      <c r="F450">
        <v>15</v>
      </c>
      <c r="G450" t="s">
        <v>114</v>
      </c>
      <c r="H450" t="b">
        <v>0</v>
      </c>
      <c r="I450" t="s">
        <v>57</v>
      </c>
      <c r="J450" t="s">
        <v>22</v>
      </c>
      <c r="K450" t="s">
        <v>33</v>
      </c>
      <c r="L450">
        <v>0.32</v>
      </c>
      <c r="M450" t="s">
        <v>41</v>
      </c>
      <c r="N450">
        <v>0.31819999999999998</v>
      </c>
      <c r="O450">
        <v>0.45</v>
      </c>
      <c r="P450">
        <v>0.19400000000000001</v>
      </c>
      <c r="Q450">
        <v>8</v>
      </c>
      <c r="R450">
        <v>62</v>
      </c>
      <c r="S450">
        <v>70</v>
      </c>
    </row>
    <row r="451" spans="1:19" x14ac:dyDescent="0.3">
      <c r="A451">
        <v>448</v>
      </c>
      <c r="B451" t="s">
        <v>98</v>
      </c>
      <c r="C451" t="s">
        <v>78</v>
      </c>
      <c r="D451" t="s">
        <v>79</v>
      </c>
      <c r="E451" t="s">
        <v>31</v>
      </c>
      <c r="F451">
        <v>16</v>
      </c>
      <c r="G451" t="s">
        <v>114</v>
      </c>
      <c r="H451" t="b">
        <v>0</v>
      </c>
      <c r="I451" t="s">
        <v>57</v>
      </c>
      <c r="J451" t="s">
        <v>22</v>
      </c>
      <c r="K451" t="s">
        <v>33</v>
      </c>
      <c r="L451">
        <v>0.3</v>
      </c>
      <c r="M451" t="s">
        <v>41</v>
      </c>
      <c r="N451">
        <v>0.30299999999999999</v>
      </c>
      <c r="O451">
        <v>0.49</v>
      </c>
      <c r="P451">
        <v>0.1343</v>
      </c>
      <c r="Q451">
        <v>8</v>
      </c>
      <c r="R451">
        <v>83</v>
      </c>
      <c r="S451">
        <v>91</v>
      </c>
    </row>
    <row r="452" spans="1:19" x14ac:dyDescent="0.3">
      <c r="A452">
        <v>449</v>
      </c>
      <c r="B452" t="s">
        <v>98</v>
      </c>
      <c r="C452" t="s">
        <v>78</v>
      </c>
      <c r="D452" t="s">
        <v>79</v>
      </c>
      <c r="E452" t="s">
        <v>31</v>
      </c>
      <c r="F452">
        <v>17</v>
      </c>
      <c r="G452" t="s">
        <v>114</v>
      </c>
      <c r="H452" t="b">
        <v>0</v>
      </c>
      <c r="I452" t="s">
        <v>57</v>
      </c>
      <c r="J452" t="s">
        <v>22</v>
      </c>
      <c r="K452" t="s">
        <v>33</v>
      </c>
      <c r="L452">
        <v>0.3</v>
      </c>
      <c r="M452" t="s">
        <v>41</v>
      </c>
      <c r="N452">
        <v>0.31819999999999998</v>
      </c>
      <c r="O452">
        <v>0.49</v>
      </c>
      <c r="P452">
        <v>0.1045</v>
      </c>
      <c r="Q452">
        <v>8</v>
      </c>
      <c r="R452">
        <v>207</v>
      </c>
      <c r="S452">
        <v>215</v>
      </c>
    </row>
    <row r="453" spans="1:19" x14ac:dyDescent="0.3">
      <c r="A453">
        <v>450</v>
      </c>
      <c r="B453" t="s">
        <v>98</v>
      </c>
      <c r="C453" t="s">
        <v>78</v>
      </c>
      <c r="D453" t="s">
        <v>79</v>
      </c>
      <c r="E453" t="s">
        <v>31</v>
      </c>
      <c r="F453">
        <v>18</v>
      </c>
      <c r="G453" t="s">
        <v>113</v>
      </c>
      <c r="H453" t="b">
        <v>0</v>
      </c>
      <c r="I453" t="s">
        <v>57</v>
      </c>
      <c r="J453" t="s">
        <v>22</v>
      </c>
      <c r="K453" t="s">
        <v>33</v>
      </c>
      <c r="L453">
        <v>0.26</v>
      </c>
      <c r="M453" t="s">
        <v>41</v>
      </c>
      <c r="N453">
        <v>0.2576</v>
      </c>
      <c r="O453">
        <v>0.56000000000000005</v>
      </c>
      <c r="P453">
        <v>0.19400000000000001</v>
      </c>
      <c r="Q453">
        <v>1</v>
      </c>
      <c r="R453">
        <v>184</v>
      </c>
      <c r="S453">
        <v>185</v>
      </c>
    </row>
    <row r="454" spans="1:19" x14ac:dyDescent="0.3">
      <c r="A454">
        <v>451</v>
      </c>
      <c r="B454" t="s">
        <v>98</v>
      </c>
      <c r="C454" t="s">
        <v>78</v>
      </c>
      <c r="D454" t="s">
        <v>79</v>
      </c>
      <c r="E454" t="s">
        <v>31</v>
      </c>
      <c r="F454">
        <v>19</v>
      </c>
      <c r="G454" t="s">
        <v>113</v>
      </c>
      <c r="H454" t="b">
        <v>0</v>
      </c>
      <c r="I454" t="s">
        <v>57</v>
      </c>
      <c r="J454" t="s">
        <v>22</v>
      </c>
      <c r="K454" t="s">
        <v>32</v>
      </c>
      <c r="L454">
        <v>0.26</v>
      </c>
      <c r="M454" t="s">
        <v>41</v>
      </c>
      <c r="N454">
        <v>0.2273</v>
      </c>
      <c r="O454">
        <v>0.56000000000000005</v>
      </c>
      <c r="P454">
        <v>0.32840000000000003</v>
      </c>
      <c r="Q454">
        <v>6</v>
      </c>
      <c r="R454">
        <v>146</v>
      </c>
      <c r="S454">
        <v>152</v>
      </c>
    </row>
    <row r="455" spans="1:19" x14ac:dyDescent="0.3">
      <c r="A455">
        <v>452</v>
      </c>
      <c r="B455" t="s">
        <v>98</v>
      </c>
      <c r="C455" t="s">
        <v>78</v>
      </c>
      <c r="D455" t="s">
        <v>79</v>
      </c>
      <c r="E455" t="s">
        <v>31</v>
      </c>
      <c r="F455">
        <v>20</v>
      </c>
      <c r="G455" t="s">
        <v>113</v>
      </c>
      <c r="H455" t="b">
        <v>0</v>
      </c>
      <c r="I455" t="s">
        <v>57</v>
      </c>
      <c r="J455" t="s">
        <v>22</v>
      </c>
      <c r="K455" t="s">
        <v>33</v>
      </c>
      <c r="L455">
        <v>0.26</v>
      </c>
      <c r="M455" t="s">
        <v>41</v>
      </c>
      <c r="N455">
        <v>0.2424</v>
      </c>
      <c r="O455">
        <v>0.6</v>
      </c>
      <c r="P455">
        <v>0.28360000000000002</v>
      </c>
      <c r="Q455">
        <v>2</v>
      </c>
      <c r="R455">
        <v>124</v>
      </c>
      <c r="S455">
        <v>126</v>
      </c>
    </row>
    <row r="456" spans="1:19" x14ac:dyDescent="0.3">
      <c r="A456">
        <v>453</v>
      </c>
      <c r="B456" t="s">
        <v>98</v>
      </c>
      <c r="C456" t="s">
        <v>78</v>
      </c>
      <c r="D456" t="s">
        <v>79</v>
      </c>
      <c r="E456" t="s">
        <v>31</v>
      </c>
      <c r="F456">
        <v>21</v>
      </c>
      <c r="G456" t="s">
        <v>113</v>
      </c>
      <c r="H456" t="b">
        <v>0</v>
      </c>
      <c r="I456" t="s">
        <v>57</v>
      </c>
      <c r="J456" t="s">
        <v>22</v>
      </c>
      <c r="K456" t="s">
        <v>33</v>
      </c>
      <c r="L456">
        <v>0.24</v>
      </c>
      <c r="M456" t="s">
        <v>40</v>
      </c>
      <c r="N456">
        <v>0.2273</v>
      </c>
      <c r="O456">
        <v>0.6</v>
      </c>
      <c r="P456">
        <v>0.25369999999999998</v>
      </c>
      <c r="Q456">
        <v>3</v>
      </c>
      <c r="R456">
        <v>54</v>
      </c>
      <c r="S456">
        <v>57</v>
      </c>
    </row>
    <row r="457" spans="1:19" x14ac:dyDescent="0.3">
      <c r="A457">
        <v>454</v>
      </c>
      <c r="B457" t="s">
        <v>98</v>
      </c>
      <c r="C457" t="s">
        <v>78</v>
      </c>
      <c r="D457" t="s">
        <v>79</v>
      </c>
      <c r="E457" t="s">
        <v>31</v>
      </c>
      <c r="F457">
        <v>22</v>
      </c>
      <c r="G457" t="s">
        <v>113</v>
      </c>
      <c r="H457" t="b">
        <v>0</v>
      </c>
      <c r="I457" t="s">
        <v>57</v>
      </c>
      <c r="J457" t="s">
        <v>22</v>
      </c>
      <c r="K457" t="s">
        <v>33</v>
      </c>
      <c r="L457">
        <v>0.24</v>
      </c>
      <c r="M457" t="s">
        <v>40</v>
      </c>
      <c r="N457">
        <v>0.21210000000000001</v>
      </c>
      <c r="O457">
        <v>0.65</v>
      </c>
      <c r="P457">
        <v>0.28360000000000002</v>
      </c>
      <c r="Q457">
        <v>0</v>
      </c>
      <c r="R457">
        <v>56</v>
      </c>
      <c r="S457">
        <v>56</v>
      </c>
    </row>
    <row r="458" spans="1:19" x14ac:dyDescent="0.3">
      <c r="A458">
        <v>455</v>
      </c>
      <c r="B458" t="s">
        <v>98</v>
      </c>
      <c r="C458" t="s">
        <v>78</v>
      </c>
      <c r="D458" t="s">
        <v>79</v>
      </c>
      <c r="E458" t="s">
        <v>31</v>
      </c>
      <c r="F458">
        <v>23</v>
      </c>
      <c r="G458" t="s">
        <v>113</v>
      </c>
      <c r="H458" t="b">
        <v>0</v>
      </c>
      <c r="I458" t="s">
        <v>57</v>
      </c>
      <c r="J458" t="s">
        <v>22</v>
      </c>
      <c r="K458" t="s">
        <v>33</v>
      </c>
      <c r="L458">
        <v>0.24</v>
      </c>
      <c r="M458" t="s">
        <v>40</v>
      </c>
      <c r="N458">
        <v>0.21210000000000001</v>
      </c>
      <c r="O458">
        <v>0.65</v>
      </c>
      <c r="P458">
        <v>0.32840000000000003</v>
      </c>
      <c r="Q458">
        <v>3</v>
      </c>
      <c r="R458">
        <v>28</v>
      </c>
      <c r="S458">
        <v>31</v>
      </c>
    </row>
    <row r="459" spans="1:19" x14ac:dyDescent="0.3">
      <c r="A459">
        <v>456</v>
      </c>
      <c r="B459" t="s">
        <v>99</v>
      </c>
      <c r="C459" t="s">
        <v>78</v>
      </c>
      <c r="D459" t="s">
        <v>79</v>
      </c>
      <c r="E459" t="s">
        <v>31</v>
      </c>
      <c r="F459">
        <v>0</v>
      </c>
      <c r="G459" t="s">
        <v>116</v>
      </c>
      <c r="H459" t="b">
        <v>0</v>
      </c>
      <c r="I459" t="s">
        <v>58</v>
      </c>
      <c r="J459" t="s">
        <v>22</v>
      </c>
      <c r="K459" t="s">
        <v>33</v>
      </c>
      <c r="L459">
        <v>0.24</v>
      </c>
      <c r="M459" t="s">
        <v>40</v>
      </c>
      <c r="N459">
        <v>0.2273</v>
      </c>
      <c r="O459">
        <v>0.7</v>
      </c>
      <c r="P459">
        <v>0.25369999999999998</v>
      </c>
      <c r="Q459">
        <v>1</v>
      </c>
      <c r="R459">
        <v>20</v>
      </c>
      <c r="S459">
        <v>21</v>
      </c>
    </row>
    <row r="460" spans="1:19" x14ac:dyDescent="0.3">
      <c r="A460">
        <v>457</v>
      </c>
      <c r="B460" t="s">
        <v>99</v>
      </c>
      <c r="C460" t="s">
        <v>78</v>
      </c>
      <c r="D460" t="s">
        <v>79</v>
      </c>
      <c r="E460" t="s">
        <v>31</v>
      </c>
      <c r="F460">
        <v>1</v>
      </c>
      <c r="G460" t="s">
        <v>116</v>
      </c>
      <c r="H460" t="b">
        <v>0</v>
      </c>
      <c r="I460" t="s">
        <v>58</v>
      </c>
      <c r="J460" t="s">
        <v>22</v>
      </c>
      <c r="K460" t="s">
        <v>33</v>
      </c>
      <c r="L460">
        <v>0.24</v>
      </c>
      <c r="M460" t="s">
        <v>40</v>
      </c>
      <c r="N460">
        <v>0.2273</v>
      </c>
      <c r="O460">
        <v>0.7</v>
      </c>
      <c r="P460">
        <v>0.25369999999999998</v>
      </c>
      <c r="Q460">
        <v>0</v>
      </c>
      <c r="R460">
        <v>6</v>
      </c>
      <c r="S460">
        <v>6</v>
      </c>
    </row>
    <row r="461" spans="1:19" x14ac:dyDescent="0.3">
      <c r="A461">
        <v>458</v>
      </c>
      <c r="B461" t="s">
        <v>99</v>
      </c>
      <c r="C461" t="s">
        <v>78</v>
      </c>
      <c r="D461" t="s">
        <v>79</v>
      </c>
      <c r="E461" t="s">
        <v>31</v>
      </c>
      <c r="F461">
        <v>2</v>
      </c>
      <c r="G461" t="s">
        <v>116</v>
      </c>
      <c r="H461" t="b">
        <v>0</v>
      </c>
      <c r="I461" t="s">
        <v>58</v>
      </c>
      <c r="J461" t="s">
        <v>22</v>
      </c>
      <c r="K461" t="s">
        <v>34</v>
      </c>
      <c r="L461">
        <v>0.24</v>
      </c>
      <c r="M461" t="s">
        <v>40</v>
      </c>
      <c r="N461">
        <v>0.2424</v>
      </c>
      <c r="O461">
        <v>0.75</v>
      </c>
      <c r="P461">
        <v>0.16420000000000001</v>
      </c>
      <c r="Q461">
        <v>0</v>
      </c>
      <c r="R461">
        <v>2</v>
      </c>
      <c r="S461">
        <v>2</v>
      </c>
    </row>
    <row r="462" spans="1:19" x14ac:dyDescent="0.3">
      <c r="A462">
        <v>459</v>
      </c>
      <c r="B462" t="s">
        <v>99</v>
      </c>
      <c r="C462" t="s">
        <v>78</v>
      </c>
      <c r="D462" t="s">
        <v>79</v>
      </c>
      <c r="E462" t="s">
        <v>31</v>
      </c>
      <c r="F462">
        <v>3</v>
      </c>
      <c r="G462" t="s">
        <v>116</v>
      </c>
      <c r="H462" t="b">
        <v>0</v>
      </c>
      <c r="I462" t="s">
        <v>58</v>
      </c>
      <c r="J462" t="s">
        <v>22</v>
      </c>
      <c r="K462" t="s">
        <v>34</v>
      </c>
      <c r="L462">
        <v>0.22</v>
      </c>
      <c r="M462" t="s">
        <v>40</v>
      </c>
      <c r="N462">
        <v>0.21210000000000001</v>
      </c>
      <c r="O462">
        <v>0.8</v>
      </c>
      <c r="P462">
        <v>0.29849999999999999</v>
      </c>
      <c r="Q462">
        <v>0</v>
      </c>
      <c r="R462">
        <v>1</v>
      </c>
      <c r="S462">
        <v>1</v>
      </c>
    </row>
    <row r="463" spans="1:19" x14ac:dyDescent="0.3">
      <c r="A463">
        <v>460</v>
      </c>
      <c r="B463" t="s">
        <v>99</v>
      </c>
      <c r="C463" t="s">
        <v>78</v>
      </c>
      <c r="D463" t="s">
        <v>79</v>
      </c>
      <c r="E463" t="s">
        <v>31</v>
      </c>
      <c r="F463">
        <v>4</v>
      </c>
      <c r="G463" t="s">
        <v>116</v>
      </c>
      <c r="H463" t="b">
        <v>0</v>
      </c>
      <c r="I463" t="s">
        <v>58</v>
      </c>
      <c r="J463" t="s">
        <v>22</v>
      </c>
      <c r="K463" t="s">
        <v>33</v>
      </c>
      <c r="L463">
        <v>0.22</v>
      </c>
      <c r="M463" t="s">
        <v>40</v>
      </c>
      <c r="N463">
        <v>0.2576</v>
      </c>
      <c r="O463">
        <v>0.87</v>
      </c>
      <c r="P463">
        <v>8.9599999999999999E-2</v>
      </c>
      <c r="Q463">
        <v>0</v>
      </c>
      <c r="R463">
        <v>1</v>
      </c>
      <c r="S463">
        <v>1</v>
      </c>
    </row>
    <row r="464" spans="1:19" x14ac:dyDescent="0.3">
      <c r="A464">
        <v>461</v>
      </c>
      <c r="B464" t="s">
        <v>99</v>
      </c>
      <c r="C464" t="s">
        <v>78</v>
      </c>
      <c r="D464" t="s">
        <v>79</v>
      </c>
      <c r="E464" t="s">
        <v>31</v>
      </c>
      <c r="F464">
        <v>5</v>
      </c>
      <c r="G464" t="s">
        <v>116</v>
      </c>
      <c r="H464" t="b">
        <v>0</v>
      </c>
      <c r="I464" t="s">
        <v>58</v>
      </c>
      <c r="J464" t="s">
        <v>22</v>
      </c>
      <c r="K464" t="s">
        <v>32</v>
      </c>
      <c r="L464">
        <v>0.24</v>
      </c>
      <c r="M464" t="s">
        <v>40</v>
      </c>
      <c r="N464">
        <v>0.19700000000000001</v>
      </c>
      <c r="O464">
        <v>0.6</v>
      </c>
      <c r="P464">
        <v>0.41789999999999999</v>
      </c>
      <c r="Q464">
        <v>1</v>
      </c>
      <c r="R464">
        <v>4</v>
      </c>
      <c r="S464">
        <v>5</v>
      </c>
    </row>
    <row r="465" spans="1:19" x14ac:dyDescent="0.3">
      <c r="A465">
        <v>462</v>
      </c>
      <c r="B465" t="s">
        <v>99</v>
      </c>
      <c r="C465" t="s">
        <v>78</v>
      </c>
      <c r="D465" t="s">
        <v>79</v>
      </c>
      <c r="E465" t="s">
        <v>31</v>
      </c>
      <c r="F465">
        <v>6</v>
      </c>
      <c r="G465" t="s">
        <v>115</v>
      </c>
      <c r="H465" t="b">
        <v>0</v>
      </c>
      <c r="I465" t="s">
        <v>58</v>
      </c>
      <c r="J465" t="s">
        <v>22</v>
      </c>
      <c r="K465" t="s">
        <v>32</v>
      </c>
      <c r="L465">
        <v>0.22</v>
      </c>
      <c r="M465" t="s">
        <v>40</v>
      </c>
      <c r="N465">
        <v>0.21210000000000001</v>
      </c>
      <c r="O465">
        <v>0.55000000000000004</v>
      </c>
      <c r="P465">
        <v>0.25369999999999998</v>
      </c>
      <c r="Q465">
        <v>0</v>
      </c>
      <c r="R465">
        <v>27</v>
      </c>
      <c r="S465">
        <v>27</v>
      </c>
    </row>
    <row r="466" spans="1:19" x14ac:dyDescent="0.3">
      <c r="A466">
        <v>463</v>
      </c>
      <c r="B466" t="s">
        <v>99</v>
      </c>
      <c r="C466" t="s">
        <v>78</v>
      </c>
      <c r="D466" t="s">
        <v>79</v>
      </c>
      <c r="E466" t="s">
        <v>31</v>
      </c>
      <c r="F466">
        <v>7</v>
      </c>
      <c r="G466" t="s">
        <v>115</v>
      </c>
      <c r="H466" t="b">
        <v>0</v>
      </c>
      <c r="I466" t="s">
        <v>58</v>
      </c>
      <c r="J466" t="s">
        <v>22</v>
      </c>
      <c r="K466" t="s">
        <v>32</v>
      </c>
      <c r="L466">
        <v>0.2</v>
      </c>
      <c r="M466" t="s">
        <v>40</v>
      </c>
      <c r="N466">
        <v>0.18179999999999999</v>
      </c>
      <c r="O466">
        <v>0.51</v>
      </c>
      <c r="P466">
        <v>0.28360000000000002</v>
      </c>
      <c r="Q466">
        <v>2</v>
      </c>
      <c r="R466">
        <v>66</v>
      </c>
      <c r="S466">
        <v>68</v>
      </c>
    </row>
    <row r="467" spans="1:19" x14ac:dyDescent="0.3">
      <c r="A467">
        <v>464</v>
      </c>
      <c r="B467" t="s">
        <v>99</v>
      </c>
      <c r="C467" t="s">
        <v>78</v>
      </c>
      <c r="D467" t="s">
        <v>79</v>
      </c>
      <c r="E467" t="s">
        <v>31</v>
      </c>
      <c r="F467">
        <v>8</v>
      </c>
      <c r="G467" t="s">
        <v>115</v>
      </c>
      <c r="H467" t="b">
        <v>0</v>
      </c>
      <c r="I467" t="s">
        <v>58</v>
      </c>
      <c r="J467" t="s">
        <v>22</v>
      </c>
      <c r="K467" t="s">
        <v>32</v>
      </c>
      <c r="L467">
        <v>0.2</v>
      </c>
      <c r="M467" t="s">
        <v>40</v>
      </c>
      <c r="N467">
        <v>0.18179999999999999</v>
      </c>
      <c r="O467">
        <v>0.47</v>
      </c>
      <c r="P467">
        <v>0.32840000000000003</v>
      </c>
      <c r="Q467">
        <v>7</v>
      </c>
      <c r="R467">
        <v>210</v>
      </c>
      <c r="S467">
        <v>217</v>
      </c>
    </row>
    <row r="468" spans="1:19" x14ac:dyDescent="0.3">
      <c r="A468">
        <v>465</v>
      </c>
      <c r="B468" t="s">
        <v>99</v>
      </c>
      <c r="C468" t="s">
        <v>78</v>
      </c>
      <c r="D468" t="s">
        <v>79</v>
      </c>
      <c r="E468" t="s">
        <v>31</v>
      </c>
      <c r="F468">
        <v>9</v>
      </c>
      <c r="G468" t="s">
        <v>115</v>
      </c>
      <c r="H468" t="b">
        <v>0</v>
      </c>
      <c r="I468" t="s">
        <v>58</v>
      </c>
      <c r="J468" t="s">
        <v>22</v>
      </c>
      <c r="K468" t="s">
        <v>32</v>
      </c>
      <c r="L468">
        <v>0.2</v>
      </c>
      <c r="M468" t="s">
        <v>40</v>
      </c>
      <c r="N468">
        <v>0.18179999999999999</v>
      </c>
      <c r="O468">
        <v>0.51</v>
      </c>
      <c r="P468">
        <v>0.35820000000000002</v>
      </c>
      <c r="Q468">
        <v>7</v>
      </c>
      <c r="R468">
        <v>159</v>
      </c>
      <c r="S468">
        <v>166</v>
      </c>
    </row>
    <row r="469" spans="1:19" x14ac:dyDescent="0.3">
      <c r="A469">
        <v>466</v>
      </c>
      <c r="B469" t="s">
        <v>99</v>
      </c>
      <c r="C469" t="s">
        <v>78</v>
      </c>
      <c r="D469" t="s">
        <v>79</v>
      </c>
      <c r="E469" t="s">
        <v>31</v>
      </c>
      <c r="F469">
        <v>10</v>
      </c>
      <c r="G469" t="s">
        <v>115</v>
      </c>
      <c r="H469" t="b">
        <v>0</v>
      </c>
      <c r="I469" t="s">
        <v>58</v>
      </c>
      <c r="J469" t="s">
        <v>22</v>
      </c>
      <c r="K469" t="s">
        <v>32</v>
      </c>
      <c r="L469">
        <v>0.2</v>
      </c>
      <c r="M469" t="s">
        <v>40</v>
      </c>
      <c r="N469">
        <v>0.16669999999999999</v>
      </c>
      <c r="O469">
        <v>0.47</v>
      </c>
      <c r="P469">
        <v>0.4627</v>
      </c>
      <c r="Q469">
        <v>6</v>
      </c>
      <c r="R469">
        <v>57</v>
      </c>
      <c r="S469">
        <v>63</v>
      </c>
    </row>
    <row r="470" spans="1:19" x14ac:dyDescent="0.3">
      <c r="A470">
        <v>467</v>
      </c>
      <c r="B470" t="s">
        <v>99</v>
      </c>
      <c r="C470" t="s">
        <v>78</v>
      </c>
      <c r="D470" t="s">
        <v>79</v>
      </c>
      <c r="E470" t="s">
        <v>31</v>
      </c>
      <c r="F470">
        <v>11</v>
      </c>
      <c r="G470" t="s">
        <v>115</v>
      </c>
      <c r="H470" t="b">
        <v>0</v>
      </c>
      <c r="I470" t="s">
        <v>58</v>
      </c>
      <c r="J470" t="s">
        <v>22</v>
      </c>
      <c r="K470" t="s">
        <v>32</v>
      </c>
      <c r="L470">
        <v>0.22</v>
      </c>
      <c r="M470" t="s">
        <v>40</v>
      </c>
      <c r="N470">
        <v>0.18179999999999999</v>
      </c>
      <c r="O470">
        <v>0.41</v>
      </c>
      <c r="P470">
        <v>0.4627</v>
      </c>
      <c r="Q470">
        <v>6</v>
      </c>
      <c r="R470">
        <v>53</v>
      </c>
      <c r="S470">
        <v>59</v>
      </c>
    </row>
    <row r="471" spans="1:19" x14ac:dyDescent="0.3">
      <c r="A471">
        <v>468</v>
      </c>
      <c r="B471" t="s">
        <v>99</v>
      </c>
      <c r="C471" t="s">
        <v>78</v>
      </c>
      <c r="D471" t="s">
        <v>79</v>
      </c>
      <c r="E471" t="s">
        <v>31</v>
      </c>
      <c r="F471">
        <v>12</v>
      </c>
      <c r="G471" t="s">
        <v>114</v>
      </c>
      <c r="H471" t="b">
        <v>0</v>
      </c>
      <c r="I471" t="s">
        <v>58</v>
      </c>
      <c r="J471" t="s">
        <v>22</v>
      </c>
      <c r="K471" t="s">
        <v>32</v>
      </c>
      <c r="L471">
        <v>0.22</v>
      </c>
      <c r="M471" t="s">
        <v>40</v>
      </c>
      <c r="N471">
        <v>0.18179999999999999</v>
      </c>
      <c r="O471">
        <v>0.27</v>
      </c>
      <c r="P471">
        <v>0.58209999999999995</v>
      </c>
      <c r="Q471">
        <v>11</v>
      </c>
      <c r="R471">
        <v>67</v>
      </c>
      <c r="S471">
        <v>78</v>
      </c>
    </row>
    <row r="472" spans="1:19" x14ac:dyDescent="0.3">
      <c r="A472">
        <v>469</v>
      </c>
      <c r="B472" t="s">
        <v>99</v>
      </c>
      <c r="C472" t="s">
        <v>78</v>
      </c>
      <c r="D472" t="s">
        <v>79</v>
      </c>
      <c r="E472" t="s">
        <v>31</v>
      </c>
      <c r="F472">
        <v>13</v>
      </c>
      <c r="G472" t="s">
        <v>114</v>
      </c>
      <c r="H472" t="b">
        <v>0</v>
      </c>
      <c r="I472" t="s">
        <v>58</v>
      </c>
      <c r="J472" t="s">
        <v>22</v>
      </c>
      <c r="K472" t="s">
        <v>32</v>
      </c>
      <c r="L472">
        <v>0.2</v>
      </c>
      <c r="M472" t="s">
        <v>40</v>
      </c>
      <c r="N472">
        <v>0.1515</v>
      </c>
      <c r="O472">
        <v>0.21</v>
      </c>
      <c r="P472">
        <v>0.58209999999999995</v>
      </c>
      <c r="Q472">
        <v>8</v>
      </c>
      <c r="R472">
        <v>65</v>
      </c>
      <c r="S472">
        <v>73</v>
      </c>
    </row>
    <row r="473" spans="1:19" x14ac:dyDescent="0.3">
      <c r="A473">
        <v>470</v>
      </c>
      <c r="B473" t="s">
        <v>99</v>
      </c>
      <c r="C473" t="s">
        <v>78</v>
      </c>
      <c r="D473" t="s">
        <v>79</v>
      </c>
      <c r="E473" t="s">
        <v>31</v>
      </c>
      <c r="F473">
        <v>14</v>
      </c>
      <c r="G473" t="s">
        <v>114</v>
      </c>
      <c r="H473" t="b">
        <v>0</v>
      </c>
      <c r="I473" t="s">
        <v>58</v>
      </c>
      <c r="J473" t="s">
        <v>22</v>
      </c>
      <c r="K473" t="s">
        <v>32</v>
      </c>
      <c r="L473">
        <v>0.2</v>
      </c>
      <c r="M473" t="s">
        <v>40</v>
      </c>
      <c r="N473">
        <v>0.1515</v>
      </c>
      <c r="O473">
        <v>0.25</v>
      </c>
      <c r="P473">
        <v>0.52239999999999998</v>
      </c>
      <c r="Q473">
        <v>6</v>
      </c>
      <c r="R473">
        <v>56</v>
      </c>
      <c r="S473">
        <v>62</v>
      </c>
    </row>
    <row r="474" spans="1:19" x14ac:dyDescent="0.3">
      <c r="A474">
        <v>471</v>
      </c>
      <c r="B474" t="s">
        <v>99</v>
      </c>
      <c r="C474" t="s">
        <v>78</v>
      </c>
      <c r="D474" t="s">
        <v>79</v>
      </c>
      <c r="E474" t="s">
        <v>31</v>
      </c>
      <c r="F474">
        <v>15</v>
      </c>
      <c r="G474" t="s">
        <v>114</v>
      </c>
      <c r="H474" t="b">
        <v>0</v>
      </c>
      <c r="I474" t="s">
        <v>58</v>
      </c>
      <c r="J474" t="s">
        <v>22</v>
      </c>
      <c r="K474" t="s">
        <v>32</v>
      </c>
      <c r="L474">
        <v>0.16</v>
      </c>
      <c r="M474" t="s">
        <v>40</v>
      </c>
      <c r="N474">
        <v>0.1212</v>
      </c>
      <c r="O474">
        <v>0.26</v>
      </c>
      <c r="P474">
        <v>0.44779999999999998</v>
      </c>
      <c r="Q474">
        <v>4</v>
      </c>
      <c r="R474">
        <v>61</v>
      </c>
      <c r="S474">
        <v>65</v>
      </c>
    </row>
    <row r="475" spans="1:19" x14ac:dyDescent="0.3">
      <c r="A475">
        <v>472</v>
      </c>
      <c r="B475" t="s">
        <v>99</v>
      </c>
      <c r="C475" t="s">
        <v>78</v>
      </c>
      <c r="D475" t="s">
        <v>79</v>
      </c>
      <c r="E475" t="s">
        <v>31</v>
      </c>
      <c r="F475">
        <v>16</v>
      </c>
      <c r="G475" t="s">
        <v>114</v>
      </c>
      <c r="H475" t="b">
        <v>0</v>
      </c>
      <c r="I475" t="s">
        <v>58</v>
      </c>
      <c r="J475" t="s">
        <v>22</v>
      </c>
      <c r="K475" t="s">
        <v>32</v>
      </c>
      <c r="L475">
        <v>0.16</v>
      </c>
      <c r="M475" t="s">
        <v>40</v>
      </c>
      <c r="N475">
        <v>0.13639999999999999</v>
      </c>
      <c r="O475">
        <v>0.26</v>
      </c>
      <c r="P475">
        <v>0.35820000000000002</v>
      </c>
      <c r="Q475">
        <v>0</v>
      </c>
      <c r="R475">
        <v>97</v>
      </c>
      <c r="S475">
        <v>97</v>
      </c>
    </row>
    <row r="476" spans="1:19" x14ac:dyDescent="0.3">
      <c r="A476">
        <v>473</v>
      </c>
      <c r="B476" t="s">
        <v>99</v>
      </c>
      <c r="C476" t="s">
        <v>78</v>
      </c>
      <c r="D476" t="s">
        <v>79</v>
      </c>
      <c r="E476" t="s">
        <v>31</v>
      </c>
      <c r="F476">
        <v>17</v>
      </c>
      <c r="G476" t="s">
        <v>114</v>
      </c>
      <c r="H476" t="b">
        <v>0</v>
      </c>
      <c r="I476" t="s">
        <v>58</v>
      </c>
      <c r="J476" t="s">
        <v>22</v>
      </c>
      <c r="K476" t="s">
        <v>32</v>
      </c>
      <c r="L476">
        <v>0.14000000000000001</v>
      </c>
      <c r="M476" t="s">
        <v>44</v>
      </c>
      <c r="N476">
        <v>0.1212</v>
      </c>
      <c r="O476">
        <v>0.28000000000000003</v>
      </c>
      <c r="P476">
        <v>0.35820000000000002</v>
      </c>
      <c r="Q476">
        <v>10</v>
      </c>
      <c r="R476">
        <v>151</v>
      </c>
      <c r="S476">
        <v>161</v>
      </c>
    </row>
    <row r="477" spans="1:19" x14ac:dyDescent="0.3">
      <c r="A477">
        <v>474</v>
      </c>
      <c r="B477" t="s">
        <v>99</v>
      </c>
      <c r="C477" t="s">
        <v>78</v>
      </c>
      <c r="D477" t="s">
        <v>79</v>
      </c>
      <c r="E477" t="s">
        <v>31</v>
      </c>
      <c r="F477">
        <v>18</v>
      </c>
      <c r="G477" t="s">
        <v>113</v>
      </c>
      <c r="H477" t="b">
        <v>0</v>
      </c>
      <c r="I477" t="s">
        <v>58</v>
      </c>
      <c r="J477" t="s">
        <v>22</v>
      </c>
      <c r="K477" t="s">
        <v>32</v>
      </c>
      <c r="L477">
        <v>0.12</v>
      </c>
      <c r="M477" t="s">
        <v>44</v>
      </c>
      <c r="N477">
        <v>0.1212</v>
      </c>
      <c r="O477">
        <v>0.3</v>
      </c>
      <c r="P477">
        <v>0.25369999999999998</v>
      </c>
      <c r="Q477">
        <v>1</v>
      </c>
      <c r="R477">
        <v>119</v>
      </c>
      <c r="S477">
        <v>120</v>
      </c>
    </row>
    <row r="478" spans="1:19" x14ac:dyDescent="0.3">
      <c r="A478">
        <v>475</v>
      </c>
      <c r="B478" t="s">
        <v>99</v>
      </c>
      <c r="C478" t="s">
        <v>78</v>
      </c>
      <c r="D478" t="s">
        <v>79</v>
      </c>
      <c r="E478" t="s">
        <v>31</v>
      </c>
      <c r="F478">
        <v>19</v>
      </c>
      <c r="G478" t="s">
        <v>113</v>
      </c>
      <c r="H478" t="b">
        <v>0</v>
      </c>
      <c r="I478" t="s">
        <v>58</v>
      </c>
      <c r="J478" t="s">
        <v>22</v>
      </c>
      <c r="K478" t="s">
        <v>32</v>
      </c>
      <c r="L478">
        <v>0.12</v>
      </c>
      <c r="M478" t="s">
        <v>44</v>
      </c>
      <c r="N478">
        <v>0.1061</v>
      </c>
      <c r="O478">
        <v>0.3</v>
      </c>
      <c r="P478">
        <v>0.32840000000000003</v>
      </c>
      <c r="Q478">
        <v>3</v>
      </c>
      <c r="R478">
        <v>93</v>
      </c>
      <c r="S478">
        <v>96</v>
      </c>
    </row>
    <row r="479" spans="1:19" x14ac:dyDescent="0.3">
      <c r="A479">
        <v>476</v>
      </c>
      <c r="B479" t="s">
        <v>99</v>
      </c>
      <c r="C479" t="s">
        <v>78</v>
      </c>
      <c r="D479" t="s">
        <v>79</v>
      </c>
      <c r="E479" t="s">
        <v>31</v>
      </c>
      <c r="F479">
        <v>20</v>
      </c>
      <c r="G479" t="s">
        <v>113</v>
      </c>
      <c r="H479" t="b">
        <v>0</v>
      </c>
      <c r="I479" t="s">
        <v>58</v>
      </c>
      <c r="J479" t="s">
        <v>22</v>
      </c>
      <c r="K479" t="s">
        <v>32</v>
      </c>
      <c r="L479">
        <v>0.1</v>
      </c>
      <c r="M479" t="s">
        <v>44</v>
      </c>
      <c r="N479">
        <v>7.5800000000000006E-2</v>
      </c>
      <c r="O479">
        <v>0.33</v>
      </c>
      <c r="P479">
        <v>0.41789999999999999</v>
      </c>
      <c r="Q479">
        <v>1</v>
      </c>
      <c r="R479">
        <v>52</v>
      </c>
      <c r="S479">
        <v>53</v>
      </c>
    </row>
    <row r="480" spans="1:19" x14ac:dyDescent="0.3">
      <c r="A480">
        <v>477</v>
      </c>
      <c r="B480" t="s">
        <v>99</v>
      </c>
      <c r="C480" t="s">
        <v>78</v>
      </c>
      <c r="D480" t="s">
        <v>79</v>
      </c>
      <c r="E480" t="s">
        <v>31</v>
      </c>
      <c r="F480">
        <v>21</v>
      </c>
      <c r="G480" t="s">
        <v>113</v>
      </c>
      <c r="H480" t="b">
        <v>0</v>
      </c>
      <c r="I480" t="s">
        <v>58</v>
      </c>
      <c r="J480" t="s">
        <v>22</v>
      </c>
      <c r="K480" t="s">
        <v>32</v>
      </c>
      <c r="L480">
        <v>0.08</v>
      </c>
      <c r="M480" t="s">
        <v>44</v>
      </c>
      <c r="N480">
        <v>7.5800000000000006E-2</v>
      </c>
      <c r="O480">
        <v>0.38</v>
      </c>
      <c r="P480">
        <v>0.28360000000000002</v>
      </c>
      <c r="Q480">
        <v>0</v>
      </c>
      <c r="R480">
        <v>41</v>
      </c>
      <c r="S480">
        <v>41</v>
      </c>
    </row>
    <row r="481" spans="1:19" x14ac:dyDescent="0.3">
      <c r="A481">
        <v>478</v>
      </c>
      <c r="B481" t="s">
        <v>99</v>
      </c>
      <c r="C481" t="s">
        <v>78</v>
      </c>
      <c r="D481" t="s">
        <v>79</v>
      </c>
      <c r="E481" t="s">
        <v>31</v>
      </c>
      <c r="F481">
        <v>22</v>
      </c>
      <c r="G481" t="s">
        <v>113</v>
      </c>
      <c r="H481" t="b">
        <v>0</v>
      </c>
      <c r="I481" t="s">
        <v>58</v>
      </c>
      <c r="J481" t="s">
        <v>22</v>
      </c>
      <c r="K481" t="s">
        <v>32</v>
      </c>
      <c r="L481">
        <v>0.06</v>
      </c>
      <c r="M481" t="s">
        <v>44</v>
      </c>
      <c r="N481">
        <v>3.0300000000000001E-2</v>
      </c>
      <c r="O481">
        <v>0.41</v>
      </c>
      <c r="P481">
        <v>0.3881</v>
      </c>
      <c r="Q481">
        <v>1</v>
      </c>
      <c r="R481">
        <v>33</v>
      </c>
      <c r="S481">
        <v>34</v>
      </c>
    </row>
    <row r="482" spans="1:19" x14ac:dyDescent="0.3">
      <c r="A482">
        <v>479</v>
      </c>
      <c r="B482" t="s">
        <v>99</v>
      </c>
      <c r="C482" t="s">
        <v>78</v>
      </c>
      <c r="D482" t="s">
        <v>79</v>
      </c>
      <c r="E482" t="s">
        <v>31</v>
      </c>
      <c r="F482">
        <v>23</v>
      </c>
      <c r="G482" t="s">
        <v>113</v>
      </c>
      <c r="H482" t="b">
        <v>0</v>
      </c>
      <c r="I482" t="s">
        <v>58</v>
      </c>
      <c r="J482" t="s">
        <v>22</v>
      </c>
      <c r="K482" t="s">
        <v>32</v>
      </c>
      <c r="L482">
        <v>0.06</v>
      </c>
      <c r="M482" t="s">
        <v>44</v>
      </c>
      <c r="N482">
        <v>4.5499999999999999E-2</v>
      </c>
      <c r="O482">
        <v>0.38</v>
      </c>
      <c r="P482">
        <v>0.32840000000000003</v>
      </c>
      <c r="Q482">
        <v>0</v>
      </c>
      <c r="R482">
        <v>27</v>
      </c>
      <c r="S482">
        <v>27</v>
      </c>
    </row>
    <row r="483" spans="1:19" x14ac:dyDescent="0.3">
      <c r="A483">
        <v>480</v>
      </c>
      <c r="B483" t="s">
        <v>100</v>
      </c>
      <c r="C483" t="s">
        <v>78</v>
      </c>
      <c r="D483" t="s">
        <v>79</v>
      </c>
      <c r="E483" t="s">
        <v>31</v>
      </c>
      <c r="F483">
        <v>0</v>
      </c>
      <c r="G483" t="s">
        <v>116</v>
      </c>
      <c r="H483" t="b">
        <v>0</v>
      </c>
      <c r="I483" t="s">
        <v>52</v>
      </c>
      <c r="J483" t="s">
        <v>38</v>
      </c>
      <c r="K483" t="s">
        <v>32</v>
      </c>
      <c r="L483">
        <v>0.04</v>
      </c>
      <c r="M483" t="s">
        <v>44</v>
      </c>
      <c r="N483">
        <v>3.0300000000000001E-2</v>
      </c>
      <c r="O483">
        <v>0.45</v>
      </c>
      <c r="P483">
        <v>0.25369999999999998</v>
      </c>
      <c r="Q483">
        <v>0</v>
      </c>
      <c r="R483">
        <v>13</v>
      </c>
      <c r="S483">
        <v>13</v>
      </c>
    </row>
    <row r="484" spans="1:19" x14ac:dyDescent="0.3">
      <c r="A484">
        <v>481</v>
      </c>
      <c r="B484" t="s">
        <v>100</v>
      </c>
      <c r="C484" t="s">
        <v>78</v>
      </c>
      <c r="D484" t="s">
        <v>79</v>
      </c>
      <c r="E484" t="s">
        <v>31</v>
      </c>
      <c r="F484">
        <v>1</v>
      </c>
      <c r="G484" t="s">
        <v>116</v>
      </c>
      <c r="H484" t="b">
        <v>0</v>
      </c>
      <c r="I484" t="s">
        <v>52</v>
      </c>
      <c r="J484" t="s">
        <v>38</v>
      </c>
      <c r="K484" t="s">
        <v>33</v>
      </c>
      <c r="L484">
        <v>0.04</v>
      </c>
      <c r="M484" t="s">
        <v>44</v>
      </c>
      <c r="N484">
        <v>0</v>
      </c>
      <c r="O484">
        <v>0.41</v>
      </c>
      <c r="P484">
        <v>0.3881</v>
      </c>
      <c r="Q484">
        <v>3</v>
      </c>
      <c r="R484">
        <v>9</v>
      </c>
      <c r="S484">
        <v>12</v>
      </c>
    </row>
    <row r="485" spans="1:19" x14ac:dyDescent="0.3">
      <c r="A485">
        <v>482</v>
      </c>
      <c r="B485" t="s">
        <v>100</v>
      </c>
      <c r="C485" t="s">
        <v>78</v>
      </c>
      <c r="D485" t="s">
        <v>79</v>
      </c>
      <c r="E485" t="s">
        <v>31</v>
      </c>
      <c r="F485">
        <v>2</v>
      </c>
      <c r="G485" t="s">
        <v>116</v>
      </c>
      <c r="H485" t="b">
        <v>0</v>
      </c>
      <c r="I485" t="s">
        <v>52</v>
      </c>
      <c r="J485" t="s">
        <v>38</v>
      </c>
      <c r="K485" t="s">
        <v>33</v>
      </c>
      <c r="L485">
        <v>0.04</v>
      </c>
      <c r="M485" t="s">
        <v>44</v>
      </c>
      <c r="N485">
        <v>3.0300000000000001E-2</v>
      </c>
      <c r="O485">
        <v>0.41</v>
      </c>
      <c r="P485">
        <v>0.25369999999999998</v>
      </c>
      <c r="Q485">
        <v>0</v>
      </c>
      <c r="R485">
        <v>11</v>
      </c>
      <c r="S485">
        <v>11</v>
      </c>
    </row>
    <row r="486" spans="1:19" x14ac:dyDescent="0.3">
      <c r="A486">
        <v>483</v>
      </c>
      <c r="B486" t="s">
        <v>100</v>
      </c>
      <c r="C486" t="s">
        <v>78</v>
      </c>
      <c r="D486" t="s">
        <v>79</v>
      </c>
      <c r="E486" t="s">
        <v>31</v>
      </c>
      <c r="F486">
        <v>3</v>
      </c>
      <c r="G486" t="s">
        <v>116</v>
      </c>
      <c r="H486" t="b">
        <v>0</v>
      </c>
      <c r="I486" t="s">
        <v>52</v>
      </c>
      <c r="J486" t="s">
        <v>38</v>
      </c>
      <c r="K486" t="s">
        <v>33</v>
      </c>
      <c r="L486">
        <v>0.04</v>
      </c>
      <c r="M486" t="s">
        <v>44</v>
      </c>
      <c r="N486">
        <v>3.0300000000000001E-2</v>
      </c>
      <c r="O486">
        <v>0.41</v>
      </c>
      <c r="P486">
        <v>0.28360000000000002</v>
      </c>
      <c r="Q486">
        <v>1</v>
      </c>
      <c r="R486">
        <v>6</v>
      </c>
      <c r="S486">
        <v>7</v>
      </c>
    </row>
    <row r="487" spans="1:19" x14ac:dyDescent="0.3">
      <c r="A487">
        <v>484</v>
      </c>
      <c r="B487" t="s">
        <v>100</v>
      </c>
      <c r="C487" t="s">
        <v>78</v>
      </c>
      <c r="D487" t="s">
        <v>79</v>
      </c>
      <c r="E487" t="s">
        <v>31</v>
      </c>
      <c r="F487">
        <v>4</v>
      </c>
      <c r="G487" t="s">
        <v>116</v>
      </c>
      <c r="H487" t="b">
        <v>0</v>
      </c>
      <c r="I487" t="s">
        <v>52</v>
      </c>
      <c r="J487" t="s">
        <v>38</v>
      </c>
      <c r="K487" t="s">
        <v>33</v>
      </c>
      <c r="L487">
        <v>0.02</v>
      </c>
      <c r="M487" t="s">
        <v>44</v>
      </c>
      <c r="N487">
        <v>1.52E-2</v>
      </c>
      <c r="O487">
        <v>0.48</v>
      </c>
      <c r="P487">
        <v>0.29849999999999999</v>
      </c>
      <c r="Q487">
        <v>0</v>
      </c>
      <c r="R487">
        <v>3</v>
      </c>
      <c r="S487">
        <v>3</v>
      </c>
    </row>
    <row r="488" spans="1:19" x14ac:dyDescent="0.3">
      <c r="A488">
        <v>485</v>
      </c>
      <c r="B488" t="s">
        <v>100</v>
      </c>
      <c r="C488" t="s">
        <v>78</v>
      </c>
      <c r="D488" t="s">
        <v>79</v>
      </c>
      <c r="E488" t="s">
        <v>31</v>
      </c>
      <c r="F488">
        <v>6</v>
      </c>
      <c r="G488" t="s">
        <v>115</v>
      </c>
      <c r="H488" t="b">
        <v>0</v>
      </c>
      <c r="I488" t="s">
        <v>52</v>
      </c>
      <c r="J488" t="s">
        <v>38</v>
      </c>
      <c r="K488" t="s">
        <v>33</v>
      </c>
      <c r="L488">
        <v>0.02</v>
      </c>
      <c r="M488" t="s">
        <v>44</v>
      </c>
      <c r="N488">
        <v>3.0300000000000001E-2</v>
      </c>
      <c r="O488">
        <v>0.44</v>
      </c>
      <c r="P488">
        <v>0.22389999999999999</v>
      </c>
      <c r="Q488">
        <v>0</v>
      </c>
      <c r="R488">
        <v>2</v>
      </c>
      <c r="S488">
        <v>2</v>
      </c>
    </row>
    <row r="489" spans="1:19" x14ac:dyDescent="0.3">
      <c r="A489">
        <v>486</v>
      </c>
      <c r="B489" t="s">
        <v>100</v>
      </c>
      <c r="C489" t="s">
        <v>78</v>
      </c>
      <c r="D489" t="s">
        <v>79</v>
      </c>
      <c r="E489" t="s">
        <v>31</v>
      </c>
      <c r="F489">
        <v>7</v>
      </c>
      <c r="G489" t="s">
        <v>115</v>
      </c>
      <c r="H489" t="b">
        <v>0</v>
      </c>
      <c r="I489" t="s">
        <v>52</v>
      </c>
      <c r="J489" t="s">
        <v>38</v>
      </c>
      <c r="K489" t="s">
        <v>32</v>
      </c>
      <c r="L489">
        <v>0.02</v>
      </c>
      <c r="M489" t="s">
        <v>44</v>
      </c>
      <c r="N489">
        <v>1.52E-2</v>
      </c>
      <c r="O489">
        <v>0.44</v>
      </c>
      <c r="P489">
        <v>0.28360000000000002</v>
      </c>
      <c r="Q489">
        <v>0</v>
      </c>
      <c r="R489">
        <v>8</v>
      </c>
      <c r="S489">
        <v>8</v>
      </c>
    </row>
    <row r="490" spans="1:19" x14ac:dyDescent="0.3">
      <c r="A490">
        <v>487</v>
      </c>
      <c r="B490" t="s">
        <v>100</v>
      </c>
      <c r="C490" t="s">
        <v>78</v>
      </c>
      <c r="D490" t="s">
        <v>79</v>
      </c>
      <c r="E490" t="s">
        <v>31</v>
      </c>
      <c r="F490">
        <v>8</v>
      </c>
      <c r="G490" t="s">
        <v>115</v>
      </c>
      <c r="H490" t="b">
        <v>0</v>
      </c>
      <c r="I490" t="s">
        <v>52</v>
      </c>
      <c r="J490" t="s">
        <v>38</v>
      </c>
      <c r="K490" t="s">
        <v>32</v>
      </c>
      <c r="L490">
        <v>0.02</v>
      </c>
      <c r="M490" t="s">
        <v>44</v>
      </c>
      <c r="N490">
        <v>0</v>
      </c>
      <c r="O490">
        <v>0.44</v>
      </c>
      <c r="P490">
        <v>0.32840000000000003</v>
      </c>
      <c r="Q490">
        <v>1</v>
      </c>
      <c r="R490">
        <v>26</v>
      </c>
      <c r="S490">
        <v>27</v>
      </c>
    </row>
    <row r="491" spans="1:19" x14ac:dyDescent="0.3">
      <c r="A491">
        <v>488</v>
      </c>
      <c r="B491" t="s">
        <v>100</v>
      </c>
      <c r="C491" t="s">
        <v>78</v>
      </c>
      <c r="D491" t="s">
        <v>79</v>
      </c>
      <c r="E491" t="s">
        <v>31</v>
      </c>
      <c r="F491">
        <v>9</v>
      </c>
      <c r="G491" t="s">
        <v>115</v>
      </c>
      <c r="H491" t="b">
        <v>0</v>
      </c>
      <c r="I491" t="s">
        <v>52</v>
      </c>
      <c r="J491" t="s">
        <v>38</v>
      </c>
      <c r="K491" t="s">
        <v>32</v>
      </c>
      <c r="L491">
        <v>0.04</v>
      </c>
      <c r="M491" t="s">
        <v>44</v>
      </c>
      <c r="N491">
        <v>3.0300000000000001E-2</v>
      </c>
      <c r="O491">
        <v>0.41</v>
      </c>
      <c r="P491">
        <v>0.25369999999999998</v>
      </c>
      <c r="Q491">
        <v>3</v>
      </c>
      <c r="R491">
        <v>37</v>
      </c>
      <c r="S491">
        <v>40</v>
      </c>
    </row>
    <row r="492" spans="1:19" x14ac:dyDescent="0.3">
      <c r="A492">
        <v>489</v>
      </c>
      <c r="B492" t="s">
        <v>100</v>
      </c>
      <c r="C492" t="s">
        <v>78</v>
      </c>
      <c r="D492" t="s">
        <v>79</v>
      </c>
      <c r="E492" t="s">
        <v>31</v>
      </c>
      <c r="F492">
        <v>10</v>
      </c>
      <c r="G492" t="s">
        <v>115</v>
      </c>
      <c r="H492" t="b">
        <v>0</v>
      </c>
      <c r="I492" t="s">
        <v>52</v>
      </c>
      <c r="J492" t="s">
        <v>38</v>
      </c>
      <c r="K492" t="s">
        <v>33</v>
      </c>
      <c r="L492">
        <v>0.04</v>
      </c>
      <c r="M492" t="s">
        <v>44</v>
      </c>
      <c r="N492">
        <v>6.0600000000000001E-2</v>
      </c>
      <c r="O492">
        <v>0.41</v>
      </c>
      <c r="P492">
        <v>0.16420000000000001</v>
      </c>
      <c r="Q492">
        <v>3</v>
      </c>
      <c r="R492">
        <v>50</v>
      </c>
      <c r="S492">
        <v>53</v>
      </c>
    </row>
    <row r="493" spans="1:19" x14ac:dyDescent="0.3">
      <c r="A493">
        <v>490</v>
      </c>
      <c r="B493" t="s">
        <v>100</v>
      </c>
      <c r="C493" t="s">
        <v>78</v>
      </c>
      <c r="D493" t="s">
        <v>79</v>
      </c>
      <c r="E493" t="s">
        <v>31</v>
      </c>
      <c r="F493">
        <v>11</v>
      </c>
      <c r="G493" t="s">
        <v>115</v>
      </c>
      <c r="H493" t="b">
        <v>0</v>
      </c>
      <c r="I493" t="s">
        <v>52</v>
      </c>
      <c r="J493" t="s">
        <v>38</v>
      </c>
      <c r="K493" t="s">
        <v>33</v>
      </c>
      <c r="L493">
        <v>0.06</v>
      </c>
      <c r="M493" t="s">
        <v>44</v>
      </c>
      <c r="N493">
        <v>7.5800000000000006E-2</v>
      </c>
      <c r="O493">
        <v>0.38</v>
      </c>
      <c r="P493">
        <v>0.1343</v>
      </c>
      <c r="Q493">
        <v>4</v>
      </c>
      <c r="R493">
        <v>59</v>
      </c>
      <c r="S493">
        <v>63</v>
      </c>
    </row>
    <row r="494" spans="1:19" x14ac:dyDescent="0.3">
      <c r="A494">
        <v>491</v>
      </c>
      <c r="B494" t="s">
        <v>100</v>
      </c>
      <c r="C494" t="s">
        <v>78</v>
      </c>
      <c r="D494" t="s">
        <v>79</v>
      </c>
      <c r="E494" t="s">
        <v>31</v>
      </c>
      <c r="F494">
        <v>12</v>
      </c>
      <c r="G494" t="s">
        <v>114</v>
      </c>
      <c r="H494" t="b">
        <v>0</v>
      </c>
      <c r="I494" t="s">
        <v>52</v>
      </c>
      <c r="J494" t="s">
        <v>38</v>
      </c>
      <c r="K494" t="s">
        <v>33</v>
      </c>
      <c r="L494">
        <v>0.06</v>
      </c>
      <c r="M494" t="s">
        <v>44</v>
      </c>
      <c r="N494">
        <v>0.1061</v>
      </c>
      <c r="O494">
        <v>0.38</v>
      </c>
      <c r="P494">
        <v>0.1045</v>
      </c>
      <c r="Q494">
        <v>10</v>
      </c>
      <c r="R494">
        <v>60</v>
      </c>
      <c r="S494">
        <v>70</v>
      </c>
    </row>
    <row r="495" spans="1:19" x14ac:dyDescent="0.3">
      <c r="A495">
        <v>492</v>
      </c>
      <c r="B495" t="s">
        <v>100</v>
      </c>
      <c r="C495" t="s">
        <v>78</v>
      </c>
      <c r="D495" t="s">
        <v>79</v>
      </c>
      <c r="E495" t="s">
        <v>31</v>
      </c>
      <c r="F495">
        <v>13</v>
      </c>
      <c r="G495" t="s">
        <v>114</v>
      </c>
      <c r="H495" t="b">
        <v>0</v>
      </c>
      <c r="I495" t="s">
        <v>52</v>
      </c>
      <c r="J495" t="s">
        <v>38</v>
      </c>
      <c r="K495" t="s">
        <v>32</v>
      </c>
      <c r="L495">
        <v>0.08</v>
      </c>
      <c r="M495" t="s">
        <v>44</v>
      </c>
      <c r="N495">
        <v>0.16669999999999999</v>
      </c>
      <c r="O495">
        <v>0.35</v>
      </c>
      <c r="P495">
        <v>0</v>
      </c>
      <c r="Q495">
        <v>12</v>
      </c>
      <c r="R495">
        <v>72</v>
      </c>
      <c r="S495">
        <v>84</v>
      </c>
    </row>
    <row r="496" spans="1:19" x14ac:dyDescent="0.3">
      <c r="A496">
        <v>493</v>
      </c>
      <c r="B496" t="s">
        <v>100</v>
      </c>
      <c r="C496" t="s">
        <v>78</v>
      </c>
      <c r="D496" t="s">
        <v>79</v>
      </c>
      <c r="E496" t="s">
        <v>31</v>
      </c>
      <c r="F496">
        <v>14</v>
      </c>
      <c r="G496" t="s">
        <v>114</v>
      </c>
      <c r="H496" t="b">
        <v>0</v>
      </c>
      <c r="I496" t="s">
        <v>52</v>
      </c>
      <c r="J496" t="s">
        <v>38</v>
      </c>
      <c r="K496" t="s">
        <v>32</v>
      </c>
      <c r="L496">
        <v>0.1</v>
      </c>
      <c r="M496" t="s">
        <v>44</v>
      </c>
      <c r="N496">
        <v>0.13639999999999999</v>
      </c>
      <c r="O496">
        <v>0.33</v>
      </c>
      <c r="P496">
        <v>0.1045</v>
      </c>
      <c r="Q496">
        <v>11</v>
      </c>
      <c r="R496">
        <v>64</v>
      </c>
      <c r="S496">
        <v>75</v>
      </c>
    </row>
    <row r="497" spans="1:19" x14ac:dyDescent="0.3">
      <c r="A497">
        <v>494</v>
      </c>
      <c r="B497" t="s">
        <v>100</v>
      </c>
      <c r="C497" t="s">
        <v>78</v>
      </c>
      <c r="D497" t="s">
        <v>79</v>
      </c>
      <c r="E497" t="s">
        <v>31</v>
      </c>
      <c r="F497">
        <v>15</v>
      </c>
      <c r="G497" t="s">
        <v>114</v>
      </c>
      <c r="H497" t="b">
        <v>0</v>
      </c>
      <c r="I497" t="s">
        <v>52</v>
      </c>
      <c r="J497" t="s">
        <v>38</v>
      </c>
      <c r="K497" t="s">
        <v>32</v>
      </c>
      <c r="L497">
        <v>0.12</v>
      </c>
      <c r="M497" t="s">
        <v>44</v>
      </c>
      <c r="N497">
        <v>0.1515</v>
      </c>
      <c r="O497">
        <v>0.28000000000000003</v>
      </c>
      <c r="P497">
        <v>0</v>
      </c>
      <c r="Q497">
        <v>10</v>
      </c>
      <c r="R497">
        <v>93</v>
      </c>
      <c r="S497">
        <v>103</v>
      </c>
    </row>
    <row r="498" spans="1:19" x14ac:dyDescent="0.3">
      <c r="A498">
        <v>495</v>
      </c>
      <c r="B498" t="s">
        <v>100</v>
      </c>
      <c r="C498" t="s">
        <v>78</v>
      </c>
      <c r="D498" t="s">
        <v>79</v>
      </c>
      <c r="E498" t="s">
        <v>31</v>
      </c>
      <c r="F498">
        <v>16</v>
      </c>
      <c r="G498" t="s">
        <v>114</v>
      </c>
      <c r="H498" t="b">
        <v>0</v>
      </c>
      <c r="I498" t="s">
        <v>52</v>
      </c>
      <c r="J498" t="s">
        <v>38</v>
      </c>
      <c r="K498" t="s">
        <v>32</v>
      </c>
      <c r="L498">
        <v>0.12</v>
      </c>
      <c r="M498" t="s">
        <v>44</v>
      </c>
      <c r="N498">
        <v>0.13639999999999999</v>
      </c>
      <c r="O498">
        <v>0.28000000000000003</v>
      </c>
      <c r="P498">
        <v>0.19400000000000001</v>
      </c>
      <c r="Q498">
        <v>11</v>
      </c>
      <c r="R498">
        <v>72</v>
      </c>
      <c r="S498">
        <v>83</v>
      </c>
    </row>
    <row r="499" spans="1:19" x14ac:dyDescent="0.3">
      <c r="A499">
        <v>496</v>
      </c>
      <c r="B499" t="s">
        <v>100</v>
      </c>
      <c r="C499" t="s">
        <v>78</v>
      </c>
      <c r="D499" t="s">
        <v>79</v>
      </c>
      <c r="E499" t="s">
        <v>31</v>
      </c>
      <c r="F499">
        <v>17</v>
      </c>
      <c r="G499" t="s">
        <v>114</v>
      </c>
      <c r="H499" t="b">
        <v>0</v>
      </c>
      <c r="I499" t="s">
        <v>52</v>
      </c>
      <c r="J499" t="s">
        <v>38</v>
      </c>
      <c r="K499" t="s">
        <v>32</v>
      </c>
      <c r="L499">
        <v>0.12</v>
      </c>
      <c r="M499" t="s">
        <v>44</v>
      </c>
      <c r="N499">
        <v>0.19700000000000001</v>
      </c>
      <c r="O499">
        <v>0.28000000000000003</v>
      </c>
      <c r="P499">
        <v>0</v>
      </c>
      <c r="Q499">
        <v>8</v>
      </c>
      <c r="R499">
        <v>59</v>
      </c>
      <c r="S499">
        <v>67</v>
      </c>
    </row>
    <row r="500" spans="1:19" x14ac:dyDescent="0.3">
      <c r="A500">
        <v>497</v>
      </c>
      <c r="B500" t="s">
        <v>100</v>
      </c>
      <c r="C500" t="s">
        <v>78</v>
      </c>
      <c r="D500" t="s">
        <v>79</v>
      </c>
      <c r="E500" t="s">
        <v>31</v>
      </c>
      <c r="F500">
        <v>18</v>
      </c>
      <c r="G500" t="s">
        <v>113</v>
      </c>
      <c r="H500" t="b">
        <v>0</v>
      </c>
      <c r="I500" t="s">
        <v>52</v>
      </c>
      <c r="J500" t="s">
        <v>38</v>
      </c>
      <c r="K500" t="s">
        <v>32</v>
      </c>
      <c r="L500">
        <v>0.08</v>
      </c>
      <c r="M500" t="s">
        <v>44</v>
      </c>
      <c r="N500">
        <v>9.0899999999999995E-2</v>
      </c>
      <c r="O500">
        <v>0.35</v>
      </c>
      <c r="P500">
        <v>0.19400000000000001</v>
      </c>
      <c r="Q500">
        <v>0</v>
      </c>
      <c r="R500">
        <v>54</v>
      </c>
      <c r="S500">
        <v>54</v>
      </c>
    </row>
    <row r="501" spans="1:19" x14ac:dyDescent="0.3">
      <c r="A501">
        <v>498</v>
      </c>
      <c r="B501" t="s">
        <v>100</v>
      </c>
      <c r="C501" t="s">
        <v>78</v>
      </c>
      <c r="D501" t="s">
        <v>79</v>
      </c>
      <c r="E501" t="s">
        <v>31</v>
      </c>
      <c r="F501">
        <v>19</v>
      </c>
      <c r="G501" t="s">
        <v>113</v>
      </c>
      <c r="H501" t="b">
        <v>0</v>
      </c>
      <c r="I501" t="s">
        <v>52</v>
      </c>
      <c r="J501" t="s">
        <v>38</v>
      </c>
      <c r="K501" t="s">
        <v>32</v>
      </c>
      <c r="L501">
        <v>0.08</v>
      </c>
      <c r="M501" t="s">
        <v>44</v>
      </c>
      <c r="N501">
        <v>0.1061</v>
      </c>
      <c r="O501">
        <v>0.35</v>
      </c>
      <c r="P501">
        <v>0.1343</v>
      </c>
      <c r="Q501">
        <v>6</v>
      </c>
      <c r="R501">
        <v>53</v>
      </c>
      <c r="S501">
        <v>59</v>
      </c>
    </row>
    <row r="502" spans="1:19" x14ac:dyDescent="0.3">
      <c r="A502">
        <v>499</v>
      </c>
      <c r="B502" t="s">
        <v>100</v>
      </c>
      <c r="C502" t="s">
        <v>78</v>
      </c>
      <c r="D502" t="s">
        <v>79</v>
      </c>
      <c r="E502" t="s">
        <v>31</v>
      </c>
      <c r="F502">
        <v>20</v>
      </c>
      <c r="G502" t="s">
        <v>113</v>
      </c>
      <c r="H502" t="b">
        <v>0</v>
      </c>
      <c r="I502" t="s">
        <v>52</v>
      </c>
      <c r="J502" t="s">
        <v>38</v>
      </c>
      <c r="K502" t="s">
        <v>32</v>
      </c>
      <c r="L502">
        <v>0.06</v>
      </c>
      <c r="M502" t="s">
        <v>44</v>
      </c>
      <c r="N502">
        <v>7.5800000000000006E-2</v>
      </c>
      <c r="O502">
        <v>0.45</v>
      </c>
      <c r="P502">
        <v>0.16420000000000001</v>
      </c>
      <c r="Q502">
        <v>1</v>
      </c>
      <c r="R502">
        <v>44</v>
      </c>
      <c r="S502">
        <v>45</v>
      </c>
    </row>
    <row r="503" spans="1:19" x14ac:dyDescent="0.3">
      <c r="A503">
        <v>500</v>
      </c>
      <c r="B503" t="s">
        <v>100</v>
      </c>
      <c r="C503" t="s">
        <v>78</v>
      </c>
      <c r="D503" t="s">
        <v>79</v>
      </c>
      <c r="E503" t="s">
        <v>31</v>
      </c>
      <c r="F503">
        <v>21</v>
      </c>
      <c r="G503" t="s">
        <v>113</v>
      </c>
      <c r="H503" t="b">
        <v>0</v>
      </c>
      <c r="I503" t="s">
        <v>52</v>
      </c>
      <c r="J503" t="s">
        <v>38</v>
      </c>
      <c r="K503" t="s">
        <v>32</v>
      </c>
      <c r="L503">
        <v>0.06</v>
      </c>
      <c r="M503" t="s">
        <v>44</v>
      </c>
      <c r="N503">
        <v>0.1061</v>
      </c>
      <c r="O503">
        <v>0.41</v>
      </c>
      <c r="P503">
        <v>8.9599999999999999E-2</v>
      </c>
      <c r="Q503">
        <v>0</v>
      </c>
      <c r="R503">
        <v>39</v>
      </c>
      <c r="S503">
        <v>39</v>
      </c>
    </row>
    <row r="504" spans="1:19" x14ac:dyDescent="0.3">
      <c r="A504">
        <v>501</v>
      </c>
      <c r="B504" t="s">
        <v>100</v>
      </c>
      <c r="C504" t="s">
        <v>78</v>
      </c>
      <c r="D504" t="s">
        <v>79</v>
      </c>
      <c r="E504" t="s">
        <v>31</v>
      </c>
      <c r="F504">
        <v>22</v>
      </c>
      <c r="G504" t="s">
        <v>113</v>
      </c>
      <c r="H504" t="b">
        <v>0</v>
      </c>
      <c r="I504" t="s">
        <v>52</v>
      </c>
      <c r="J504" t="s">
        <v>38</v>
      </c>
      <c r="K504" t="s">
        <v>32</v>
      </c>
      <c r="L504">
        <v>0.06</v>
      </c>
      <c r="M504" t="s">
        <v>44</v>
      </c>
      <c r="N504">
        <v>0.1515</v>
      </c>
      <c r="O504">
        <v>0.49</v>
      </c>
      <c r="P504">
        <v>0</v>
      </c>
      <c r="Q504">
        <v>7</v>
      </c>
      <c r="R504">
        <v>23</v>
      </c>
      <c r="S504">
        <v>30</v>
      </c>
    </row>
    <row r="505" spans="1:19" x14ac:dyDescent="0.3">
      <c r="A505">
        <v>502</v>
      </c>
      <c r="B505" t="s">
        <v>100</v>
      </c>
      <c r="C505" t="s">
        <v>78</v>
      </c>
      <c r="D505" t="s">
        <v>79</v>
      </c>
      <c r="E505" t="s">
        <v>31</v>
      </c>
      <c r="F505">
        <v>23</v>
      </c>
      <c r="G505" t="s">
        <v>113</v>
      </c>
      <c r="H505" t="b">
        <v>0</v>
      </c>
      <c r="I505" t="s">
        <v>52</v>
      </c>
      <c r="J505" t="s">
        <v>38</v>
      </c>
      <c r="K505" t="s">
        <v>32</v>
      </c>
      <c r="L505">
        <v>0.04</v>
      </c>
      <c r="M505" t="s">
        <v>44</v>
      </c>
      <c r="N505">
        <v>7.5800000000000006E-2</v>
      </c>
      <c r="O505">
        <v>0.56999999999999995</v>
      </c>
      <c r="P505">
        <v>0.1045</v>
      </c>
      <c r="Q505">
        <v>2</v>
      </c>
      <c r="R505">
        <v>31</v>
      </c>
      <c r="S505">
        <v>33</v>
      </c>
    </row>
    <row r="506" spans="1:19" x14ac:dyDescent="0.3">
      <c r="A506">
        <v>503</v>
      </c>
      <c r="B506" t="s">
        <v>101</v>
      </c>
      <c r="C506" t="s">
        <v>78</v>
      </c>
      <c r="D506" t="s">
        <v>79</v>
      </c>
      <c r="E506" t="s">
        <v>31</v>
      </c>
      <c r="F506">
        <v>0</v>
      </c>
      <c r="G506" t="s">
        <v>116</v>
      </c>
      <c r="H506" t="b">
        <v>0</v>
      </c>
      <c r="I506" t="s">
        <v>53</v>
      </c>
      <c r="J506" t="s">
        <v>38</v>
      </c>
      <c r="K506" t="s">
        <v>32</v>
      </c>
      <c r="L506">
        <v>0.04</v>
      </c>
      <c r="M506" t="s">
        <v>44</v>
      </c>
      <c r="N506">
        <v>7.5800000000000006E-2</v>
      </c>
      <c r="O506">
        <v>0.56999999999999995</v>
      </c>
      <c r="P506">
        <v>0.1045</v>
      </c>
      <c r="Q506">
        <v>2</v>
      </c>
      <c r="R506">
        <v>20</v>
      </c>
      <c r="S506">
        <v>22</v>
      </c>
    </row>
    <row r="507" spans="1:19" x14ac:dyDescent="0.3">
      <c r="A507">
        <v>504</v>
      </c>
      <c r="B507" t="s">
        <v>101</v>
      </c>
      <c r="C507" t="s">
        <v>78</v>
      </c>
      <c r="D507" t="s">
        <v>79</v>
      </c>
      <c r="E507" t="s">
        <v>31</v>
      </c>
      <c r="F507">
        <v>1</v>
      </c>
      <c r="G507" t="s">
        <v>116</v>
      </c>
      <c r="H507" t="b">
        <v>0</v>
      </c>
      <c r="I507" t="s">
        <v>53</v>
      </c>
      <c r="J507" t="s">
        <v>38</v>
      </c>
      <c r="K507" t="s">
        <v>32</v>
      </c>
      <c r="L507">
        <v>0.04</v>
      </c>
      <c r="M507" t="s">
        <v>44</v>
      </c>
      <c r="N507">
        <v>7.5800000000000006E-2</v>
      </c>
      <c r="O507">
        <v>0.56999999999999995</v>
      </c>
      <c r="P507">
        <v>0.1045</v>
      </c>
      <c r="Q507">
        <v>1</v>
      </c>
      <c r="R507">
        <v>12</v>
      </c>
      <c r="S507">
        <v>13</v>
      </c>
    </row>
    <row r="508" spans="1:19" x14ac:dyDescent="0.3">
      <c r="A508">
        <v>505</v>
      </c>
      <c r="B508" t="s">
        <v>101</v>
      </c>
      <c r="C508" t="s">
        <v>78</v>
      </c>
      <c r="D508" t="s">
        <v>79</v>
      </c>
      <c r="E508" t="s">
        <v>31</v>
      </c>
      <c r="F508">
        <v>2</v>
      </c>
      <c r="G508" t="s">
        <v>116</v>
      </c>
      <c r="H508" t="b">
        <v>0</v>
      </c>
      <c r="I508" t="s">
        <v>53</v>
      </c>
      <c r="J508" t="s">
        <v>38</v>
      </c>
      <c r="K508" t="s">
        <v>32</v>
      </c>
      <c r="L508">
        <v>0.02</v>
      </c>
      <c r="M508" t="s">
        <v>44</v>
      </c>
      <c r="N508">
        <v>6.0600000000000001E-2</v>
      </c>
      <c r="O508">
        <v>0.62</v>
      </c>
      <c r="P508">
        <v>0.1343</v>
      </c>
      <c r="Q508">
        <v>3</v>
      </c>
      <c r="R508">
        <v>15</v>
      </c>
      <c r="S508">
        <v>18</v>
      </c>
    </row>
    <row r="509" spans="1:19" x14ac:dyDescent="0.3">
      <c r="A509">
        <v>506</v>
      </c>
      <c r="B509" t="s">
        <v>101</v>
      </c>
      <c r="C509" t="s">
        <v>78</v>
      </c>
      <c r="D509" t="s">
        <v>79</v>
      </c>
      <c r="E509" t="s">
        <v>31</v>
      </c>
      <c r="F509">
        <v>3</v>
      </c>
      <c r="G509" t="s">
        <v>116</v>
      </c>
      <c r="H509" t="b">
        <v>0</v>
      </c>
      <c r="I509" t="s">
        <v>53</v>
      </c>
      <c r="J509" t="s">
        <v>38</v>
      </c>
      <c r="K509" t="s">
        <v>32</v>
      </c>
      <c r="L509">
        <v>0.02</v>
      </c>
      <c r="M509" t="s">
        <v>44</v>
      </c>
      <c r="N509">
        <v>6.0600000000000001E-2</v>
      </c>
      <c r="O509">
        <v>0.62</v>
      </c>
      <c r="P509">
        <v>0.1343</v>
      </c>
      <c r="Q509">
        <v>1</v>
      </c>
      <c r="R509">
        <v>4</v>
      </c>
      <c r="S509">
        <v>5</v>
      </c>
    </row>
    <row r="510" spans="1:19" x14ac:dyDescent="0.3">
      <c r="A510">
        <v>507</v>
      </c>
      <c r="B510" t="s">
        <v>101</v>
      </c>
      <c r="C510" t="s">
        <v>78</v>
      </c>
      <c r="D510" t="s">
        <v>79</v>
      </c>
      <c r="E510" t="s">
        <v>31</v>
      </c>
      <c r="F510">
        <v>5</v>
      </c>
      <c r="G510" t="s">
        <v>116</v>
      </c>
      <c r="H510" t="b">
        <v>0</v>
      </c>
      <c r="I510" t="s">
        <v>53</v>
      </c>
      <c r="J510" t="s">
        <v>38</v>
      </c>
      <c r="K510" t="s">
        <v>33</v>
      </c>
      <c r="L510">
        <v>0.04</v>
      </c>
      <c r="M510" t="s">
        <v>44</v>
      </c>
      <c r="N510">
        <v>7.5800000000000006E-2</v>
      </c>
      <c r="O510">
        <v>0.56999999999999995</v>
      </c>
      <c r="P510">
        <v>0.1045</v>
      </c>
      <c r="Q510">
        <v>0</v>
      </c>
      <c r="R510">
        <v>3</v>
      </c>
      <c r="S510">
        <v>3</v>
      </c>
    </row>
    <row r="511" spans="1:19" x14ac:dyDescent="0.3">
      <c r="A511">
        <v>508</v>
      </c>
      <c r="B511" t="s">
        <v>101</v>
      </c>
      <c r="C511" t="s">
        <v>78</v>
      </c>
      <c r="D511" t="s">
        <v>79</v>
      </c>
      <c r="E511" t="s">
        <v>31</v>
      </c>
      <c r="F511">
        <v>6</v>
      </c>
      <c r="G511" t="s">
        <v>115</v>
      </c>
      <c r="H511" t="b">
        <v>0</v>
      </c>
      <c r="I511" t="s">
        <v>53</v>
      </c>
      <c r="J511" t="s">
        <v>38</v>
      </c>
      <c r="K511" t="s">
        <v>33</v>
      </c>
      <c r="L511">
        <v>0.04</v>
      </c>
      <c r="M511" t="s">
        <v>44</v>
      </c>
      <c r="N511">
        <v>7.5800000000000006E-2</v>
      </c>
      <c r="O511">
        <v>0.56999999999999995</v>
      </c>
      <c r="P511">
        <v>0.1045</v>
      </c>
      <c r="Q511">
        <v>0</v>
      </c>
      <c r="R511">
        <v>1</v>
      </c>
      <c r="S511">
        <v>1</v>
      </c>
    </row>
    <row r="512" spans="1:19" x14ac:dyDescent="0.3">
      <c r="A512">
        <v>509</v>
      </c>
      <c r="B512" t="s">
        <v>101</v>
      </c>
      <c r="C512" t="s">
        <v>78</v>
      </c>
      <c r="D512" t="s">
        <v>79</v>
      </c>
      <c r="E512" t="s">
        <v>31</v>
      </c>
      <c r="F512">
        <v>7</v>
      </c>
      <c r="G512" t="s">
        <v>115</v>
      </c>
      <c r="H512" t="b">
        <v>0</v>
      </c>
      <c r="I512" t="s">
        <v>53</v>
      </c>
      <c r="J512" t="s">
        <v>38</v>
      </c>
      <c r="K512" t="s">
        <v>32</v>
      </c>
      <c r="L512">
        <v>0.08</v>
      </c>
      <c r="M512" t="s">
        <v>44</v>
      </c>
      <c r="N512">
        <v>0.1061</v>
      </c>
      <c r="O512">
        <v>0.57999999999999996</v>
      </c>
      <c r="P512">
        <v>0.16420000000000001</v>
      </c>
      <c r="Q512">
        <v>1</v>
      </c>
      <c r="R512">
        <v>1</v>
      </c>
      <c r="S512">
        <v>2</v>
      </c>
    </row>
    <row r="513" spans="1:19" x14ac:dyDescent="0.3">
      <c r="A513">
        <v>510</v>
      </c>
      <c r="B513" t="s">
        <v>101</v>
      </c>
      <c r="C513" t="s">
        <v>78</v>
      </c>
      <c r="D513" t="s">
        <v>79</v>
      </c>
      <c r="E513" t="s">
        <v>31</v>
      </c>
      <c r="F513">
        <v>8</v>
      </c>
      <c r="G513" t="s">
        <v>115</v>
      </c>
      <c r="H513" t="b">
        <v>0</v>
      </c>
      <c r="I513" t="s">
        <v>53</v>
      </c>
      <c r="J513" t="s">
        <v>38</v>
      </c>
      <c r="K513" t="s">
        <v>32</v>
      </c>
      <c r="L513">
        <v>0.06</v>
      </c>
      <c r="M513" t="s">
        <v>44</v>
      </c>
      <c r="N513">
        <v>7.5800000000000006E-2</v>
      </c>
      <c r="O513">
        <v>0.62</v>
      </c>
      <c r="P513">
        <v>0.16420000000000001</v>
      </c>
      <c r="Q513">
        <v>2</v>
      </c>
      <c r="R513">
        <v>17</v>
      </c>
      <c r="S513">
        <v>19</v>
      </c>
    </row>
    <row r="514" spans="1:19" x14ac:dyDescent="0.3">
      <c r="A514">
        <v>511</v>
      </c>
      <c r="B514" t="s">
        <v>101</v>
      </c>
      <c r="C514" t="s">
        <v>78</v>
      </c>
      <c r="D514" t="s">
        <v>79</v>
      </c>
      <c r="E514" t="s">
        <v>31</v>
      </c>
      <c r="F514">
        <v>9</v>
      </c>
      <c r="G514" t="s">
        <v>115</v>
      </c>
      <c r="H514" t="b">
        <v>0</v>
      </c>
      <c r="I514" t="s">
        <v>53</v>
      </c>
      <c r="J514" t="s">
        <v>38</v>
      </c>
      <c r="K514" t="s">
        <v>32</v>
      </c>
      <c r="L514">
        <v>0.1</v>
      </c>
      <c r="M514" t="s">
        <v>44</v>
      </c>
      <c r="N514">
        <v>7.5800000000000006E-2</v>
      </c>
      <c r="O514">
        <v>0.54</v>
      </c>
      <c r="P514">
        <v>0.35820000000000002</v>
      </c>
      <c r="Q514">
        <v>3</v>
      </c>
      <c r="R514">
        <v>25</v>
      </c>
      <c r="S514">
        <v>28</v>
      </c>
    </row>
    <row r="515" spans="1:19" x14ac:dyDescent="0.3">
      <c r="A515">
        <v>512</v>
      </c>
      <c r="B515" t="s">
        <v>101</v>
      </c>
      <c r="C515" t="s">
        <v>78</v>
      </c>
      <c r="D515" t="s">
        <v>79</v>
      </c>
      <c r="E515" t="s">
        <v>31</v>
      </c>
      <c r="F515">
        <v>10</v>
      </c>
      <c r="G515" t="s">
        <v>115</v>
      </c>
      <c r="H515" t="b">
        <v>0</v>
      </c>
      <c r="I515" t="s">
        <v>53</v>
      </c>
      <c r="J515" t="s">
        <v>38</v>
      </c>
      <c r="K515" t="s">
        <v>32</v>
      </c>
      <c r="L515">
        <v>0.14000000000000001</v>
      </c>
      <c r="M515" t="s">
        <v>44</v>
      </c>
      <c r="N515">
        <v>0.1061</v>
      </c>
      <c r="O515">
        <v>0.46</v>
      </c>
      <c r="P515">
        <v>0.3881</v>
      </c>
      <c r="Q515">
        <v>7</v>
      </c>
      <c r="R515">
        <v>51</v>
      </c>
      <c r="S515">
        <v>58</v>
      </c>
    </row>
    <row r="516" spans="1:19" x14ac:dyDescent="0.3">
      <c r="A516">
        <v>513</v>
      </c>
      <c r="B516" t="s">
        <v>101</v>
      </c>
      <c r="C516" t="s">
        <v>78</v>
      </c>
      <c r="D516" t="s">
        <v>79</v>
      </c>
      <c r="E516" t="s">
        <v>31</v>
      </c>
      <c r="F516">
        <v>11</v>
      </c>
      <c r="G516" t="s">
        <v>115</v>
      </c>
      <c r="H516" t="b">
        <v>0</v>
      </c>
      <c r="I516" t="s">
        <v>53</v>
      </c>
      <c r="J516" t="s">
        <v>38</v>
      </c>
      <c r="K516" t="s">
        <v>32</v>
      </c>
      <c r="L516">
        <v>0.14000000000000001</v>
      </c>
      <c r="M516" t="s">
        <v>44</v>
      </c>
      <c r="N516">
        <v>0.13639999999999999</v>
      </c>
      <c r="O516">
        <v>0.43</v>
      </c>
      <c r="P516">
        <v>0.22389999999999999</v>
      </c>
      <c r="Q516">
        <v>22</v>
      </c>
      <c r="R516">
        <v>77</v>
      </c>
      <c r="S516">
        <v>99</v>
      </c>
    </row>
    <row r="517" spans="1:19" x14ac:dyDescent="0.3">
      <c r="A517">
        <v>514</v>
      </c>
      <c r="B517" t="s">
        <v>101</v>
      </c>
      <c r="C517" t="s">
        <v>78</v>
      </c>
      <c r="D517" t="s">
        <v>79</v>
      </c>
      <c r="E517" t="s">
        <v>31</v>
      </c>
      <c r="F517">
        <v>12</v>
      </c>
      <c r="G517" t="s">
        <v>114</v>
      </c>
      <c r="H517" t="b">
        <v>0</v>
      </c>
      <c r="I517" t="s">
        <v>53</v>
      </c>
      <c r="J517" t="s">
        <v>38</v>
      </c>
      <c r="K517" t="s">
        <v>32</v>
      </c>
      <c r="L517">
        <v>0.16</v>
      </c>
      <c r="M517" t="s">
        <v>40</v>
      </c>
      <c r="N517">
        <v>0.1212</v>
      </c>
      <c r="O517">
        <v>0.37</v>
      </c>
      <c r="P517">
        <v>0.4627</v>
      </c>
      <c r="Q517">
        <v>24</v>
      </c>
      <c r="R517">
        <v>92</v>
      </c>
      <c r="S517">
        <v>116</v>
      </c>
    </row>
    <row r="518" spans="1:19" x14ac:dyDescent="0.3">
      <c r="A518">
        <v>515</v>
      </c>
      <c r="B518" t="s">
        <v>101</v>
      </c>
      <c r="C518" t="s">
        <v>78</v>
      </c>
      <c r="D518" t="s">
        <v>79</v>
      </c>
      <c r="E518" t="s">
        <v>31</v>
      </c>
      <c r="F518">
        <v>13</v>
      </c>
      <c r="G518" t="s">
        <v>114</v>
      </c>
      <c r="H518" t="b">
        <v>0</v>
      </c>
      <c r="I518" t="s">
        <v>53</v>
      </c>
      <c r="J518" t="s">
        <v>38</v>
      </c>
      <c r="K518" t="s">
        <v>32</v>
      </c>
      <c r="L518">
        <v>0.14000000000000001</v>
      </c>
      <c r="M518" t="s">
        <v>44</v>
      </c>
      <c r="N518">
        <v>0.1061</v>
      </c>
      <c r="O518">
        <v>0.33</v>
      </c>
      <c r="P518">
        <v>0.3881</v>
      </c>
      <c r="Q518">
        <v>12</v>
      </c>
      <c r="R518">
        <v>75</v>
      </c>
      <c r="S518">
        <v>87</v>
      </c>
    </row>
    <row r="519" spans="1:19" x14ac:dyDescent="0.3">
      <c r="A519">
        <v>516</v>
      </c>
      <c r="B519" t="s">
        <v>101</v>
      </c>
      <c r="C519" t="s">
        <v>78</v>
      </c>
      <c r="D519" t="s">
        <v>79</v>
      </c>
      <c r="E519" t="s">
        <v>31</v>
      </c>
      <c r="F519">
        <v>14</v>
      </c>
      <c r="G519" t="s">
        <v>114</v>
      </c>
      <c r="H519" t="b">
        <v>0</v>
      </c>
      <c r="I519" t="s">
        <v>53</v>
      </c>
      <c r="J519" t="s">
        <v>38</v>
      </c>
      <c r="K519" t="s">
        <v>32</v>
      </c>
      <c r="L519">
        <v>0.16</v>
      </c>
      <c r="M519" t="s">
        <v>40</v>
      </c>
      <c r="N519">
        <v>0.13639999999999999</v>
      </c>
      <c r="O519">
        <v>0.28000000000000003</v>
      </c>
      <c r="P519">
        <v>0.35820000000000002</v>
      </c>
      <c r="Q519">
        <v>17</v>
      </c>
      <c r="R519">
        <v>93</v>
      </c>
      <c r="S519">
        <v>110</v>
      </c>
    </row>
    <row r="520" spans="1:19" x14ac:dyDescent="0.3">
      <c r="A520">
        <v>517</v>
      </c>
      <c r="B520" t="s">
        <v>101</v>
      </c>
      <c r="C520" t="s">
        <v>78</v>
      </c>
      <c r="D520" t="s">
        <v>79</v>
      </c>
      <c r="E520" t="s">
        <v>31</v>
      </c>
      <c r="F520">
        <v>15</v>
      </c>
      <c r="G520" t="s">
        <v>114</v>
      </c>
      <c r="H520" t="b">
        <v>0</v>
      </c>
      <c r="I520" t="s">
        <v>53</v>
      </c>
      <c r="J520" t="s">
        <v>38</v>
      </c>
      <c r="K520" t="s">
        <v>32</v>
      </c>
      <c r="L520">
        <v>0.16</v>
      </c>
      <c r="M520" t="s">
        <v>40</v>
      </c>
      <c r="N520">
        <v>0.13639999999999999</v>
      </c>
      <c r="O520">
        <v>0.28000000000000003</v>
      </c>
      <c r="P520">
        <v>0.35820000000000002</v>
      </c>
      <c r="Q520">
        <v>13</v>
      </c>
      <c r="R520">
        <v>64</v>
      </c>
      <c r="S520">
        <v>77</v>
      </c>
    </row>
    <row r="521" spans="1:19" x14ac:dyDescent="0.3">
      <c r="A521">
        <v>518</v>
      </c>
      <c r="B521" t="s">
        <v>101</v>
      </c>
      <c r="C521" t="s">
        <v>78</v>
      </c>
      <c r="D521" t="s">
        <v>79</v>
      </c>
      <c r="E521" t="s">
        <v>31</v>
      </c>
      <c r="F521">
        <v>16</v>
      </c>
      <c r="G521" t="s">
        <v>114</v>
      </c>
      <c r="H521" t="b">
        <v>0</v>
      </c>
      <c r="I521" t="s">
        <v>53</v>
      </c>
      <c r="J521" t="s">
        <v>38</v>
      </c>
      <c r="K521" t="s">
        <v>32</v>
      </c>
      <c r="L521">
        <v>0.16</v>
      </c>
      <c r="M521" t="s">
        <v>40</v>
      </c>
      <c r="N521">
        <v>0.13639999999999999</v>
      </c>
      <c r="O521">
        <v>0.26</v>
      </c>
      <c r="P521">
        <v>0.32840000000000003</v>
      </c>
      <c r="Q521">
        <v>9</v>
      </c>
      <c r="R521">
        <v>56</v>
      </c>
      <c r="S521">
        <v>65</v>
      </c>
    </row>
    <row r="522" spans="1:19" x14ac:dyDescent="0.3">
      <c r="A522">
        <v>519</v>
      </c>
      <c r="B522" t="s">
        <v>101</v>
      </c>
      <c r="C522" t="s">
        <v>78</v>
      </c>
      <c r="D522" t="s">
        <v>79</v>
      </c>
      <c r="E522" t="s">
        <v>31</v>
      </c>
      <c r="F522">
        <v>17</v>
      </c>
      <c r="G522" t="s">
        <v>114</v>
      </c>
      <c r="H522" t="b">
        <v>0</v>
      </c>
      <c r="I522" t="s">
        <v>53</v>
      </c>
      <c r="J522" t="s">
        <v>38</v>
      </c>
      <c r="K522" t="s">
        <v>32</v>
      </c>
      <c r="L522">
        <v>0.14000000000000001</v>
      </c>
      <c r="M522" t="s">
        <v>44</v>
      </c>
      <c r="N522">
        <v>0.1061</v>
      </c>
      <c r="O522">
        <v>0.26</v>
      </c>
      <c r="P522">
        <v>0.3881</v>
      </c>
      <c r="Q522">
        <v>5</v>
      </c>
      <c r="R522">
        <v>50</v>
      </c>
      <c r="S522">
        <v>55</v>
      </c>
    </row>
    <row r="523" spans="1:19" x14ac:dyDescent="0.3">
      <c r="A523">
        <v>520</v>
      </c>
      <c r="B523" t="s">
        <v>101</v>
      </c>
      <c r="C523" t="s">
        <v>78</v>
      </c>
      <c r="D523" t="s">
        <v>79</v>
      </c>
      <c r="E523" t="s">
        <v>31</v>
      </c>
      <c r="F523">
        <v>18</v>
      </c>
      <c r="G523" t="s">
        <v>113</v>
      </c>
      <c r="H523" t="b">
        <v>0</v>
      </c>
      <c r="I523" t="s">
        <v>53</v>
      </c>
      <c r="J523" t="s">
        <v>38</v>
      </c>
      <c r="K523" t="s">
        <v>32</v>
      </c>
      <c r="L523">
        <v>0.12</v>
      </c>
      <c r="M523" t="s">
        <v>44</v>
      </c>
      <c r="N523">
        <v>0.1212</v>
      </c>
      <c r="O523">
        <v>0.3</v>
      </c>
      <c r="P523">
        <v>0.25369999999999998</v>
      </c>
      <c r="Q523">
        <v>5</v>
      </c>
      <c r="R523">
        <v>44</v>
      </c>
      <c r="S523">
        <v>49</v>
      </c>
    </row>
    <row r="524" spans="1:19" x14ac:dyDescent="0.3">
      <c r="A524">
        <v>521</v>
      </c>
      <c r="B524" t="s">
        <v>101</v>
      </c>
      <c r="C524" t="s">
        <v>78</v>
      </c>
      <c r="D524" t="s">
        <v>79</v>
      </c>
      <c r="E524" t="s">
        <v>31</v>
      </c>
      <c r="F524">
        <v>19</v>
      </c>
      <c r="G524" t="s">
        <v>113</v>
      </c>
      <c r="H524" t="b">
        <v>0</v>
      </c>
      <c r="I524" t="s">
        <v>53</v>
      </c>
      <c r="J524" t="s">
        <v>38</v>
      </c>
      <c r="K524" t="s">
        <v>32</v>
      </c>
      <c r="L524">
        <v>0.12</v>
      </c>
      <c r="M524" t="s">
        <v>44</v>
      </c>
      <c r="N524">
        <v>0.1212</v>
      </c>
      <c r="O524">
        <v>0.3</v>
      </c>
      <c r="P524">
        <v>0.28360000000000002</v>
      </c>
      <c r="Q524">
        <v>5</v>
      </c>
      <c r="R524">
        <v>45</v>
      </c>
      <c r="S524">
        <v>50</v>
      </c>
    </row>
    <row r="525" spans="1:19" x14ac:dyDescent="0.3">
      <c r="A525">
        <v>522</v>
      </c>
      <c r="B525" t="s">
        <v>101</v>
      </c>
      <c r="C525" t="s">
        <v>78</v>
      </c>
      <c r="D525" t="s">
        <v>79</v>
      </c>
      <c r="E525" t="s">
        <v>31</v>
      </c>
      <c r="F525">
        <v>20</v>
      </c>
      <c r="G525" t="s">
        <v>113</v>
      </c>
      <c r="H525" t="b">
        <v>0</v>
      </c>
      <c r="I525" t="s">
        <v>53</v>
      </c>
      <c r="J525" t="s">
        <v>38</v>
      </c>
      <c r="K525" t="s">
        <v>32</v>
      </c>
      <c r="L525">
        <v>0.1</v>
      </c>
      <c r="M525" t="s">
        <v>44</v>
      </c>
      <c r="N525">
        <v>0.1061</v>
      </c>
      <c r="O525">
        <v>0.36</v>
      </c>
      <c r="P525">
        <v>0.25369999999999998</v>
      </c>
      <c r="Q525">
        <v>4</v>
      </c>
      <c r="R525">
        <v>31</v>
      </c>
      <c r="S525">
        <v>35</v>
      </c>
    </row>
    <row r="526" spans="1:19" x14ac:dyDescent="0.3">
      <c r="A526">
        <v>523</v>
      </c>
      <c r="B526" t="s">
        <v>101</v>
      </c>
      <c r="C526" t="s">
        <v>78</v>
      </c>
      <c r="D526" t="s">
        <v>79</v>
      </c>
      <c r="E526" t="s">
        <v>31</v>
      </c>
      <c r="F526">
        <v>21</v>
      </c>
      <c r="G526" t="s">
        <v>113</v>
      </c>
      <c r="H526" t="b">
        <v>0</v>
      </c>
      <c r="I526" t="s">
        <v>53</v>
      </c>
      <c r="J526" t="s">
        <v>38</v>
      </c>
      <c r="K526" t="s">
        <v>32</v>
      </c>
      <c r="L526">
        <v>0.1</v>
      </c>
      <c r="M526" t="s">
        <v>44</v>
      </c>
      <c r="N526">
        <v>0.1061</v>
      </c>
      <c r="O526">
        <v>0.36</v>
      </c>
      <c r="P526">
        <v>0.19400000000000001</v>
      </c>
      <c r="Q526">
        <v>5</v>
      </c>
      <c r="R526">
        <v>20</v>
      </c>
      <c r="S526">
        <v>25</v>
      </c>
    </row>
    <row r="527" spans="1:19" x14ac:dyDescent="0.3">
      <c r="A527">
        <v>524</v>
      </c>
      <c r="B527" t="s">
        <v>101</v>
      </c>
      <c r="C527" t="s">
        <v>78</v>
      </c>
      <c r="D527" t="s">
        <v>79</v>
      </c>
      <c r="E527" t="s">
        <v>31</v>
      </c>
      <c r="F527">
        <v>22</v>
      </c>
      <c r="G527" t="s">
        <v>113</v>
      </c>
      <c r="H527" t="b">
        <v>0</v>
      </c>
      <c r="I527" t="s">
        <v>53</v>
      </c>
      <c r="J527" t="s">
        <v>38</v>
      </c>
      <c r="K527" t="s">
        <v>32</v>
      </c>
      <c r="L527">
        <v>0.08</v>
      </c>
      <c r="M527" t="s">
        <v>44</v>
      </c>
      <c r="N527">
        <v>9.0899999999999995E-2</v>
      </c>
      <c r="O527">
        <v>0.38</v>
      </c>
      <c r="P527">
        <v>0.19400000000000001</v>
      </c>
      <c r="Q527">
        <v>5</v>
      </c>
      <c r="R527">
        <v>23</v>
      </c>
      <c r="S527">
        <v>28</v>
      </c>
    </row>
    <row r="528" spans="1:19" x14ac:dyDescent="0.3">
      <c r="A528">
        <v>525</v>
      </c>
      <c r="B528" t="s">
        <v>101</v>
      </c>
      <c r="C528" t="s">
        <v>78</v>
      </c>
      <c r="D528" t="s">
        <v>79</v>
      </c>
      <c r="E528" t="s">
        <v>31</v>
      </c>
      <c r="F528">
        <v>23</v>
      </c>
      <c r="G528" t="s">
        <v>113</v>
      </c>
      <c r="H528" t="b">
        <v>0</v>
      </c>
      <c r="I528" t="s">
        <v>53</v>
      </c>
      <c r="J528" t="s">
        <v>38</v>
      </c>
      <c r="K528" t="s">
        <v>32</v>
      </c>
      <c r="L528">
        <v>0.06</v>
      </c>
      <c r="M528" t="s">
        <v>44</v>
      </c>
      <c r="N528">
        <v>6.0600000000000001E-2</v>
      </c>
      <c r="O528">
        <v>0.41</v>
      </c>
      <c r="P528">
        <v>0.22389999999999999</v>
      </c>
      <c r="Q528">
        <v>4</v>
      </c>
      <c r="R528">
        <v>17</v>
      </c>
      <c r="S528">
        <v>21</v>
      </c>
    </row>
    <row r="529" spans="1:19" x14ac:dyDescent="0.3">
      <c r="A529">
        <v>526</v>
      </c>
      <c r="B529" t="s">
        <v>102</v>
      </c>
      <c r="C529" t="s">
        <v>78</v>
      </c>
      <c r="D529" t="s">
        <v>79</v>
      </c>
      <c r="E529" t="s">
        <v>31</v>
      </c>
      <c r="F529">
        <v>0</v>
      </c>
      <c r="G529" t="s">
        <v>116</v>
      </c>
      <c r="H529" t="b">
        <v>0</v>
      </c>
      <c r="I529" t="s">
        <v>54</v>
      </c>
      <c r="J529" t="s">
        <v>22</v>
      </c>
      <c r="K529" t="s">
        <v>32</v>
      </c>
      <c r="L529">
        <v>0.06</v>
      </c>
      <c r="M529" t="s">
        <v>44</v>
      </c>
      <c r="N529">
        <v>6.0600000000000001E-2</v>
      </c>
      <c r="O529">
        <v>0.41</v>
      </c>
      <c r="P529">
        <v>0.19400000000000001</v>
      </c>
      <c r="Q529">
        <v>0</v>
      </c>
      <c r="R529">
        <v>7</v>
      </c>
      <c r="S529">
        <v>7</v>
      </c>
    </row>
    <row r="530" spans="1:19" x14ac:dyDescent="0.3">
      <c r="A530">
        <v>527</v>
      </c>
      <c r="B530" t="s">
        <v>102</v>
      </c>
      <c r="C530" t="s">
        <v>78</v>
      </c>
      <c r="D530" t="s">
        <v>79</v>
      </c>
      <c r="E530" t="s">
        <v>31</v>
      </c>
      <c r="F530">
        <v>1</v>
      </c>
      <c r="G530" t="s">
        <v>116</v>
      </c>
      <c r="H530" t="b">
        <v>0</v>
      </c>
      <c r="I530" t="s">
        <v>54</v>
      </c>
      <c r="J530" t="s">
        <v>22</v>
      </c>
      <c r="K530" t="s">
        <v>32</v>
      </c>
      <c r="L530">
        <v>0.04</v>
      </c>
      <c r="M530" t="s">
        <v>44</v>
      </c>
      <c r="N530">
        <v>4.5499999999999999E-2</v>
      </c>
      <c r="O530">
        <v>0.45</v>
      </c>
      <c r="P530">
        <v>0.19400000000000001</v>
      </c>
      <c r="Q530">
        <v>0</v>
      </c>
      <c r="R530">
        <v>1</v>
      </c>
      <c r="S530">
        <v>1</v>
      </c>
    </row>
    <row r="531" spans="1:19" x14ac:dyDescent="0.3">
      <c r="A531">
        <v>528</v>
      </c>
      <c r="B531" t="s">
        <v>102</v>
      </c>
      <c r="C531" t="s">
        <v>78</v>
      </c>
      <c r="D531" t="s">
        <v>79</v>
      </c>
      <c r="E531" t="s">
        <v>31</v>
      </c>
      <c r="F531">
        <v>3</v>
      </c>
      <c r="G531" t="s">
        <v>116</v>
      </c>
      <c r="H531" t="b">
        <v>0</v>
      </c>
      <c r="I531" t="s">
        <v>54</v>
      </c>
      <c r="J531" t="s">
        <v>22</v>
      </c>
      <c r="K531" t="s">
        <v>32</v>
      </c>
      <c r="L531">
        <v>0.04</v>
      </c>
      <c r="M531" t="s">
        <v>44</v>
      </c>
      <c r="N531">
        <v>3.0300000000000001E-2</v>
      </c>
      <c r="O531">
        <v>0.45</v>
      </c>
      <c r="P531">
        <v>0.25369999999999998</v>
      </c>
      <c r="Q531">
        <v>0</v>
      </c>
      <c r="R531">
        <v>1</v>
      </c>
      <c r="S531">
        <v>1</v>
      </c>
    </row>
    <row r="532" spans="1:19" x14ac:dyDescent="0.3">
      <c r="A532">
        <v>529</v>
      </c>
      <c r="B532" t="s">
        <v>102</v>
      </c>
      <c r="C532" t="s">
        <v>78</v>
      </c>
      <c r="D532" t="s">
        <v>79</v>
      </c>
      <c r="E532" t="s">
        <v>31</v>
      </c>
      <c r="F532">
        <v>4</v>
      </c>
      <c r="G532" t="s">
        <v>116</v>
      </c>
      <c r="H532" t="b">
        <v>0</v>
      </c>
      <c r="I532" t="s">
        <v>54</v>
      </c>
      <c r="J532" t="s">
        <v>22</v>
      </c>
      <c r="K532" t="s">
        <v>32</v>
      </c>
      <c r="L532">
        <v>0.02</v>
      </c>
      <c r="M532" t="s">
        <v>44</v>
      </c>
      <c r="N532">
        <v>6.0600000000000001E-2</v>
      </c>
      <c r="O532">
        <v>0.48</v>
      </c>
      <c r="P532">
        <v>0.1343</v>
      </c>
      <c r="Q532">
        <v>0</v>
      </c>
      <c r="R532">
        <v>1</v>
      </c>
      <c r="S532">
        <v>1</v>
      </c>
    </row>
    <row r="533" spans="1:19" x14ac:dyDescent="0.3">
      <c r="A533">
        <v>530</v>
      </c>
      <c r="B533" t="s">
        <v>102</v>
      </c>
      <c r="C533" t="s">
        <v>78</v>
      </c>
      <c r="D533" t="s">
        <v>79</v>
      </c>
      <c r="E533" t="s">
        <v>31</v>
      </c>
      <c r="F533">
        <v>5</v>
      </c>
      <c r="G533" t="s">
        <v>116</v>
      </c>
      <c r="H533" t="b">
        <v>0</v>
      </c>
      <c r="I533" t="s">
        <v>54</v>
      </c>
      <c r="J533" t="s">
        <v>22</v>
      </c>
      <c r="K533" t="s">
        <v>32</v>
      </c>
      <c r="L533">
        <v>0.02</v>
      </c>
      <c r="M533" t="s">
        <v>44</v>
      </c>
      <c r="N533">
        <v>6.0600000000000001E-2</v>
      </c>
      <c r="O533">
        <v>0.48</v>
      </c>
      <c r="P533">
        <v>0.1343</v>
      </c>
      <c r="Q533">
        <v>0</v>
      </c>
      <c r="R533">
        <v>5</v>
      </c>
      <c r="S533">
        <v>5</v>
      </c>
    </row>
    <row r="534" spans="1:19" x14ac:dyDescent="0.3">
      <c r="A534">
        <v>531</v>
      </c>
      <c r="B534" t="s">
        <v>102</v>
      </c>
      <c r="C534" t="s">
        <v>78</v>
      </c>
      <c r="D534" t="s">
        <v>79</v>
      </c>
      <c r="E534" t="s">
        <v>31</v>
      </c>
      <c r="F534">
        <v>6</v>
      </c>
      <c r="G534" t="s">
        <v>115</v>
      </c>
      <c r="H534" t="b">
        <v>0</v>
      </c>
      <c r="I534" t="s">
        <v>54</v>
      </c>
      <c r="J534" t="s">
        <v>22</v>
      </c>
      <c r="K534" t="s">
        <v>32</v>
      </c>
      <c r="L534">
        <v>0.02</v>
      </c>
      <c r="M534" t="s">
        <v>44</v>
      </c>
      <c r="N534">
        <v>7.5800000000000006E-2</v>
      </c>
      <c r="O534">
        <v>0.48</v>
      </c>
      <c r="P534">
        <v>8.9599999999999999E-2</v>
      </c>
      <c r="Q534">
        <v>0</v>
      </c>
      <c r="R534">
        <v>15</v>
      </c>
      <c r="S534">
        <v>15</v>
      </c>
    </row>
    <row r="535" spans="1:19" x14ac:dyDescent="0.3">
      <c r="A535">
        <v>532</v>
      </c>
      <c r="B535" t="s">
        <v>102</v>
      </c>
      <c r="C535" t="s">
        <v>78</v>
      </c>
      <c r="D535" t="s">
        <v>79</v>
      </c>
      <c r="E535" t="s">
        <v>31</v>
      </c>
      <c r="F535">
        <v>7</v>
      </c>
      <c r="G535" t="s">
        <v>115</v>
      </c>
      <c r="H535" t="b">
        <v>0</v>
      </c>
      <c r="I535" t="s">
        <v>54</v>
      </c>
      <c r="J535" t="s">
        <v>22</v>
      </c>
      <c r="K535" t="s">
        <v>32</v>
      </c>
      <c r="L535">
        <v>0.02</v>
      </c>
      <c r="M535" t="s">
        <v>44</v>
      </c>
      <c r="N535">
        <v>0.1212</v>
      </c>
      <c r="O535">
        <v>0.48</v>
      </c>
      <c r="P535">
        <v>0</v>
      </c>
      <c r="Q535">
        <v>5</v>
      </c>
      <c r="R535">
        <v>79</v>
      </c>
      <c r="S535">
        <v>84</v>
      </c>
    </row>
    <row r="536" spans="1:19" x14ac:dyDescent="0.3">
      <c r="A536">
        <v>533</v>
      </c>
      <c r="B536" t="s">
        <v>102</v>
      </c>
      <c r="C536" t="s">
        <v>78</v>
      </c>
      <c r="D536" t="s">
        <v>79</v>
      </c>
      <c r="E536" t="s">
        <v>31</v>
      </c>
      <c r="F536">
        <v>8</v>
      </c>
      <c r="G536" t="s">
        <v>115</v>
      </c>
      <c r="H536" t="b">
        <v>0</v>
      </c>
      <c r="I536" t="s">
        <v>54</v>
      </c>
      <c r="J536" t="s">
        <v>22</v>
      </c>
      <c r="K536" t="s">
        <v>32</v>
      </c>
      <c r="L536">
        <v>0.04</v>
      </c>
      <c r="M536" t="s">
        <v>44</v>
      </c>
      <c r="N536">
        <v>0.13639999999999999</v>
      </c>
      <c r="O536">
        <v>0.49</v>
      </c>
      <c r="P536">
        <v>0</v>
      </c>
      <c r="Q536">
        <v>6</v>
      </c>
      <c r="R536">
        <v>171</v>
      </c>
      <c r="S536">
        <v>177</v>
      </c>
    </row>
    <row r="537" spans="1:19" x14ac:dyDescent="0.3">
      <c r="A537">
        <v>534</v>
      </c>
      <c r="B537" t="s">
        <v>102</v>
      </c>
      <c r="C537" t="s">
        <v>78</v>
      </c>
      <c r="D537" t="s">
        <v>79</v>
      </c>
      <c r="E537" t="s">
        <v>31</v>
      </c>
      <c r="F537">
        <v>9</v>
      </c>
      <c r="G537" t="s">
        <v>115</v>
      </c>
      <c r="H537" t="b">
        <v>0</v>
      </c>
      <c r="I537" t="s">
        <v>54</v>
      </c>
      <c r="J537" t="s">
        <v>22</v>
      </c>
      <c r="K537" t="s">
        <v>32</v>
      </c>
      <c r="L537">
        <v>0.06</v>
      </c>
      <c r="M537" t="s">
        <v>44</v>
      </c>
      <c r="N537">
        <v>0.1515</v>
      </c>
      <c r="O537">
        <v>0.41</v>
      </c>
      <c r="P537">
        <v>0</v>
      </c>
      <c r="Q537">
        <v>4</v>
      </c>
      <c r="R537">
        <v>98</v>
      </c>
      <c r="S537">
        <v>102</v>
      </c>
    </row>
    <row r="538" spans="1:19" x14ac:dyDescent="0.3">
      <c r="A538">
        <v>535</v>
      </c>
      <c r="B538" t="s">
        <v>102</v>
      </c>
      <c r="C538" t="s">
        <v>78</v>
      </c>
      <c r="D538" t="s">
        <v>79</v>
      </c>
      <c r="E538" t="s">
        <v>31</v>
      </c>
      <c r="F538">
        <v>10</v>
      </c>
      <c r="G538" t="s">
        <v>115</v>
      </c>
      <c r="H538" t="b">
        <v>0</v>
      </c>
      <c r="I538" t="s">
        <v>54</v>
      </c>
      <c r="J538" t="s">
        <v>22</v>
      </c>
      <c r="K538" t="s">
        <v>32</v>
      </c>
      <c r="L538">
        <v>0.1</v>
      </c>
      <c r="M538" t="s">
        <v>44</v>
      </c>
      <c r="N538">
        <v>0.13639999999999999</v>
      </c>
      <c r="O538">
        <v>0.42</v>
      </c>
      <c r="P538">
        <v>0</v>
      </c>
      <c r="Q538">
        <v>6</v>
      </c>
      <c r="R538">
        <v>34</v>
      </c>
      <c r="S538">
        <v>40</v>
      </c>
    </row>
    <row r="539" spans="1:19" x14ac:dyDescent="0.3">
      <c r="A539">
        <v>536</v>
      </c>
      <c r="B539" t="s">
        <v>102</v>
      </c>
      <c r="C539" t="s">
        <v>78</v>
      </c>
      <c r="D539" t="s">
        <v>79</v>
      </c>
      <c r="E539" t="s">
        <v>31</v>
      </c>
      <c r="F539">
        <v>11</v>
      </c>
      <c r="G539" t="s">
        <v>115</v>
      </c>
      <c r="H539" t="b">
        <v>0</v>
      </c>
      <c r="I539" t="s">
        <v>54</v>
      </c>
      <c r="J539" t="s">
        <v>22</v>
      </c>
      <c r="K539" t="s">
        <v>32</v>
      </c>
      <c r="L539">
        <v>0.1</v>
      </c>
      <c r="M539" t="s">
        <v>44</v>
      </c>
      <c r="N539">
        <v>0.1212</v>
      </c>
      <c r="O539">
        <v>0.46</v>
      </c>
      <c r="P539">
        <v>0.1343</v>
      </c>
      <c r="Q539">
        <v>3</v>
      </c>
      <c r="R539">
        <v>43</v>
      </c>
      <c r="S539">
        <v>46</v>
      </c>
    </row>
    <row r="540" spans="1:19" x14ac:dyDescent="0.3">
      <c r="A540">
        <v>537</v>
      </c>
      <c r="B540" t="s">
        <v>102</v>
      </c>
      <c r="C540" t="s">
        <v>78</v>
      </c>
      <c r="D540" t="s">
        <v>79</v>
      </c>
      <c r="E540" t="s">
        <v>31</v>
      </c>
      <c r="F540">
        <v>12</v>
      </c>
      <c r="G540" t="s">
        <v>114</v>
      </c>
      <c r="H540" t="b">
        <v>0</v>
      </c>
      <c r="I540" t="s">
        <v>54</v>
      </c>
      <c r="J540" t="s">
        <v>22</v>
      </c>
      <c r="K540" t="s">
        <v>33</v>
      </c>
      <c r="L540">
        <v>0.12</v>
      </c>
      <c r="M540" t="s">
        <v>44</v>
      </c>
      <c r="N540">
        <v>0.13639999999999999</v>
      </c>
      <c r="O540">
        <v>0.42</v>
      </c>
      <c r="P540">
        <v>0.19400000000000001</v>
      </c>
      <c r="Q540">
        <v>11</v>
      </c>
      <c r="R540">
        <v>52</v>
      </c>
      <c r="S540">
        <v>63</v>
      </c>
    </row>
    <row r="541" spans="1:19" x14ac:dyDescent="0.3">
      <c r="A541">
        <v>538</v>
      </c>
      <c r="B541" t="s">
        <v>102</v>
      </c>
      <c r="C541" t="s">
        <v>78</v>
      </c>
      <c r="D541" t="s">
        <v>79</v>
      </c>
      <c r="E541" t="s">
        <v>31</v>
      </c>
      <c r="F541">
        <v>13</v>
      </c>
      <c r="G541" t="s">
        <v>114</v>
      </c>
      <c r="H541" t="b">
        <v>0</v>
      </c>
      <c r="I541" t="s">
        <v>54</v>
      </c>
      <c r="J541" t="s">
        <v>22</v>
      </c>
      <c r="K541" t="s">
        <v>33</v>
      </c>
      <c r="L541">
        <v>0.14000000000000001</v>
      </c>
      <c r="M541" t="s">
        <v>44</v>
      </c>
      <c r="N541">
        <v>0.13639999999999999</v>
      </c>
      <c r="O541">
        <v>0.43</v>
      </c>
      <c r="P541">
        <v>0.22389999999999999</v>
      </c>
      <c r="Q541">
        <v>6</v>
      </c>
      <c r="R541">
        <v>54</v>
      </c>
      <c r="S541">
        <v>60</v>
      </c>
    </row>
    <row r="542" spans="1:19" x14ac:dyDescent="0.3">
      <c r="A542">
        <v>539</v>
      </c>
      <c r="B542" t="s">
        <v>102</v>
      </c>
      <c r="C542" t="s">
        <v>78</v>
      </c>
      <c r="D542" t="s">
        <v>79</v>
      </c>
      <c r="E542" t="s">
        <v>31</v>
      </c>
      <c r="F542">
        <v>14</v>
      </c>
      <c r="G542" t="s">
        <v>114</v>
      </c>
      <c r="H542" t="b">
        <v>0</v>
      </c>
      <c r="I542" t="s">
        <v>54</v>
      </c>
      <c r="J542" t="s">
        <v>22</v>
      </c>
      <c r="K542" t="s">
        <v>33</v>
      </c>
      <c r="L542">
        <v>0.14000000000000001</v>
      </c>
      <c r="M542" t="s">
        <v>44</v>
      </c>
      <c r="N542">
        <v>0.13639999999999999</v>
      </c>
      <c r="O542">
        <v>0.46</v>
      </c>
      <c r="P542">
        <v>0.22389999999999999</v>
      </c>
      <c r="Q542">
        <v>2</v>
      </c>
      <c r="R542">
        <v>43</v>
      </c>
      <c r="S542">
        <v>45</v>
      </c>
    </row>
    <row r="543" spans="1:19" x14ac:dyDescent="0.3">
      <c r="A543">
        <v>540</v>
      </c>
      <c r="B543" t="s">
        <v>102</v>
      </c>
      <c r="C543" t="s">
        <v>78</v>
      </c>
      <c r="D543" t="s">
        <v>79</v>
      </c>
      <c r="E543" t="s">
        <v>31</v>
      </c>
      <c r="F543">
        <v>15</v>
      </c>
      <c r="G543" t="s">
        <v>114</v>
      </c>
      <c r="H543" t="b">
        <v>0</v>
      </c>
      <c r="I543" t="s">
        <v>54</v>
      </c>
      <c r="J543" t="s">
        <v>22</v>
      </c>
      <c r="K543" t="s">
        <v>32</v>
      </c>
      <c r="L543">
        <v>0.16</v>
      </c>
      <c r="M543" t="s">
        <v>40</v>
      </c>
      <c r="N543">
        <v>0.16669999999999999</v>
      </c>
      <c r="O543">
        <v>0.4</v>
      </c>
      <c r="P543">
        <v>0.16420000000000001</v>
      </c>
      <c r="Q543">
        <v>7</v>
      </c>
      <c r="R543">
        <v>50</v>
      </c>
      <c r="S543">
        <v>57</v>
      </c>
    </row>
    <row r="544" spans="1:19" x14ac:dyDescent="0.3">
      <c r="A544">
        <v>541</v>
      </c>
      <c r="B544" t="s">
        <v>102</v>
      </c>
      <c r="C544" t="s">
        <v>78</v>
      </c>
      <c r="D544" t="s">
        <v>79</v>
      </c>
      <c r="E544" t="s">
        <v>31</v>
      </c>
      <c r="F544">
        <v>16</v>
      </c>
      <c r="G544" t="s">
        <v>114</v>
      </c>
      <c r="H544" t="b">
        <v>0</v>
      </c>
      <c r="I544" t="s">
        <v>54</v>
      </c>
      <c r="J544" t="s">
        <v>22</v>
      </c>
      <c r="K544" t="s">
        <v>32</v>
      </c>
      <c r="L544">
        <v>0.16</v>
      </c>
      <c r="M544" t="s">
        <v>40</v>
      </c>
      <c r="N544">
        <v>0.1515</v>
      </c>
      <c r="O544">
        <v>0.47</v>
      </c>
      <c r="P544">
        <v>0.25369999999999998</v>
      </c>
      <c r="Q544">
        <v>4</v>
      </c>
      <c r="R544">
        <v>66</v>
      </c>
      <c r="S544">
        <v>70</v>
      </c>
    </row>
    <row r="545" spans="1:19" x14ac:dyDescent="0.3">
      <c r="A545">
        <v>542</v>
      </c>
      <c r="B545" t="s">
        <v>102</v>
      </c>
      <c r="C545" t="s">
        <v>78</v>
      </c>
      <c r="D545" t="s">
        <v>79</v>
      </c>
      <c r="E545" t="s">
        <v>31</v>
      </c>
      <c r="F545">
        <v>17</v>
      </c>
      <c r="G545" t="s">
        <v>114</v>
      </c>
      <c r="H545" t="b">
        <v>0</v>
      </c>
      <c r="I545" t="s">
        <v>54</v>
      </c>
      <c r="J545" t="s">
        <v>22</v>
      </c>
      <c r="K545" t="s">
        <v>32</v>
      </c>
      <c r="L545">
        <v>0.14000000000000001</v>
      </c>
      <c r="M545" t="s">
        <v>44</v>
      </c>
      <c r="N545">
        <v>0.1212</v>
      </c>
      <c r="O545">
        <v>0.5</v>
      </c>
      <c r="P545">
        <v>0.25369999999999998</v>
      </c>
      <c r="Q545">
        <v>6</v>
      </c>
      <c r="R545">
        <v>178</v>
      </c>
      <c r="S545">
        <v>184</v>
      </c>
    </row>
    <row r="546" spans="1:19" x14ac:dyDescent="0.3">
      <c r="A546">
        <v>543</v>
      </c>
      <c r="B546" t="s">
        <v>102</v>
      </c>
      <c r="C546" t="s">
        <v>78</v>
      </c>
      <c r="D546" t="s">
        <v>79</v>
      </c>
      <c r="E546" t="s">
        <v>31</v>
      </c>
      <c r="F546">
        <v>18</v>
      </c>
      <c r="G546" t="s">
        <v>113</v>
      </c>
      <c r="H546" t="b">
        <v>0</v>
      </c>
      <c r="I546" t="s">
        <v>54</v>
      </c>
      <c r="J546" t="s">
        <v>22</v>
      </c>
      <c r="K546" t="s">
        <v>32</v>
      </c>
      <c r="L546">
        <v>0.14000000000000001</v>
      </c>
      <c r="M546" t="s">
        <v>44</v>
      </c>
      <c r="N546">
        <v>0.13639999999999999</v>
      </c>
      <c r="O546">
        <v>0.59</v>
      </c>
      <c r="P546">
        <v>0.19400000000000001</v>
      </c>
      <c r="Q546">
        <v>8</v>
      </c>
      <c r="R546">
        <v>145</v>
      </c>
      <c r="S546">
        <v>153</v>
      </c>
    </row>
    <row r="547" spans="1:19" x14ac:dyDescent="0.3">
      <c r="A547">
        <v>544</v>
      </c>
      <c r="B547" t="s">
        <v>102</v>
      </c>
      <c r="C547" t="s">
        <v>78</v>
      </c>
      <c r="D547" t="s">
        <v>79</v>
      </c>
      <c r="E547" t="s">
        <v>31</v>
      </c>
      <c r="F547">
        <v>19</v>
      </c>
      <c r="G547" t="s">
        <v>113</v>
      </c>
      <c r="H547" t="b">
        <v>0</v>
      </c>
      <c r="I547" t="s">
        <v>54</v>
      </c>
      <c r="J547" t="s">
        <v>22</v>
      </c>
      <c r="K547" t="s">
        <v>32</v>
      </c>
      <c r="L547">
        <v>0.14000000000000001</v>
      </c>
      <c r="M547" t="s">
        <v>44</v>
      </c>
      <c r="N547">
        <v>0.1515</v>
      </c>
      <c r="O547">
        <v>0.54</v>
      </c>
      <c r="P547">
        <v>0.16420000000000001</v>
      </c>
      <c r="Q547">
        <v>5</v>
      </c>
      <c r="R547">
        <v>101</v>
      </c>
      <c r="S547">
        <v>106</v>
      </c>
    </row>
    <row r="548" spans="1:19" x14ac:dyDescent="0.3">
      <c r="A548">
        <v>545</v>
      </c>
      <c r="B548" t="s">
        <v>102</v>
      </c>
      <c r="C548" t="s">
        <v>78</v>
      </c>
      <c r="D548" t="s">
        <v>79</v>
      </c>
      <c r="E548" t="s">
        <v>31</v>
      </c>
      <c r="F548">
        <v>20</v>
      </c>
      <c r="G548" t="s">
        <v>113</v>
      </c>
      <c r="H548" t="b">
        <v>0</v>
      </c>
      <c r="I548" t="s">
        <v>54</v>
      </c>
      <c r="J548" t="s">
        <v>22</v>
      </c>
      <c r="K548" t="s">
        <v>32</v>
      </c>
      <c r="L548">
        <v>0.14000000000000001</v>
      </c>
      <c r="M548" t="s">
        <v>44</v>
      </c>
      <c r="N548">
        <v>0.13639999999999999</v>
      </c>
      <c r="O548">
        <v>0.59</v>
      </c>
      <c r="P548">
        <v>0.19400000000000001</v>
      </c>
      <c r="Q548">
        <v>1</v>
      </c>
      <c r="R548">
        <v>80</v>
      </c>
      <c r="S548">
        <v>81</v>
      </c>
    </row>
    <row r="549" spans="1:19" x14ac:dyDescent="0.3">
      <c r="A549">
        <v>546</v>
      </c>
      <c r="B549" t="s">
        <v>102</v>
      </c>
      <c r="C549" t="s">
        <v>78</v>
      </c>
      <c r="D549" t="s">
        <v>79</v>
      </c>
      <c r="E549" t="s">
        <v>31</v>
      </c>
      <c r="F549">
        <v>21</v>
      </c>
      <c r="G549" t="s">
        <v>113</v>
      </c>
      <c r="H549" t="b">
        <v>0</v>
      </c>
      <c r="I549" t="s">
        <v>54</v>
      </c>
      <c r="J549" t="s">
        <v>22</v>
      </c>
      <c r="K549" t="s">
        <v>32</v>
      </c>
      <c r="L549">
        <v>0.14000000000000001</v>
      </c>
      <c r="M549" t="s">
        <v>44</v>
      </c>
      <c r="N549">
        <v>0.1515</v>
      </c>
      <c r="O549">
        <v>0.63</v>
      </c>
      <c r="P549">
        <v>0.16420000000000001</v>
      </c>
      <c r="Q549">
        <v>6</v>
      </c>
      <c r="R549">
        <v>53</v>
      </c>
      <c r="S549">
        <v>59</v>
      </c>
    </row>
    <row r="550" spans="1:19" x14ac:dyDescent="0.3">
      <c r="A550">
        <v>547</v>
      </c>
      <c r="B550" t="s">
        <v>102</v>
      </c>
      <c r="C550" t="s">
        <v>78</v>
      </c>
      <c r="D550" t="s">
        <v>79</v>
      </c>
      <c r="E550" t="s">
        <v>31</v>
      </c>
      <c r="F550">
        <v>22</v>
      </c>
      <c r="G550" t="s">
        <v>113</v>
      </c>
      <c r="H550" t="b">
        <v>0</v>
      </c>
      <c r="I550" t="s">
        <v>54</v>
      </c>
      <c r="J550" t="s">
        <v>22</v>
      </c>
      <c r="K550" t="s">
        <v>33</v>
      </c>
      <c r="L550">
        <v>0.14000000000000001</v>
      </c>
      <c r="M550" t="s">
        <v>44</v>
      </c>
      <c r="N550">
        <v>0.13639999999999999</v>
      </c>
      <c r="O550">
        <v>0.63</v>
      </c>
      <c r="P550">
        <v>0.22389999999999999</v>
      </c>
      <c r="Q550">
        <v>3</v>
      </c>
      <c r="R550">
        <v>32</v>
      </c>
      <c r="S550">
        <v>35</v>
      </c>
    </row>
    <row r="551" spans="1:19" x14ac:dyDescent="0.3">
      <c r="A551">
        <v>548</v>
      </c>
      <c r="B551" t="s">
        <v>102</v>
      </c>
      <c r="C551" t="s">
        <v>78</v>
      </c>
      <c r="D551" t="s">
        <v>79</v>
      </c>
      <c r="E551" t="s">
        <v>31</v>
      </c>
      <c r="F551">
        <v>23</v>
      </c>
      <c r="G551" t="s">
        <v>113</v>
      </c>
      <c r="H551" t="b">
        <v>0</v>
      </c>
      <c r="I551" t="s">
        <v>54</v>
      </c>
      <c r="J551" t="s">
        <v>22</v>
      </c>
      <c r="K551" t="s">
        <v>33</v>
      </c>
      <c r="L551">
        <v>0.16</v>
      </c>
      <c r="M551" t="s">
        <v>40</v>
      </c>
      <c r="N551">
        <v>0.1515</v>
      </c>
      <c r="O551">
        <v>0.64</v>
      </c>
      <c r="P551">
        <v>0.25369999999999998</v>
      </c>
      <c r="Q551">
        <v>3</v>
      </c>
      <c r="R551">
        <v>21</v>
      </c>
      <c r="S551">
        <v>24</v>
      </c>
    </row>
    <row r="552" spans="1:19" x14ac:dyDescent="0.3">
      <c r="A552">
        <v>549</v>
      </c>
      <c r="B552" t="s">
        <v>103</v>
      </c>
      <c r="C552" t="s">
        <v>78</v>
      </c>
      <c r="D552" t="s">
        <v>79</v>
      </c>
      <c r="E552" t="s">
        <v>31</v>
      </c>
      <c r="F552">
        <v>0</v>
      </c>
      <c r="G552" t="s">
        <v>116</v>
      </c>
      <c r="H552" t="b">
        <v>0</v>
      </c>
      <c r="I552" t="s">
        <v>55</v>
      </c>
      <c r="J552" t="s">
        <v>22</v>
      </c>
      <c r="K552" t="s">
        <v>33</v>
      </c>
      <c r="L552">
        <v>0.16</v>
      </c>
      <c r="M552" t="s">
        <v>40</v>
      </c>
      <c r="N552">
        <v>0.13639999999999999</v>
      </c>
      <c r="O552">
        <v>0.69</v>
      </c>
      <c r="P552">
        <v>0.28360000000000002</v>
      </c>
      <c r="Q552">
        <v>3</v>
      </c>
      <c r="R552">
        <v>6</v>
      </c>
      <c r="S552">
        <v>9</v>
      </c>
    </row>
    <row r="553" spans="1:19" x14ac:dyDescent="0.3">
      <c r="A553">
        <v>550</v>
      </c>
      <c r="B553" t="s">
        <v>103</v>
      </c>
      <c r="C553" t="s">
        <v>78</v>
      </c>
      <c r="D553" t="s">
        <v>79</v>
      </c>
      <c r="E553" t="s">
        <v>31</v>
      </c>
      <c r="F553">
        <v>1</v>
      </c>
      <c r="G553" t="s">
        <v>116</v>
      </c>
      <c r="H553" t="b">
        <v>0</v>
      </c>
      <c r="I553" t="s">
        <v>55</v>
      </c>
      <c r="J553" t="s">
        <v>22</v>
      </c>
      <c r="K553" t="s">
        <v>33</v>
      </c>
      <c r="L553">
        <v>0.16</v>
      </c>
      <c r="M553" t="s">
        <v>40</v>
      </c>
      <c r="N553">
        <v>0.16669999999999999</v>
      </c>
      <c r="O553">
        <v>0.69</v>
      </c>
      <c r="P553">
        <v>0.16420000000000001</v>
      </c>
      <c r="Q553">
        <v>0</v>
      </c>
      <c r="R553">
        <v>5</v>
      </c>
      <c r="S553">
        <v>5</v>
      </c>
    </row>
    <row r="554" spans="1:19" x14ac:dyDescent="0.3">
      <c r="A554">
        <v>551</v>
      </c>
      <c r="B554" t="s">
        <v>103</v>
      </c>
      <c r="C554" t="s">
        <v>78</v>
      </c>
      <c r="D554" t="s">
        <v>79</v>
      </c>
      <c r="E554" t="s">
        <v>31</v>
      </c>
      <c r="F554">
        <v>2</v>
      </c>
      <c r="G554" t="s">
        <v>116</v>
      </c>
      <c r="H554" t="b">
        <v>0</v>
      </c>
      <c r="I554" t="s">
        <v>55</v>
      </c>
      <c r="J554" t="s">
        <v>22</v>
      </c>
      <c r="K554" t="s">
        <v>32</v>
      </c>
      <c r="L554">
        <v>0.16</v>
      </c>
      <c r="M554" t="s">
        <v>40</v>
      </c>
      <c r="N554">
        <v>0.1515</v>
      </c>
      <c r="O554">
        <v>0.69</v>
      </c>
      <c r="P554">
        <v>0.22389999999999999</v>
      </c>
      <c r="Q554">
        <v>0</v>
      </c>
      <c r="R554">
        <v>2</v>
      </c>
      <c r="S554">
        <v>2</v>
      </c>
    </row>
    <row r="555" spans="1:19" x14ac:dyDescent="0.3">
      <c r="A555">
        <v>552</v>
      </c>
      <c r="B555" t="s">
        <v>103</v>
      </c>
      <c r="C555" t="s">
        <v>78</v>
      </c>
      <c r="D555" t="s">
        <v>79</v>
      </c>
      <c r="E555" t="s">
        <v>31</v>
      </c>
      <c r="F555">
        <v>4</v>
      </c>
      <c r="G555" t="s">
        <v>116</v>
      </c>
      <c r="H555" t="b">
        <v>0</v>
      </c>
      <c r="I555" t="s">
        <v>55</v>
      </c>
      <c r="J555" t="s">
        <v>22</v>
      </c>
      <c r="K555" t="s">
        <v>32</v>
      </c>
      <c r="L555">
        <v>0.14000000000000001</v>
      </c>
      <c r="M555" t="s">
        <v>44</v>
      </c>
      <c r="N555">
        <v>0.16669999999999999</v>
      </c>
      <c r="O555">
        <v>0.74</v>
      </c>
      <c r="P555">
        <v>0.1045</v>
      </c>
      <c r="Q555">
        <v>0</v>
      </c>
      <c r="R555">
        <v>1</v>
      </c>
      <c r="S555">
        <v>1</v>
      </c>
    </row>
    <row r="556" spans="1:19" x14ac:dyDescent="0.3">
      <c r="A556">
        <v>553</v>
      </c>
      <c r="B556" t="s">
        <v>103</v>
      </c>
      <c r="C556" t="s">
        <v>78</v>
      </c>
      <c r="D556" t="s">
        <v>79</v>
      </c>
      <c r="E556" t="s">
        <v>31</v>
      </c>
      <c r="F556">
        <v>5</v>
      </c>
      <c r="G556" t="s">
        <v>116</v>
      </c>
      <c r="H556" t="b">
        <v>0</v>
      </c>
      <c r="I556" t="s">
        <v>55</v>
      </c>
      <c r="J556" t="s">
        <v>22</v>
      </c>
      <c r="K556" t="s">
        <v>32</v>
      </c>
      <c r="L556">
        <v>0.14000000000000001</v>
      </c>
      <c r="M556" t="s">
        <v>44</v>
      </c>
      <c r="N556">
        <v>0.13639999999999999</v>
      </c>
      <c r="O556">
        <v>0.74</v>
      </c>
      <c r="P556">
        <v>0.22389999999999999</v>
      </c>
      <c r="Q556">
        <v>0</v>
      </c>
      <c r="R556">
        <v>9</v>
      </c>
      <c r="S556">
        <v>9</v>
      </c>
    </row>
    <row r="557" spans="1:19" x14ac:dyDescent="0.3">
      <c r="A557">
        <v>554</v>
      </c>
      <c r="B557" t="s">
        <v>103</v>
      </c>
      <c r="C557" t="s">
        <v>78</v>
      </c>
      <c r="D557" t="s">
        <v>79</v>
      </c>
      <c r="E557" t="s">
        <v>31</v>
      </c>
      <c r="F557">
        <v>6</v>
      </c>
      <c r="G557" t="s">
        <v>115</v>
      </c>
      <c r="H557" t="b">
        <v>0</v>
      </c>
      <c r="I557" t="s">
        <v>55</v>
      </c>
      <c r="J557" t="s">
        <v>22</v>
      </c>
      <c r="K557" t="s">
        <v>32</v>
      </c>
      <c r="L557">
        <v>0.16</v>
      </c>
      <c r="M557" t="s">
        <v>40</v>
      </c>
      <c r="N557">
        <v>0.18179999999999999</v>
      </c>
      <c r="O557">
        <v>0.74</v>
      </c>
      <c r="P557">
        <v>0.1045</v>
      </c>
      <c r="Q557">
        <v>1</v>
      </c>
      <c r="R557">
        <v>35</v>
      </c>
      <c r="S557">
        <v>36</v>
      </c>
    </row>
    <row r="558" spans="1:19" x14ac:dyDescent="0.3">
      <c r="A558">
        <v>555</v>
      </c>
      <c r="B558" t="s">
        <v>103</v>
      </c>
      <c r="C558" t="s">
        <v>78</v>
      </c>
      <c r="D558" t="s">
        <v>79</v>
      </c>
      <c r="E558" t="s">
        <v>31</v>
      </c>
      <c r="F558">
        <v>7</v>
      </c>
      <c r="G558" t="s">
        <v>115</v>
      </c>
      <c r="H558" t="b">
        <v>0</v>
      </c>
      <c r="I558" t="s">
        <v>55</v>
      </c>
      <c r="J558" t="s">
        <v>22</v>
      </c>
      <c r="K558" t="s">
        <v>32</v>
      </c>
      <c r="L558">
        <v>0.16</v>
      </c>
      <c r="M558" t="s">
        <v>40</v>
      </c>
      <c r="N558">
        <v>0.1515</v>
      </c>
      <c r="O558">
        <v>0.74</v>
      </c>
      <c r="P558">
        <v>0.22389999999999999</v>
      </c>
      <c r="Q558">
        <v>5</v>
      </c>
      <c r="R558">
        <v>103</v>
      </c>
      <c r="S558">
        <v>108</v>
      </c>
    </row>
    <row r="559" spans="1:19" x14ac:dyDescent="0.3">
      <c r="A559">
        <v>556</v>
      </c>
      <c r="B559" t="s">
        <v>103</v>
      </c>
      <c r="C559" t="s">
        <v>78</v>
      </c>
      <c r="D559" t="s">
        <v>79</v>
      </c>
      <c r="E559" t="s">
        <v>31</v>
      </c>
      <c r="F559">
        <v>8</v>
      </c>
      <c r="G559" t="s">
        <v>115</v>
      </c>
      <c r="H559" t="b">
        <v>0</v>
      </c>
      <c r="I559" t="s">
        <v>55</v>
      </c>
      <c r="J559" t="s">
        <v>22</v>
      </c>
      <c r="K559" t="s">
        <v>33</v>
      </c>
      <c r="L559">
        <v>0.16</v>
      </c>
      <c r="M559" t="s">
        <v>40</v>
      </c>
      <c r="N559">
        <v>0.18179999999999999</v>
      </c>
      <c r="O559">
        <v>0.74</v>
      </c>
      <c r="P559">
        <v>0.1343</v>
      </c>
      <c r="Q559">
        <v>5</v>
      </c>
      <c r="R559">
        <v>233</v>
      </c>
      <c r="S559">
        <v>238</v>
      </c>
    </row>
    <row r="560" spans="1:19" x14ac:dyDescent="0.3">
      <c r="A560">
        <v>557</v>
      </c>
      <c r="B560" t="s">
        <v>103</v>
      </c>
      <c r="C560" t="s">
        <v>78</v>
      </c>
      <c r="D560" t="s">
        <v>79</v>
      </c>
      <c r="E560" t="s">
        <v>31</v>
      </c>
      <c r="F560">
        <v>9</v>
      </c>
      <c r="G560" t="s">
        <v>115</v>
      </c>
      <c r="H560" t="b">
        <v>0</v>
      </c>
      <c r="I560" t="s">
        <v>55</v>
      </c>
      <c r="J560" t="s">
        <v>22</v>
      </c>
      <c r="K560" t="s">
        <v>33</v>
      </c>
      <c r="L560">
        <v>0.2</v>
      </c>
      <c r="M560" t="s">
        <v>40</v>
      </c>
      <c r="N560">
        <v>0.2273</v>
      </c>
      <c r="O560">
        <v>0.64</v>
      </c>
      <c r="P560">
        <v>8.9599999999999999E-2</v>
      </c>
      <c r="Q560">
        <v>10</v>
      </c>
      <c r="R560">
        <v>134</v>
      </c>
      <c r="S560">
        <v>144</v>
      </c>
    </row>
    <row r="561" spans="1:19" x14ac:dyDescent="0.3">
      <c r="A561">
        <v>558</v>
      </c>
      <c r="B561" t="s">
        <v>103</v>
      </c>
      <c r="C561" t="s">
        <v>78</v>
      </c>
      <c r="D561" t="s">
        <v>79</v>
      </c>
      <c r="E561" t="s">
        <v>31</v>
      </c>
      <c r="F561">
        <v>10</v>
      </c>
      <c r="G561" t="s">
        <v>115</v>
      </c>
      <c r="H561" t="b">
        <v>0</v>
      </c>
      <c r="I561" t="s">
        <v>55</v>
      </c>
      <c r="J561" t="s">
        <v>22</v>
      </c>
      <c r="K561" t="s">
        <v>33</v>
      </c>
      <c r="L561">
        <v>0.22</v>
      </c>
      <c r="M561" t="s">
        <v>40</v>
      </c>
      <c r="N561">
        <v>0.2424</v>
      </c>
      <c r="O561">
        <v>0.6</v>
      </c>
      <c r="P561">
        <v>0.1045</v>
      </c>
      <c r="Q561">
        <v>6</v>
      </c>
      <c r="R561">
        <v>49</v>
      </c>
      <c r="S561">
        <v>55</v>
      </c>
    </row>
    <row r="562" spans="1:19" x14ac:dyDescent="0.3">
      <c r="A562">
        <v>559</v>
      </c>
      <c r="B562" t="s">
        <v>103</v>
      </c>
      <c r="C562" t="s">
        <v>78</v>
      </c>
      <c r="D562" t="s">
        <v>79</v>
      </c>
      <c r="E562" t="s">
        <v>31</v>
      </c>
      <c r="F562">
        <v>11</v>
      </c>
      <c r="G562" t="s">
        <v>115</v>
      </c>
      <c r="H562" t="b">
        <v>0</v>
      </c>
      <c r="I562" t="s">
        <v>55</v>
      </c>
      <c r="J562" t="s">
        <v>22</v>
      </c>
      <c r="K562" t="s">
        <v>33</v>
      </c>
      <c r="L562">
        <v>0.24</v>
      </c>
      <c r="M562" t="s">
        <v>40</v>
      </c>
      <c r="N562">
        <v>0.2424</v>
      </c>
      <c r="O562">
        <v>0.6</v>
      </c>
      <c r="P562">
        <v>0.1343</v>
      </c>
      <c r="Q562">
        <v>6</v>
      </c>
      <c r="R562">
        <v>55</v>
      </c>
      <c r="S562">
        <v>61</v>
      </c>
    </row>
    <row r="563" spans="1:19" x14ac:dyDescent="0.3">
      <c r="A563">
        <v>560</v>
      </c>
      <c r="B563" t="s">
        <v>103</v>
      </c>
      <c r="C563" t="s">
        <v>78</v>
      </c>
      <c r="D563" t="s">
        <v>79</v>
      </c>
      <c r="E563" t="s">
        <v>31</v>
      </c>
      <c r="F563">
        <v>12</v>
      </c>
      <c r="G563" t="s">
        <v>114</v>
      </c>
      <c r="H563" t="b">
        <v>0</v>
      </c>
      <c r="I563" t="s">
        <v>55</v>
      </c>
      <c r="J563" t="s">
        <v>22</v>
      </c>
      <c r="K563" t="s">
        <v>33</v>
      </c>
      <c r="L563">
        <v>0.26</v>
      </c>
      <c r="M563" t="s">
        <v>41</v>
      </c>
      <c r="N563">
        <v>0.28789999999999999</v>
      </c>
      <c r="O563">
        <v>0.56000000000000005</v>
      </c>
      <c r="P563">
        <v>8.9599999999999999E-2</v>
      </c>
      <c r="Q563">
        <v>21</v>
      </c>
      <c r="R563">
        <v>85</v>
      </c>
      <c r="S563">
        <v>106</v>
      </c>
    </row>
    <row r="564" spans="1:19" x14ac:dyDescent="0.3">
      <c r="A564">
        <v>561</v>
      </c>
      <c r="B564" t="s">
        <v>103</v>
      </c>
      <c r="C564" t="s">
        <v>78</v>
      </c>
      <c r="D564" t="s">
        <v>79</v>
      </c>
      <c r="E564" t="s">
        <v>31</v>
      </c>
      <c r="F564">
        <v>13</v>
      </c>
      <c r="G564" t="s">
        <v>114</v>
      </c>
      <c r="H564" t="b">
        <v>0</v>
      </c>
      <c r="I564" t="s">
        <v>55</v>
      </c>
      <c r="J564" t="s">
        <v>22</v>
      </c>
      <c r="K564" t="s">
        <v>33</v>
      </c>
      <c r="L564">
        <v>0.26</v>
      </c>
      <c r="M564" t="s">
        <v>41</v>
      </c>
      <c r="N564">
        <v>0.2727</v>
      </c>
      <c r="O564">
        <v>0.56000000000000005</v>
      </c>
      <c r="P564">
        <v>0.1343</v>
      </c>
      <c r="Q564">
        <v>21</v>
      </c>
      <c r="R564">
        <v>72</v>
      </c>
      <c r="S564">
        <v>93</v>
      </c>
    </row>
    <row r="565" spans="1:19" x14ac:dyDescent="0.3">
      <c r="A565">
        <v>562</v>
      </c>
      <c r="B565" t="s">
        <v>103</v>
      </c>
      <c r="C565" t="s">
        <v>78</v>
      </c>
      <c r="D565" t="s">
        <v>79</v>
      </c>
      <c r="E565" t="s">
        <v>31</v>
      </c>
      <c r="F565">
        <v>14</v>
      </c>
      <c r="G565" t="s">
        <v>114</v>
      </c>
      <c r="H565" t="b">
        <v>0</v>
      </c>
      <c r="I565" t="s">
        <v>55</v>
      </c>
      <c r="J565" t="s">
        <v>22</v>
      </c>
      <c r="K565" t="s">
        <v>33</v>
      </c>
      <c r="L565">
        <v>0.3</v>
      </c>
      <c r="M565" t="s">
        <v>41</v>
      </c>
      <c r="N565">
        <v>0.33329999999999999</v>
      </c>
      <c r="O565">
        <v>0.45</v>
      </c>
      <c r="P565">
        <v>0</v>
      </c>
      <c r="Q565">
        <v>11</v>
      </c>
      <c r="R565">
        <v>57</v>
      </c>
      <c r="S565">
        <v>68</v>
      </c>
    </row>
    <row r="566" spans="1:19" x14ac:dyDescent="0.3">
      <c r="A566">
        <v>563</v>
      </c>
      <c r="B566" t="s">
        <v>103</v>
      </c>
      <c r="C566" t="s">
        <v>78</v>
      </c>
      <c r="D566" t="s">
        <v>79</v>
      </c>
      <c r="E566" t="s">
        <v>31</v>
      </c>
      <c r="F566">
        <v>15</v>
      </c>
      <c r="G566" t="s">
        <v>114</v>
      </c>
      <c r="H566" t="b">
        <v>0</v>
      </c>
      <c r="I566" t="s">
        <v>55</v>
      </c>
      <c r="J566" t="s">
        <v>22</v>
      </c>
      <c r="K566" t="s">
        <v>33</v>
      </c>
      <c r="L566">
        <v>0.32</v>
      </c>
      <c r="M566" t="s">
        <v>41</v>
      </c>
      <c r="N566">
        <v>0.34849999999999998</v>
      </c>
      <c r="O566">
        <v>0.42</v>
      </c>
      <c r="P566">
        <v>0</v>
      </c>
      <c r="Q566">
        <v>21</v>
      </c>
      <c r="R566">
        <v>63</v>
      </c>
      <c r="S566">
        <v>84</v>
      </c>
    </row>
    <row r="567" spans="1:19" x14ac:dyDescent="0.3">
      <c r="A567">
        <v>564</v>
      </c>
      <c r="B567" t="s">
        <v>103</v>
      </c>
      <c r="C567" t="s">
        <v>78</v>
      </c>
      <c r="D567" t="s">
        <v>79</v>
      </c>
      <c r="E567" t="s">
        <v>31</v>
      </c>
      <c r="F567">
        <v>16</v>
      </c>
      <c r="G567" t="s">
        <v>114</v>
      </c>
      <c r="H567" t="b">
        <v>0</v>
      </c>
      <c r="I567" t="s">
        <v>55</v>
      </c>
      <c r="J567" t="s">
        <v>22</v>
      </c>
      <c r="K567" t="s">
        <v>33</v>
      </c>
      <c r="L567">
        <v>0.32</v>
      </c>
      <c r="M567" t="s">
        <v>41</v>
      </c>
      <c r="N567">
        <v>0.34849999999999998</v>
      </c>
      <c r="O567">
        <v>0.42</v>
      </c>
      <c r="P567">
        <v>0</v>
      </c>
      <c r="Q567">
        <v>14</v>
      </c>
      <c r="R567">
        <v>102</v>
      </c>
      <c r="S567">
        <v>116</v>
      </c>
    </row>
    <row r="568" spans="1:19" x14ac:dyDescent="0.3">
      <c r="A568">
        <v>565</v>
      </c>
      <c r="B568" t="s">
        <v>103</v>
      </c>
      <c r="C568" t="s">
        <v>78</v>
      </c>
      <c r="D568" t="s">
        <v>79</v>
      </c>
      <c r="E568" t="s">
        <v>31</v>
      </c>
      <c r="F568">
        <v>17</v>
      </c>
      <c r="G568" t="s">
        <v>114</v>
      </c>
      <c r="H568" t="b">
        <v>0</v>
      </c>
      <c r="I568" t="s">
        <v>55</v>
      </c>
      <c r="J568" t="s">
        <v>22</v>
      </c>
      <c r="K568" t="s">
        <v>32</v>
      </c>
      <c r="L568">
        <v>0.3</v>
      </c>
      <c r="M568" t="s">
        <v>41</v>
      </c>
      <c r="N568">
        <v>0.33329999999999999</v>
      </c>
      <c r="O568">
        <v>0.45</v>
      </c>
      <c r="P568">
        <v>0</v>
      </c>
      <c r="Q568">
        <v>14</v>
      </c>
      <c r="R568">
        <v>208</v>
      </c>
      <c r="S568">
        <v>222</v>
      </c>
    </row>
    <row r="569" spans="1:19" x14ac:dyDescent="0.3">
      <c r="A569">
        <v>566</v>
      </c>
      <c r="B569" t="s">
        <v>103</v>
      </c>
      <c r="C569" t="s">
        <v>78</v>
      </c>
      <c r="D569" t="s">
        <v>79</v>
      </c>
      <c r="E569" t="s">
        <v>31</v>
      </c>
      <c r="F569">
        <v>18</v>
      </c>
      <c r="G569" t="s">
        <v>113</v>
      </c>
      <c r="H569" t="b">
        <v>0</v>
      </c>
      <c r="I569" t="s">
        <v>55</v>
      </c>
      <c r="J569" t="s">
        <v>22</v>
      </c>
      <c r="K569" t="s">
        <v>33</v>
      </c>
      <c r="L569">
        <v>0.3</v>
      </c>
      <c r="M569" t="s">
        <v>41</v>
      </c>
      <c r="N569">
        <v>0.31819999999999998</v>
      </c>
      <c r="O569">
        <v>0.49</v>
      </c>
      <c r="P569">
        <v>8.9599999999999999E-2</v>
      </c>
      <c r="Q569">
        <v>7</v>
      </c>
      <c r="R569">
        <v>218</v>
      </c>
      <c r="S569">
        <v>225</v>
      </c>
    </row>
    <row r="570" spans="1:19" x14ac:dyDescent="0.3">
      <c r="A570">
        <v>567</v>
      </c>
      <c r="B570" t="s">
        <v>103</v>
      </c>
      <c r="C570" t="s">
        <v>78</v>
      </c>
      <c r="D570" t="s">
        <v>79</v>
      </c>
      <c r="E570" t="s">
        <v>31</v>
      </c>
      <c r="F570">
        <v>19</v>
      </c>
      <c r="G570" t="s">
        <v>113</v>
      </c>
      <c r="H570" t="b">
        <v>0</v>
      </c>
      <c r="I570" t="s">
        <v>55</v>
      </c>
      <c r="J570" t="s">
        <v>22</v>
      </c>
      <c r="K570" t="s">
        <v>33</v>
      </c>
      <c r="L570">
        <v>0.26</v>
      </c>
      <c r="M570" t="s">
        <v>41</v>
      </c>
      <c r="N570">
        <v>0.2576</v>
      </c>
      <c r="O570">
        <v>0.65</v>
      </c>
      <c r="P570">
        <v>0.16420000000000001</v>
      </c>
      <c r="Q570">
        <v>13</v>
      </c>
      <c r="R570">
        <v>133</v>
      </c>
      <c r="S570">
        <v>146</v>
      </c>
    </row>
    <row r="571" spans="1:19" x14ac:dyDescent="0.3">
      <c r="A571">
        <v>568</v>
      </c>
      <c r="B571" t="s">
        <v>103</v>
      </c>
      <c r="C571" t="s">
        <v>78</v>
      </c>
      <c r="D571" t="s">
        <v>79</v>
      </c>
      <c r="E571" t="s">
        <v>31</v>
      </c>
      <c r="F571">
        <v>20</v>
      </c>
      <c r="G571" t="s">
        <v>113</v>
      </c>
      <c r="H571" t="b">
        <v>0</v>
      </c>
      <c r="I571" t="s">
        <v>55</v>
      </c>
      <c r="J571" t="s">
        <v>22</v>
      </c>
      <c r="K571" t="s">
        <v>32</v>
      </c>
      <c r="L571">
        <v>0.24</v>
      </c>
      <c r="M571" t="s">
        <v>40</v>
      </c>
      <c r="N571">
        <v>0.2273</v>
      </c>
      <c r="O571">
        <v>0.65</v>
      </c>
      <c r="P571">
        <v>0.19400000000000001</v>
      </c>
      <c r="Q571">
        <v>16</v>
      </c>
      <c r="R571">
        <v>103</v>
      </c>
      <c r="S571">
        <v>119</v>
      </c>
    </row>
    <row r="572" spans="1:19" x14ac:dyDescent="0.3">
      <c r="A572">
        <v>569</v>
      </c>
      <c r="B572" t="s">
        <v>103</v>
      </c>
      <c r="C572" t="s">
        <v>78</v>
      </c>
      <c r="D572" t="s">
        <v>79</v>
      </c>
      <c r="E572" t="s">
        <v>31</v>
      </c>
      <c r="F572">
        <v>21</v>
      </c>
      <c r="G572" t="s">
        <v>113</v>
      </c>
      <c r="H572" t="b">
        <v>0</v>
      </c>
      <c r="I572" t="s">
        <v>55</v>
      </c>
      <c r="J572" t="s">
        <v>22</v>
      </c>
      <c r="K572" t="s">
        <v>32</v>
      </c>
      <c r="L572">
        <v>0.24</v>
      </c>
      <c r="M572" t="s">
        <v>40</v>
      </c>
      <c r="N572">
        <v>0.2273</v>
      </c>
      <c r="O572">
        <v>0.65</v>
      </c>
      <c r="P572">
        <v>0.19400000000000001</v>
      </c>
      <c r="Q572">
        <v>5</v>
      </c>
      <c r="R572">
        <v>40</v>
      </c>
      <c r="S572">
        <v>45</v>
      </c>
    </row>
    <row r="573" spans="1:19" x14ac:dyDescent="0.3">
      <c r="A573">
        <v>570</v>
      </c>
      <c r="B573" t="s">
        <v>103</v>
      </c>
      <c r="C573" t="s">
        <v>78</v>
      </c>
      <c r="D573" t="s">
        <v>79</v>
      </c>
      <c r="E573" t="s">
        <v>31</v>
      </c>
      <c r="F573">
        <v>22</v>
      </c>
      <c r="G573" t="s">
        <v>113</v>
      </c>
      <c r="H573" t="b">
        <v>0</v>
      </c>
      <c r="I573" t="s">
        <v>55</v>
      </c>
      <c r="J573" t="s">
        <v>22</v>
      </c>
      <c r="K573" t="s">
        <v>32</v>
      </c>
      <c r="L573">
        <v>0.22</v>
      </c>
      <c r="M573" t="s">
        <v>40</v>
      </c>
      <c r="N573">
        <v>0.2273</v>
      </c>
      <c r="O573">
        <v>0.64</v>
      </c>
      <c r="P573">
        <v>0.16420000000000001</v>
      </c>
      <c r="Q573">
        <v>4</v>
      </c>
      <c r="R573">
        <v>49</v>
      </c>
      <c r="S573">
        <v>53</v>
      </c>
    </row>
    <row r="574" spans="1:19" x14ac:dyDescent="0.3">
      <c r="A574">
        <v>571</v>
      </c>
      <c r="B574" t="s">
        <v>103</v>
      </c>
      <c r="C574" t="s">
        <v>78</v>
      </c>
      <c r="D574" t="s">
        <v>79</v>
      </c>
      <c r="E574" t="s">
        <v>31</v>
      </c>
      <c r="F574">
        <v>23</v>
      </c>
      <c r="G574" t="s">
        <v>113</v>
      </c>
      <c r="H574" t="b">
        <v>0</v>
      </c>
      <c r="I574" t="s">
        <v>55</v>
      </c>
      <c r="J574" t="s">
        <v>22</v>
      </c>
      <c r="K574" t="s">
        <v>33</v>
      </c>
      <c r="L574">
        <v>0.22</v>
      </c>
      <c r="M574" t="s">
        <v>40</v>
      </c>
      <c r="N574">
        <v>0.2273</v>
      </c>
      <c r="O574">
        <v>0.64</v>
      </c>
      <c r="P574">
        <v>0.16420000000000001</v>
      </c>
      <c r="Q574">
        <v>3</v>
      </c>
      <c r="R574">
        <v>37</v>
      </c>
      <c r="S574">
        <v>40</v>
      </c>
    </row>
    <row r="575" spans="1:19" x14ac:dyDescent="0.3">
      <c r="A575">
        <v>572</v>
      </c>
      <c r="B575" t="s">
        <v>104</v>
      </c>
      <c r="C575" t="s">
        <v>78</v>
      </c>
      <c r="D575" t="s">
        <v>79</v>
      </c>
      <c r="E575" t="s">
        <v>31</v>
      </c>
      <c r="F575">
        <v>0</v>
      </c>
      <c r="G575" t="s">
        <v>116</v>
      </c>
      <c r="H575" t="b">
        <v>0</v>
      </c>
      <c r="I575" t="s">
        <v>56</v>
      </c>
      <c r="J575" t="s">
        <v>22</v>
      </c>
      <c r="K575" t="s">
        <v>33</v>
      </c>
      <c r="L575">
        <v>0.22</v>
      </c>
      <c r="M575" t="s">
        <v>40</v>
      </c>
      <c r="N575">
        <v>0.2273</v>
      </c>
      <c r="O575">
        <v>0.69</v>
      </c>
      <c r="P575">
        <v>0.1343</v>
      </c>
      <c r="Q575">
        <v>3</v>
      </c>
      <c r="R575">
        <v>14</v>
      </c>
      <c r="S575">
        <v>17</v>
      </c>
    </row>
    <row r="576" spans="1:19" x14ac:dyDescent="0.3">
      <c r="A576">
        <v>573</v>
      </c>
      <c r="B576" t="s">
        <v>104</v>
      </c>
      <c r="C576" t="s">
        <v>78</v>
      </c>
      <c r="D576" t="s">
        <v>79</v>
      </c>
      <c r="E576" t="s">
        <v>31</v>
      </c>
      <c r="F576">
        <v>1</v>
      </c>
      <c r="G576" t="s">
        <v>116</v>
      </c>
      <c r="H576" t="b">
        <v>0</v>
      </c>
      <c r="I576" t="s">
        <v>56</v>
      </c>
      <c r="J576" t="s">
        <v>22</v>
      </c>
      <c r="K576" t="s">
        <v>33</v>
      </c>
      <c r="L576">
        <v>0.24</v>
      </c>
      <c r="M576" t="s">
        <v>40</v>
      </c>
      <c r="N576">
        <v>0.2424</v>
      </c>
      <c r="O576">
        <v>0.65</v>
      </c>
      <c r="P576">
        <v>0.1343</v>
      </c>
      <c r="Q576">
        <v>0</v>
      </c>
      <c r="R576">
        <v>5</v>
      </c>
      <c r="S576">
        <v>5</v>
      </c>
    </row>
    <row r="577" spans="1:19" x14ac:dyDescent="0.3">
      <c r="A577">
        <v>574</v>
      </c>
      <c r="B577" t="s">
        <v>104</v>
      </c>
      <c r="C577" t="s">
        <v>78</v>
      </c>
      <c r="D577" t="s">
        <v>79</v>
      </c>
      <c r="E577" t="s">
        <v>31</v>
      </c>
      <c r="F577">
        <v>2</v>
      </c>
      <c r="G577" t="s">
        <v>116</v>
      </c>
      <c r="H577" t="b">
        <v>0</v>
      </c>
      <c r="I577" t="s">
        <v>56</v>
      </c>
      <c r="J577" t="s">
        <v>22</v>
      </c>
      <c r="K577" t="s">
        <v>34</v>
      </c>
      <c r="L577">
        <v>0.22</v>
      </c>
      <c r="M577" t="s">
        <v>40</v>
      </c>
      <c r="N577">
        <v>0.2273</v>
      </c>
      <c r="O577">
        <v>0.69</v>
      </c>
      <c r="P577">
        <v>0.19400000000000001</v>
      </c>
      <c r="Q577">
        <v>3</v>
      </c>
      <c r="R577">
        <v>7</v>
      </c>
      <c r="S577">
        <v>10</v>
      </c>
    </row>
    <row r="578" spans="1:19" x14ac:dyDescent="0.3">
      <c r="A578">
        <v>575</v>
      </c>
      <c r="B578" t="s">
        <v>104</v>
      </c>
      <c r="C578" t="s">
        <v>78</v>
      </c>
      <c r="D578" t="s">
        <v>79</v>
      </c>
      <c r="E578" t="s">
        <v>31</v>
      </c>
      <c r="F578">
        <v>5</v>
      </c>
      <c r="G578" t="s">
        <v>116</v>
      </c>
      <c r="H578" t="b">
        <v>0</v>
      </c>
      <c r="I578" t="s">
        <v>56</v>
      </c>
      <c r="J578" t="s">
        <v>22</v>
      </c>
      <c r="K578" t="s">
        <v>34</v>
      </c>
      <c r="L578">
        <v>0.2</v>
      </c>
      <c r="M578" t="s">
        <v>40</v>
      </c>
      <c r="N578">
        <v>0.18179999999999999</v>
      </c>
      <c r="O578">
        <v>0.86</v>
      </c>
      <c r="P578">
        <v>0.28360000000000002</v>
      </c>
      <c r="Q578">
        <v>0</v>
      </c>
      <c r="R578">
        <v>1</v>
      </c>
      <c r="S578">
        <v>1</v>
      </c>
    </row>
    <row r="579" spans="1:19" x14ac:dyDescent="0.3">
      <c r="A579">
        <v>576</v>
      </c>
      <c r="B579" t="s">
        <v>104</v>
      </c>
      <c r="C579" t="s">
        <v>78</v>
      </c>
      <c r="D579" t="s">
        <v>79</v>
      </c>
      <c r="E579" t="s">
        <v>31</v>
      </c>
      <c r="F579">
        <v>6</v>
      </c>
      <c r="G579" t="s">
        <v>115</v>
      </c>
      <c r="H579" t="b">
        <v>0</v>
      </c>
      <c r="I579" t="s">
        <v>56</v>
      </c>
      <c r="J579" t="s">
        <v>22</v>
      </c>
      <c r="K579" t="s">
        <v>34</v>
      </c>
      <c r="L579">
        <v>0.2</v>
      </c>
      <c r="M579" t="s">
        <v>40</v>
      </c>
      <c r="N579">
        <v>0.18179999999999999</v>
      </c>
      <c r="O579">
        <v>0.86</v>
      </c>
      <c r="P579">
        <v>0.28360000000000002</v>
      </c>
      <c r="Q579">
        <v>0</v>
      </c>
      <c r="R579">
        <v>8</v>
      </c>
      <c r="S579">
        <v>8</v>
      </c>
    </row>
    <row r="580" spans="1:19" x14ac:dyDescent="0.3">
      <c r="A580">
        <v>577</v>
      </c>
      <c r="B580" t="s">
        <v>104</v>
      </c>
      <c r="C580" t="s">
        <v>78</v>
      </c>
      <c r="D580" t="s">
        <v>79</v>
      </c>
      <c r="E580" t="s">
        <v>31</v>
      </c>
      <c r="F580">
        <v>7</v>
      </c>
      <c r="G580" t="s">
        <v>115</v>
      </c>
      <c r="H580" t="b">
        <v>0</v>
      </c>
      <c r="I580" t="s">
        <v>56</v>
      </c>
      <c r="J580" t="s">
        <v>22</v>
      </c>
      <c r="K580" t="s">
        <v>34</v>
      </c>
      <c r="L580">
        <v>0.22</v>
      </c>
      <c r="M580" t="s">
        <v>40</v>
      </c>
      <c r="N580">
        <v>0.21210000000000001</v>
      </c>
      <c r="O580">
        <v>0.87</v>
      </c>
      <c r="P580">
        <v>0.29849999999999999</v>
      </c>
      <c r="Q580">
        <v>1</v>
      </c>
      <c r="R580">
        <v>29</v>
      </c>
      <c r="S580">
        <v>30</v>
      </c>
    </row>
    <row r="581" spans="1:19" x14ac:dyDescent="0.3">
      <c r="A581">
        <v>578</v>
      </c>
      <c r="B581" t="s">
        <v>104</v>
      </c>
      <c r="C581" t="s">
        <v>78</v>
      </c>
      <c r="D581" t="s">
        <v>79</v>
      </c>
      <c r="E581" t="s">
        <v>31</v>
      </c>
      <c r="F581">
        <v>8</v>
      </c>
      <c r="G581" t="s">
        <v>115</v>
      </c>
      <c r="H581" t="b">
        <v>0</v>
      </c>
      <c r="I581" t="s">
        <v>56</v>
      </c>
      <c r="J581" t="s">
        <v>22</v>
      </c>
      <c r="K581" t="s">
        <v>34</v>
      </c>
      <c r="L581">
        <v>0.22</v>
      </c>
      <c r="M581" t="s">
        <v>40</v>
      </c>
      <c r="N581">
        <v>0.21210000000000001</v>
      </c>
      <c r="O581">
        <v>0.87</v>
      </c>
      <c r="P581">
        <v>0.29849999999999999</v>
      </c>
      <c r="Q581">
        <v>3</v>
      </c>
      <c r="R581">
        <v>69</v>
      </c>
      <c r="S581">
        <v>72</v>
      </c>
    </row>
    <row r="582" spans="1:19" x14ac:dyDescent="0.3">
      <c r="A582">
        <v>579</v>
      </c>
      <c r="B582" t="s">
        <v>104</v>
      </c>
      <c r="C582" t="s">
        <v>78</v>
      </c>
      <c r="D582" t="s">
        <v>79</v>
      </c>
      <c r="E582" t="s">
        <v>31</v>
      </c>
      <c r="F582">
        <v>9</v>
      </c>
      <c r="G582" t="s">
        <v>115</v>
      </c>
      <c r="H582" t="b">
        <v>0</v>
      </c>
      <c r="I582" t="s">
        <v>56</v>
      </c>
      <c r="J582" t="s">
        <v>22</v>
      </c>
      <c r="K582" t="s">
        <v>34</v>
      </c>
      <c r="L582">
        <v>0.22</v>
      </c>
      <c r="M582" t="s">
        <v>40</v>
      </c>
      <c r="N582">
        <v>0.21210000000000001</v>
      </c>
      <c r="O582">
        <v>0.87</v>
      </c>
      <c r="P582">
        <v>0.29849999999999999</v>
      </c>
      <c r="Q582">
        <v>3</v>
      </c>
      <c r="R582">
        <v>55</v>
      </c>
      <c r="S582">
        <v>58</v>
      </c>
    </row>
    <row r="583" spans="1:19" x14ac:dyDescent="0.3">
      <c r="A583">
        <v>580</v>
      </c>
      <c r="B583" t="s">
        <v>104</v>
      </c>
      <c r="C583" t="s">
        <v>78</v>
      </c>
      <c r="D583" t="s">
        <v>79</v>
      </c>
      <c r="E583" t="s">
        <v>31</v>
      </c>
      <c r="F583">
        <v>10</v>
      </c>
      <c r="G583" t="s">
        <v>115</v>
      </c>
      <c r="H583" t="b">
        <v>0</v>
      </c>
      <c r="I583" t="s">
        <v>56</v>
      </c>
      <c r="J583" t="s">
        <v>22</v>
      </c>
      <c r="K583" t="s">
        <v>34</v>
      </c>
      <c r="L583">
        <v>0.22</v>
      </c>
      <c r="M583" t="s">
        <v>40</v>
      </c>
      <c r="N583">
        <v>0.21210000000000001</v>
      </c>
      <c r="O583">
        <v>0.93</v>
      </c>
      <c r="P583">
        <v>0.28360000000000002</v>
      </c>
      <c r="Q583">
        <v>2</v>
      </c>
      <c r="R583">
        <v>26</v>
      </c>
      <c r="S583">
        <v>28</v>
      </c>
    </row>
    <row r="584" spans="1:19" x14ac:dyDescent="0.3">
      <c r="A584">
        <v>581</v>
      </c>
      <c r="B584" t="s">
        <v>104</v>
      </c>
      <c r="C584" t="s">
        <v>78</v>
      </c>
      <c r="D584" t="s">
        <v>79</v>
      </c>
      <c r="E584" t="s">
        <v>31</v>
      </c>
      <c r="F584">
        <v>11</v>
      </c>
      <c r="G584" t="s">
        <v>115</v>
      </c>
      <c r="H584" t="b">
        <v>0</v>
      </c>
      <c r="I584" t="s">
        <v>56</v>
      </c>
      <c r="J584" t="s">
        <v>22</v>
      </c>
      <c r="K584" t="s">
        <v>34</v>
      </c>
      <c r="L584">
        <v>0.22</v>
      </c>
      <c r="M584" t="s">
        <v>40</v>
      </c>
      <c r="N584">
        <v>0.19700000000000001</v>
      </c>
      <c r="O584">
        <v>0.93</v>
      </c>
      <c r="P584">
        <v>0.32840000000000003</v>
      </c>
      <c r="Q584">
        <v>6</v>
      </c>
      <c r="R584">
        <v>35</v>
      </c>
      <c r="S584">
        <v>41</v>
      </c>
    </row>
    <row r="585" spans="1:19" x14ac:dyDescent="0.3">
      <c r="A585">
        <v>582</v>
      </c>
      <c r="B585" t="s">
        <v>104</v>
      </c>
      <c r="C585" t="s">
        <v>78</v>
      </c>
      <c r="D585" t="s">
        <v>79</v>
      </c>
      <c r="E585" t="s">
        <v>31</v>
      </c>
      <c r="F585">
        <v>12</v>
      </c>
      <c r="G585" t="s">
        <v>114</v>
      </c>
      <c r="H585" t="b">
        <v>0</v>
      </c>
      <c r="I585" t="s">
        <v>56</v>
      </c>
      <c r="J585" t="s">
        <v>22</v>
      </c>
      <c r="K585" t="s">
        <v>34</v>
      </c>
      <c r="L585">
        <v>0.22</v>
      </c>
      <c r="M585" t="s">
        <v>40</v>
      </c>
      <c r="N585">
        <v>0.19700000000000001</v>
      </c>
      <c r="O585">
        <v>0.93</v>
      </c>
      <c r="P585">
        <v>0.32840000000000003</v>
      </c>
      <c r="Q585">
        <v>7</v>
      </c>
      <c r="R585">
        <v>41</v>
      </c>
      <c r="S585">
        <v>48</v>
      </c>
    </row>
    <row r="586" spans="1:19" x14ac:dyDescent="0.3">
      <c r="A586">
        <v>583</v>
      </c>
      <c r="B586" t="s">
        <v>104</v>
      </c>
      <c r="C586" t="s">
        <v>78</v>
      </c>
      <c r="D586" t="s">
        <v>79</v>
      </c>
      <c r="E586" t="s">
        <v>31</v>
      </c>
      <c r="F586">
        <v>13</v>
      </c>
      <c r="G586" t="s">
        <v>114</v>
      </c>
      <c r="H586" t="b">
        <v>0</v>
      </c>
      <c r="I586" t="s">
        <v>56</v>
      </c>
      <c r="J586" t="s">
        <v>22</v>
      </c>
      <c r="K586" t="s">
        <v>34</v>
      </c>
      <c r="L586">
        <v>0.22</v>
      </c>
      <c r="M586" t="s">
        <v>40</v>
      </c>
      <c r="N586">
        <v>0.19700000000000001</v>
      </c>
      <c r="O586">
        <v>0.93</v>
      </c>
      <c r="P586">
        <v>0.32840000000000003</v>
      </c>
      <c r="Q586">
        <v>4</v>
      </c>
      <c r="R586">
        <v>43</v>
      </c>
      <c r="S586">
        <v>47</v>
      </c>
    </row>
    <row r="587" spans="1:19" x14ac:dyDescent="0.3">
      <c r="A587">
        <v>584</v>
      </c>
      <c r="B587" t="s">
        <v>104</v>
      </c>
      <c r="C587" t="s">
        <v>78</v>
      </c>
      <c r="D587" t="s">
        <v>79</v>
      </c>
      <c r="E587" t="s">
        <v>31</v>
      </c>
      <c r="F587">
        <v>14</v>
      </c>
      <c r="G587" t="s">
        <v>114</v>
      </c>
      <c r="H587" t="b">
        <v>0</v>
      </c>
      <c r="I587" t="s">
        <v>56</v>
      </c>
      <c r="J587" t="s">
        <v>22</v>
      </c>
      <c r="K587" t="s">
        <v>34</v>
      </c>
      <c r="L587">
        <v>0.22</v>
      </c>
      <c r="M587" t="s">
        <v>40</v>
      </c>
      <c r="N587">
        <v>0.19700000000000001</v>
      </c>
      <c r="O587">
        <v>0.93</v>
      </c>
      <c r="P587">
        <v>0.35820000000000002</v>
      </c>
      <c r="Q587">
        <v>0</v>
      </c>
      <c r="R587">
        <v>36</v>
      </c>
      <c r="S587">
        <v>36</v>
      </c>
    </row>
    <row r="588" spans="1:19" x14ac:dyDescent="0.3">
      <c r="A588">
        <v>585</v>
      </c>
      <c r="B588" t="s">
        <v>104</v>
      </c>
      <c r="C588" t="s">
        <v>78</v>
      </c>
      <c r="D588" t="s">
        <v>79</v>
      </c>
      <c r="E588" t="s">
        <v>31</v>
      </c>
      <c r="F588">
        <v>15</v>
      </c>
      <c r="G588" t="s">
        <v>114</v>
      </c>
      <c r="H588" t="b">
        <v>0</v>
      </c>
      <c r="I588" t="s">
        <v>56</v>
      </c>
      <c r="J588" t="s">
        <v>22</v>
      </c>
      <c r="K588" t="s">
        <v>34</v>
      </c>
      <c r="L588">
        <v>0.22</v>
      </c>
      <c r="M588" t="s">
        <v>40</v>
      </c>
      <c r="N588">
        <v>0.18179999999999999</v>
      </c>
      <c r="O588">
        <v>0.93</v>
      </c>
      <c r="P588">
        <v>0.4627</v>
      </c>
      <c r="Q588">
        <v>1</v>
      </c>
      <c r="R588">
        <v>42</v>
      </c>
      <c r="S588">
        <v>43</v>
      </c>
    </row>
    <row r="589" spans="1:19" x14ac:dyDescent="0.3">
      <c r="A589">
        <v>586</v>
      </c>
      <c r="B589" t="s">
        <v>104</v>
      </c>
      <c r="C589" t="s">
        <v>78</v>
      </c>
      <c r="D589" t="s">
        <v>79</v>
      </c>
      <c r="E589" t="s">
        <v>31</v>
      </c>
      <c r="F589">
        <v>16</v>
      </c>
      <c r="G589" t="s">
        <v>114</v>
      </c>
      <c r="H589" t="b">
        <v>0</v>
      </c>
      <c r="I589" t="s">
        <v>56</v>
      </c>
      <c r="J589" t="s">
        <v>22</v>
      </c>
      <c r="K589" t="s">
        <v>35</v>
      </c>
      <c r="L589">
        <v>0.22</v>
      </c>
      <c r="M589" t="s">
        <v>40</v>
      </c>
      <c r="N589">
        <v>0.19700000000000001</v>
      </c>
      <c r="O589">
        <v>0.93</v>
      </c>
      <c r="P589">
        <v>0.32840000000000003</v>
      </c>
      <c r="Q589">
        <v>1</v>
      </c>
      <c r="R589">
        <v>35</v>
      </c>
      <c r="S589">
        <v>36</v>
      </c>
    </row>
    <row r="590" spans="1:19" x14ac:dyDescent="0.3">
      <c r="A590">
        <v>587</v>
      </c>
      <c r="B590" t="s">
        <v>104</v>
      </c>
      <c r="C590" t="s">
        <v>78</v>
      </c>
      <c r="D590" t="s">
        <v>79</v>
      </c>
      <c r="E590" t="s">
        <v>31</v>
      </c>
      <c r="F590">
        <v>17</v>
      </c>
      <c r="G590" t="s">
        <v>114</v>
      </c>
      <c r="H590" t="b">
        <v>0</v>
      </c>
      <c r="I590" t="s">
        <v>56</v>
      </c>
      <c r="J590" t="s">
        <v>22</v>
      </c>
      <c r="K590" t="s">
        <v>34</v>
      </c>
      <c r="L590">
        <v>0.2</v>
      </c>
      <c r="M590" t="s">
        <v>40</v>
      </c>
      <c r="N590">
        <v>0.18179999999999999</v>
      </c>
      <c r="O590">
        <v>0.93</v>
      </c>
      <c r="P590">
        <v>0.35820000000000002</v>
      </c>
      <c r="Q590">
        <v>0</v>
      </c>
      <c r="R590">
        <v>26</v>
      </c>
      <c r="S590">
        <v>26</v>
      </c>
    </row>
    <row r="591" spans="1:19" x14ac:dyDescent="0.3">
      <c r="A591">
        <v>588</v>
      </c>
      <c r="B591" t="s">
        <v>105</v>
      </c>
      <c r="C591" t="s">
        <v>78</v>
      </c>
      <c r="D591" t="s">
        <v>79</v>
      </c>
      <c r="E591" t="s">
        <v>31</v>
      </c>
      <c r="F591">
        <v>16</v>
      </c>
      <c r="G591" t="s">
        <v>114</v>
      </c>
      <c r="H591" t="b">
        <v>0</v>
      </c>
      <c r="I591" t="s">
        <v>57</v>
      </c>
      <c r="J591" t="s">
        <v>22</v>
      </c>
      <c r="K591" t="s">
        <v>32</v>
      </c>
      <c r="L591">
        <v>0.22</v>
      </c>
      <c r="M591" t="s">
        <v>40</v>
      </c>
      <c r="N591">
        <v>0.2273</v>
      </c>
      <c r="O591">
        <v>0.55000000000000004</v>
      </c>
      <c r="P591">
        <v>0.19400000000000001</v>
      </c>
      <c r="Q591">
        <v>1</v>
      </c>
      <c r="R591">
        <v>23</v>
      </c>
      <c r="S591">
        <v>24</v>
      </c>
    </row>
    <row r="592" spans="1:19" x14ac:dyDescent="0.3">
      <c r="A592">
        <v>589</v>
      </c>
      <c r="B592" t="s">
        <v>105</v>
      </c>
      <c r="C592" t="s">
        <v>78</v>
      </c>
      <c r="D592" t="s">
        <v>79</v>
      </c>
      <c r="E592" t="s">
        <v>31</v>
      </c>
      <c r="F592">
        <v>17</v>
      </c>
      <c r="G592" t="s">
        <v>114</v>
      </c>
      <c r="H592" t="b">
        <v>0</v>
      </c>
      <c r="I592" t="s">
        <v>57</v>
      </c>
      <c r="J592" t="s">
        <v>22</v>
      </c>
      <c r="K592" t="s">
        <v>32</v>
      </c>
      <c r="L592">
        <v>0.22</v>
      </c>
      <c r="M592" t="s">
        <v>40</v>
      </c>
      <c r="N592">
        <v>0.2424</v>
      </c>
      <c r="O592">
        <v>0.55000000000000004</v>
      </c>
      <c r="P592">
        <v>0.1045</v>
      </c>
      <c r="Q592">
        <v>2</v>
      </c>
      <c r="R592">
        <v>82</v>
      </c>
      <c r="S592">
        <v>84</v>
      </c>
    </row>
    <row r="593" spans="1:19" x14ac:dyDescent="0.3">
      <c r="A593">
        <v>590</v>
      </c>
      <c r="B593" t="s">
        <v>105</v>
      </c>
      <c r="C593" t="s">
        <v>78</v>
      </c>
      <c r="D593" t="s">
        <v>79</v>
      </c>
      <c r="E593" t="s">
        <v>31</v>
      </c>
      <c r="F593">
        <v>18</v>
      </c>
      <c r="G593" t="s">
        <v>113</v>
      </c>
      <c r="H593" t="b">
        <v>0</v>
      </c>
      <c r="I593" t="s">
        <v>57</v>
      </c>
      <c r="J593" t="s">
        <v>22</v>
      </c>
      <c r="K593" t="s">
        <v>32</v>
      </c>
      <c r="L593">
        <v>0.2</v>
      </c>
      <c r="M593" t="s">
        <v>40</v>
      </c>
      <c r="N593">
        <v>0.2273</v>
      </c>
      <c r="O593">
        <v>0.69</v>
      </c>
      <c r="P593">
        <v>8.9599999999999999E-2</v>
      </c>
      <c r="Q593">
        <v>3</v>
      </c>
      <c r="R593">
        <v>101</v>
      </c>
      <c r="S593">
        <v>104</v>
      </c>
    </row>
    <row r="594" spans="1:19" x14ac:dyDescent="0.3">
      <c r="A594">
        <v>591</v>
      </c>
      <c r="B594" t="s">
        <v>105</v>
      </c>
      <c r="C594" t="s">
        <v>78</v>
      </c>
      <c r="D594" t="s">
        <v>79</v>
      </c>
      <c r="E594" t="s">
        <v>31</v>
      </c>
      <c r="F594">
        <v>19</v>
      </c>
      <c r="G594" t="s">
        <v>113</v>
      </c>
      <c r="H594" t="b">
        <v>0</v>
      </c>
      <c r="I594" t="s">
        <v>57</v>
      </c>
      <c r="J594" t="s">
        <v>22</v>
      </c>
      <c r="K594" t="s">
        <v>32</v>
      </c>
      <c r="L594">
        <v>0.2</v>
      </c>
      <c r="M594" t="s">
        <v>40</v>
      </c>
      <c r="N594">
        <v>0.2273</v>
      </c>
      <c r="O594">
        <v>0.69</v>
      </c>
      <c r="P594">
        <v>8.9599999999999999E-2</v>
      </c>
      <c r="Q594">
        <v>3</v>
      </c>
      <c r="R594">
        <v>76</v>
      </c>
      <c r="S594">
        <v>79</v>
      </c>
    </row>
    <row r="595" spans="1:19" x14ac:dyDescent="0.3">
      <c r="A595">
        <v>592</v>
      </c>
      <c r="B595" t="s">
        <v>105</v>
      </c>
      <c r="C595" t="s">
        <v>78</v>
      </c>
      <c r="D595" t="s">
        <v>79</v>
      </c>
      <c r="E595" t="s">
        <v>31</v>
      </c>
      <c r="F595">
        <v>20</v>
      </c>
      <c r="G595" t="s">
        <v>113</v>
      </c>
      <c r="H595" t="b">
        <v>0</v>
      </c>
      <c r="I595" t="s">
        <v>57</v>
      </c>
      <c r="J595" t="s">
        <v>22</v>
      </c>
      <c r="K595" t="s">
        <v>32</v>
      </c>
      <c r="L595">
        <v>0.18</v>
      </c>
      <c r="M595" t="s">
        <v>40</v>
      </c>
      <c r="N595">
        <v>0.21210000000000001</v>
      </c>
      <c r="O595">
        <v>0.74</v>
      </c>
      <c r="P595">
        <v>8.9599999999999999E-2</v>
      </c>
      <c r="Q595">
        <v>4</v>
      </c>
      <c r="R595">
        <v>55</v>
      </c>
      <c r="S595">
        <v>59</v>
      </c>
    </row>
    <row r="596" spans="1:19" x14ac:dyDescent="0.3">
      <c r="A596">
        <v>593</v>
      </c>
      <c r="B596" t="s">
        <v>105</v>
      </c>
      <c r="C596" t="s">
        <v>78</v>
      </c>
      <c r="D596" t="s">
        <v>79</v>
      </c>
      <c r="E596" t="s">
        <v>31</v>
      </c>
      <c r="F596">
        <v>21</v>
      </c>
      <c r="G596" t="s">
        <v>113</v>
      </c>
      <c r="H596" t="b">
        <v>0</v>
      </c>
      <c r="I596" t="s">
        <v>57</v>
      </c>
      <c r="J596" t="s">
        <v>22</v>
      </c>
      <c r="K596" t="s">
        <v>32</v>
      </c>
      <c r="L596">
        <v>0.18</v>
      </c>
      <c r="M596" t="s">
        <v>40</v>
      </c>
      <c r="N596">
        <v>0.21210000000000001</v>
      </c>
      <c r="O596">
        <v>0.74</v>
      </c>
      <c r="P596">
        <v>8.9599999999999999E-2</v>
      </c>
      <c r="Q596">
        <v>2</v>
      </c>
      <c r="R596">
        <v>36</v>
      </c>
      <c r="S596">
        <v>38</v>
      </c>
    </row>
    <row r="597" spans="1:19" x14ac:dyDescent="0.3">
      <c r="A597">
        <v>594</v>
      </c>
      <c r="B597" t="s">
        <v>105</v>
      </c>
      <c r="C597" t="s">
        <v>78</v>
      </c>
      <c r="D597" t="s">
        <v>79</v>
      </c>
      <c r="E597" t="s">
        <v>31</v>
      </c>
      <c r="F597">
        <v>22</v>
      </c>
      <c r="G597" t="s">
        <v>113</v>
      </c>
      <c r="H597" t="b">
        <v>0</v>
      </c>
      <c r="I597" t="s">
        <v>57</v>
      </c>
      <c r="J597" t="s">
        <v>22</v>
      </c>
      <c r="K597" t="s">
        <v>32</v>
      </c>
      <c r="L597">
        <v>0.18</v>
      </c>
      <c r="M597" t="s">
        <v>40</v>
      </c>
      <c r="N597">
        <v>0.21210000000000001</v>
      </c>
      <c r="O597">
        <v>0.74</v>
      </c>
      <c r="P597">
        <v>8.9599999999999999E-2</v>
      </c>
      <c r="Q597">
        <v>0</v>
      </c>
      <c r="R597">
        <v>27</v>
      </c>
      <c r="S597">
        <v>27</v>
      </c>
    </row>
    <row r="598" spans="1:19" x14ac:dyDescent="0.3">
      <c r="A598">
        <v>595</v>
      </c>
      <c r="B598" t="s">
        <v>105</v>
      </c>
      <c r="C598" t="s">
        <v>78</v>
      </c>
      <c r="D598" t="s">
        <v>79</v>
      </c>
      <c r="E598" t="s">
        <v>31</v>
      </c>
      <c r="F598">
        <v>23</v>
      </c>
      <c r="G598" t="s">
        <v>113</v>
      </c>
      <c r="H598" t="b">
        <v>0</v>
      </c>
      <c r="I598" t="s">
        <v>57</v>
      </c>
      <c r="J598" t="s">
        <v>22</v>
      </c>
      <c r="K598" t="s">
        <v>32</v>
      </c>
      <c r="L598">
        <v>0.18</v>
      </c>
      <c r="M598" t="s">
        <v>40</v>
      </c>
      <c r="N598">
        <v>0.19700000000000001</v>
      </c>
      <c r="O598">
        <v>0.8</v>
      </c>
      <c r="P598">
        <v>0.16420000000000001</v>
      </c>
      <c r="Q598">
        <v>0</v>
      </c>
      <c r="R598">
        <v>16</v>
      </c>
      <c r="S598">
        <v>16</v>
      </c>
    </row>
    <row r="599" spans="1:19" x14ac:dyDescent="0.3">
      <c r="A599">
        <v>596</v>
      </c>
      <c r="B599" t="s">
        <v>106</v>
      </c>
      <c r="C599" t="s">
        <v>78</v>
      </c>
      <c r="D599" t="s">
        <v>79</v>
      </c>
      <c r="E599" t="s">
        <v>31</v>
      </c>
      <c r="F599">
        <v>0</v>
      </c>
      <c r="G599" t="s">
        <v>116</v>
      </c>
      <c r="H599" t="b">
        <v>0</v>
      </c>
      <c r="I599" t="s">
        <v>58</v>
      </c>
      <c r="J599" t="s">
        <v>22</v>
      </c>
      <c r="K599" t="s">
        <v>33</v>
      </c>
      <c r="L599">
        <v>0.2</v>
      </c>
      <c r="M599" t="s">
        <v>40</v>
      </c>
      <c r="N599">
        <v>0.21210000000000001</v>
      </c>
      <c r="O599">
        <v>0.75</v>
      </c>
      <c r="P599">
        <v>0.1343</v>
      </c>
      <c r="Q599">
        <v>0</v>
      </c>
      <c r="R599">
        <v>9</v>
      </c>
      <c r="S599">
        <v>9</v>
      </c>
    </row>
    <row r="600" spans="1:19" x14ac:dyDescent="0.3">
      <c r="A600">
        <v>597</v>
      </c>
      <c r="B600" t="s">
        <v>106</v>
      </c>
      <c r="C600" t="s">
        <v>78</v>
      </c>
      <c r="D600" t="s">
        <v>79</v>
      </c>
      <c r="E600" t="s">
        <v>31</v>
      </c>
      <c r="F600">
        <v>1</v>
      </c>
      <c r="G600" t="s">
        <v>116</v>
      </c>
      <c r="H600" t="b">
        <v>0</v>
      </c>
      <c r="I600" t="s">
        <v>58</v>
      </c>
      <c r="J600" t="s">
        <v>22</v>
      </c>
      <c r="K600" t="s">
        <v>33</v>
      </c>
      <c r="L600">
        <v>0.2</v>
      </c>
      <c r="M600" t="s">
        <v>40</v>
      </c>
      <c r="N600">
        <v>0.21210000000000001</v>
      </c>
      <c r="O600">
        <v>0.75</v>
      </c>
      <c r="P600">
        <v>0.1343</v>
      </c>
      <c r="Q600">
        <v>1</v>
      </c>
      <c r="R600">
        <v>2</v>
      </c>
      <c r="S600">
        <v>3</v>
      </c>
    </row>
    <row r="601" spans="1:19" x14ac:dyDescent="0.3">
      <c r="A601">
        <v>598</v>
      </c>
      <c r="B601" t="s">
        <v>106</v>
      </c>
      <c r="C601" t="s">
        <v>78</v>
      </c>
      <c r="D601" t="s">
        <v>79</v>
      </c>
      <c r="E601" t="s">
        <v>31</v>
      </c>
      <c r="F601">
        <v>2</v>
      </c>
      <c r="G601" t="s">
        <v>116</v>
      </c>
      <c r="H601" t="b">
        <v>0</v>
      </c>
      <c r="I601" t="s">
        <v>58</v>
      </c>
      <c r="J601" t="s">
        <v>22</v>
      </c>
      <c r="K601" t="s">
        <v>33</v>
      </c>
      <c r="L601">
        <v>0.2</v>
      </c>
      <c r="M601" t="s">
        <v>40</v>
      </c>
      <c r="N601">
        <v>0.21210000000000001</v>
      </c>
      <c r="O601">
        <v>0.75</v>
      </c>
      <c r="P601">
        <v>0.16420000000000001</v>
      </c>
      <c r="Q601">
        <v>0</v>
      </c>
      <c r="R601">
        <v>2</v>
      </c>
      <c r="S601">
        <v>2</v>
      </c>
    </row>
    <row r="602" spans="1:19" x14ac:dyDescent="0.3">
      <c r="A602">
        <v>599</v>
      </c>
      <c r="B602" t="s">
        <v>106</v>
      </c>
      <c r="C602" t="s">
        <v>78</v>
      </c>
      <c r="D602" t="s">
        <v>79</v>
      </c>
      <c r="E602" t="s">
        <v>31</v>
      </c>
      <c r="F602">
        <v>3</v>
      </c>
      <c r="G602" t="s">
        <v>116</v>
      </c>
      <c r="H602" t="b">
        <v>0</v>
      </c>
      <c r="I602" t="s">
        <v>58</v>
      </c>
      <c r="J602" t="s">
        <v>22</v>
      </c>
      <c r="K602" t="s">
        <v>33</v>
      </c>
      <c r="L602">
        <v>0.2</v>
      </c>
      <c r="M602" t="s">
        <v>40</v>
      </c>
      <c r="N602">
        <v>0.2273</v>
      </c>
      <c r="O602">
        <v>0.75</v>
      </c>
      <c r="P602">
        <v>0.1045</v>
      </c>
      <c r="Q602">
        <v>1</v>
      </c>
      <c r="R602">
        <v>0</v>
      </c>
      <c r="S602">
        <v>1</v>
      </c>
    </row>
    <row r="603" spans="1:19" x14ac:dyDescent="0.3">
      <c r="A603">
        <v>600</v>
      </c>
      <c r="B603" t="s">
        <v>106</v>
      </c>
      <c r="C603" t="s">
        <v>78</v>
      </c>
      <c r="D603" t="s">
        <v>79</v>
      </c>
      <c r="E603" t="s">
        <v>31</v>
      </c>
      <c r="F603">
        <v>5</v>
      </c>
      <c r="G603" t="s">
        <v>116</v>
      </c>
      <c r="H603" t="b">
        <v>0</v>
      </c>
      <c r="I603" t="s">
        <v>58</v>
      </c>
      <c r="J603" t="s">
        <v>22</v>
      </c>
      <c r="K603" t="s">
        <v>33</v>
      </c>
      <c r="L603">
        <v>0.18</v>
      </c>
      <c r="M603" t="s">
        <v>40</v>
      </c>
      <c r="N603">
        <v>0.21210000000000001</v>
      </c>
      <c r="O603">
        <v>0.8</v>
      </c>
      <c r="P603">
        <v>0.1045</v>
      </c>
      <c r="Q603">
        <v>0</v>
      </c>
      <c r="R603">
        <v>4</v>
      </c>
      <c r="S603">
        <v>4</v>
      </c>
    </row>
    <row r="604" spans="1:19" x14ac:dyDescent="0.3">
      <c r="A604">
        <v>601</v>
      </c>
      <c r="B604" t="s">
        <v>106</v>
      </c>
      <c r="C604" t="s">
        <v>78</v>
      </c>
      <c r="D604" t="s">
        <v>79</v>
      </c>
      <c r="E604" t="s">
        <v>31</v>
      </c>
      <c r="F604">
        <v>6</v>
      </c>
      <c r="G604" t="s">
        <v>115</v>
      </c>
      <c r="H604" t="b">
        <v>0</v>
      </c>
      <c r="I604" t="s">
        <v>58</v>
      </c>
      <c r="J604" t="s">
        <v>22</v>
      </c>
      <c r="K604" t="s">
        <v>33</v>
      </c>
      <c r="L604">
        <v>0.18</v>
      </c>
      <c r="M604" t="s">
        <v>40</v>
      </c>
      <c r="N604">
        <v>0.19700000000000001</v>
      </c>
      <c r="O604">
        <v>0.8</v>
      </c>
      <c r="P604">
        <v>0.1343</v>
      </c>
      <c r="Q604">
        <v>0</v>
      </c>
      <c r="R604">
        <v>16</v>
      </c>
      <c r="S604">
        <v>16</v>
      </c>
    </row>
    <row r="605" spans="1:19" x14ac:dyDescent="0.3">
      <c r="A605">
        <v>602</v>
      </c>
      <c r="B605" t="s">
        <v>106</v>
      </c>
      <c r="C605" t="s">
        <v>78</v>
      </c>
      <c r="D605" t="s">
        <v>79</v>
      </c>
      <c r="E605" t="s">
        <v>31</v>
      </c>
      <c r="F605">
        <v>7</v>
      </c>
      <c r="G605" t="s">
        <v>115</v>
      </c>
      <c r="H605" t="b">
        <v>0</v>
      </c>
      <c r="I605" t="s">
        <v>58</v>
      </c>
      <c r="J605" t="s">
        <v>22</v>
      </c>
      <c r="K605" t="s">
        <v>33</v>
      </c>
      <c r="L605">
        <v>0.16</v>
      </c>
      <c r="M605" t="s">
        <v>40</v>
      </c>
      <c r="N605">
        <v>0.19700000000000001</v>
      </c>
      <c r="O605">
        <v>0.86</v>
      </c>
      <c r="P605">
        <v>8.9599999999999999E-2</v>
      </c>
      <c r="Q605">
        <v>2</v>
      </c>
      <c r="R605">
        <v>58</v>
      </c>
      <c r="S605">
        <v>60</v>
      </c>
    </row>
    <row r="606" spans="1:19" x14ac:dyDescent="0.3">
      <c r="A606">
        <v>603</v>
      </c>
      <c r="B606" t="s">
        <v>106</v>
      </c>
      <c r="C606" t="s">
        <v>78</v>
      </c>
      <c r="D606" t="s">
        <v>79</v>
      </c>
      <c r="E606" t="s">
        <v>31</v>
      </c>
      <c r="F606">
        <v>8</v>
      </c>
      <c r="G606" t="s">
        <v>115</v>
      </c>
      <c r="H606" t="b">
        <v>0</v>
      </c>
      <c r="I606" t="s">
        <v>58</v>
      </c>
      <c r="J606" t="s">
        <v>22</v>
      </c>
      <c r="K606" t="s">
        <v>33</v>
      </c>
      <c r="L606">
        <v>0.16</v>
      </c>
      <c r="M606" t="s">
        <v>40</v>
      </c>
      <c r="N606">
        <v>0.19700000000000001</v>
      </c>
      <c r="O606">
        <v>0.86</v>
      </c>
      <c r="P606">
        <v>8.9599999999999999E-2</v>
      </c>
      <c r="Q606">
        <v>2</v>
      </c>
      <c r="R606">
        <v>155</v>
      </c>
      <c r="S606">
        <v>157</v>
      </c>
    </row>
    <row r="607" spans="1:19" x14ac:dyDescent="0.3">
      <c r="A607">
        <v>604</v>
      </c>
      <c r="B607" t="s">
        <v>106</v>
      </c>
      <c r="C607" t="s">
        <v>78</v>
      </c>
      <c r="D607" t="s">
        <v>79</v>
      </c>
      <c r="E607" t="s">
        <v>31</v>
      </c>
      <c r="F607">
        <v>9</v>
      </c>
      <c r="G607" t="s">
        <v>115</v>
      </c>
      <c r="H607" t="b">
        <v>0</v>
      </c>
      <c r="I607" t="s">
        <v>58</v>
      </c>
      <c r="J607" t="s">
        <v>22</v>
      </c>
      <c r="K607" t="s">
        <v>34</v>
      </c>
      <c r="L607">
        <v>0.18</v>
      </c>
      <c r="M607" t="s">
        <v>40</v>
      </c>
      <c r="N607">
        <v>0.21210000000000001</v>
      </c>
      <c r="O607">
        <v>0.86</v>
      </c>
      <c r="P607">
        <v>8.9599999999999999E-2</v>
      </c>
      <c r="Q607">
        <v>6</v>
      </c>
      <c r="R607">
        <v>95</v>
      </c>
      <c r="S607">
        <v>101</v>
      </c>
    </row>
    <row r="608" spans="1:19" x14ac:dyDescent="0.3">
      <c r="A608">
        <v>605</v>
      </c>
      <c r="B608" t="s">
        <v>106</v>
      </c>
      <c r="C608" t="s">
        <v>78</v>
      </c>
      <c r="D608" t="s">
        <v>79</v>
      </c>
      <c r="E608" t="s">
        <v>31</v>
      </c>
      <c r="F608">
        <v>10</v>
      </c>
      <c r="G608" t="s">
        <v>115</v>
      </c>
      <c r="H608" t="b">
        <v>0</v>
      </c>
      <c r="I608" t="s">
        <v>58</v>
      </c>
      <c r="J608" t="s">
        <v>22</v>
      </c>
      <c r="K608" t="s">
        <v>34</v>
      </c>
      <c r="L608">
        <v>0.18</v>
      </c>
      <c r="M608" t="s">
        <v>40</v>
      </c>
      <c r="N608">
        <v>0.21210000000000001</v>
      </c>
      <c r="O608">
        <v>0.86</v>
      </c>
      <c r="P608">
        <v>0.1045</v>
      </c>
      <c r="Q608">
        <v>0</v>
      </c>
      <c r="R608">
        <v>49</v>
      </c>
      <c r="S608">
        <v>49</v>
      </c>
    </row>
    <row r="609" spans="1:19" x14ac:dyDescent="0.3">
      <c r="A609">
        <v>606</v>
      </c>
      <c r="B609" t="s">
        <v>106</v>
      </c>
      <c r="C609" t="s">
        <v>78</v>
      </c>
      <c r="D609" t="s">
        <v>79</v>
      </c>
      <c r="E609" t="s">
        <v>31</v>
      </c>
      <c r="F609">
        <v>11</v>
      </c>
      <c r="G609" t="s">
        <v>115</v>
      </c>
      <c r="H609" t="b">
        <v>0</v>
      </c>
      <c r="I609" t="s">
        <v>58</v>
      </c>
      <c r="J609" t="s">
        <v>22</v>
      </c>
      <c r="K609" t="s">
        <v>34</v>
      </c>
      <c r="L609">
        <v>0.18</v>
      </c>
      <c r="M609" t="s">
        <v>40</v>
      </c>
      <c r="N609">
        <v>0.21210000000000001</v>
      </c>
      <c r="O609">
        <v>0.93</v>
      </c>
      <c r="P609">
        <v>0.1045</v>
      </c>
      <c r="Q609">
        <v>0</v>
      </c>
      <c r="R609">
        <v>30</v>
      </c>
      <c r="S609">
        <v>30</v>
      </c>
    </row>
    <row r="610" spans="1:19" x14ac:dyDescent="0.3">
      <c r="A610">
        <v>607</v>
      </c>
      <c r="B610" t="s">
        <v>106</v>
      </c>
      <c r="C610" t="s">
        <v>78</v>
      </c>
      <c r="D610" t="s">
        <v>79</v>
      </c>
      <c r="E610" t="s">
        <v>31</v>
      </c>
      <c r="F610">
        <v>12</v>
      </c>
      <c r="G610" t="s">
        <v>114</v>
      </c>
      <c r="H610" t="b">
        <v>0</v>
      </c>
      <c r="I610" t="s">
        <v>58</v>
      </c>
      <c r="J610" t="s">
        <v>22</v>
      </c>
      <c r="K610" t="s">
        <v>34</v>
      </c>
      <c r="L610">
        <v>0.18</v>
      </c>
      <c r="M610" t="s">
        <v>40</v>
      </c>
      <c r="N610">
        <v>0.21210000000000001</v>
      </c>
      <c r="O610">
        <v>0.93</v>
      </c>
      <c r="P610">
        <v>0.1045</v>
      </c>
      <c r="Q610">
        <v>1</v>
      </c>
      <c r="R610">
        <v>28</v>
      </c>
      <c r="S610">
        <v>29</v>
      </c>
    </row>
    <row r="611" spans="1:19" x14ac:dyDescent="0.3">
      <c r="A611">
        <v>608</v>
      </c>
      <c r="B611" t="s">
        <v>106</v>
      </c>
      <c r="C611" t="s">
        <v>78</v>
      </c>
      <c r="D611" t="s">
        <v>79</v>
      </c>
      <c r="E611" t="s">
        <v>31</v>
      </c>
      <c r="F611">
        <v>13</v>
      </c>
      <c r="G611" t="s">
        <v>114</v>
      </c>
      <c r="H611" t="b">
        <v>0</v>
      </c>
      <c r="I611" t="s">
        <v>58</v>
      </c>
      <c r="J611" t="s">
        <v>22</v>
      </c>
      <c r="K611" t="s">
        <v>34</v>
      </c>
      <c r="L611">
        <v>0.18</v>
      </c>
      <c r="M611" t="s">
        <v>40</v>
      </c>
      <c r="N611">
        <v>0.21210000000000001</v>
      </c>
      <c r="O611">
        <v>0.93</v>
      </c>
      <c r="P611">
        <v>0.1045</v>
      </c>
      <c r="Q611">
        <v>0</v>
      </c>
      <c r="R611">
        <v>31</v>
      </c>
      <c r="S611">
        <v>31</v>
      </c>
    </row>
    <row r="612" spans="1:19" x14ac:dyDescent="0.3">
      <c r="A612">
        <v>609</v>
      </c>
      <c r="B612" t="s">
        <v>106</v>
      </c>
      <c r="C612" t="s">
        <v>78</v>
      </c>
      <c r="D612" t="s">
        <v>79</v>
      </c>
      <c r="E612" t="s">
        <v>31</v>
      </c>
      <c r="F612">
        <v>14</v>
      </c>
      <c r="G612" t="s">
        <v>114</v>
      </c>
      <c r="H612" t="b">
        <v>0</v>
      </c>
      <c r="I612" t="s">
        <v>58</v>
      </c>
      <c r="J612" t="s">
        <v>22</v>
      </c>
      <c r="K612" t="s">
        <v>34</v>
      </c>
      <c r="L612">
        <v>0.22</v>
      </c>
      <c r="M612" t="s">
        <v>40</v>
      </c>
      <c r="N612">
        <v>0.2727</v>
      </c>
      <c r="O612">
        <v>0.8</v>
      </c>
      <c r="P612">
        <v>0</v>
      </c>
      <c r="Q612">
        <v>2</v>
      </c>
      <c r="R612">
        <v>36</v>
      </c>
      <c r="S612">
        <v>38</v>
      </c>
    </row>
    <row r="613" spans="1:19" x14ac:dyDescent="0.3">
      <c r="A613">
        <v>610</v>
      </c>
      <c r="B613" t="s">
        <v>106</v>
      </c>
      <c r="C613" t="s">
        <v>78</v>
      </c>
      <c r="D613" t="s">
        <v>79</v>
      </c>
      <c r="E613" t="s">
        <v>31</v>
      </c>
      <c r="F613">
        <v>15</v>
      </c>
      <c r="G613" t="s">
        <v>114</v>
      </c>
      <c r="H613" t="b">
        <v>0</v>
      </c>
      <c r="I613" t="s">
        <v>58</v>
      </c>
      <c r="J613" t="s">
        <v>22</v>
      </c>
      <c r="K613" t="s">
        <v>33</v>
      </c>
      <c r="L613">
        <v>0.2</v>
      </c>
      <c r="M613" t="s">
        <v>40</v>
      </c>
      <c r="N613">
        <v>0.2576</v>
      </c>
      <c r="O613">
        <v>0.86</v>
      </c>
      <c r="P613">
        <v>0</v>
      </c>
      <c r="Q613">
        <v>1</v>
      </c>
      <c r="R613">
        <v>40</v>
      </c>
      <c r="S613">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E18E1-4F13-4314-9D46-635ED4919C0F}">
  <dimension ref="A1:H88"/>
  <sheetViews>
    <sheetView tabSelected="1" topLeftCell="A16" zoomScale="65" zoomScaleNormal="65" workbookViewId="0">
      <selection activeCell="D96" sqref="D96"/>
    </sheetView>
  </sheetViews>
  <sheetFormatPr defaultRowHeight="14.4" x14ac:dyDescent="0.3"/>
  <cols>
    <col min="1" max="1" width="40.77734375" bestFit="1" customWidth="1"/>
    <col min="2" max="2" width="38.88671875" bestFit="1" customWidth="1"/>
    <col min="3" max="3" width="49.5546875" bestFit="1" customWidth="1"/>
    <col min="4" max="4" width="38.88671875" bestFit="1" customWidth="1"/>
    <col min="5" max="5" width="29.6640625" customWidth="1"/>
    <col min="6" max="6" width="5.6640625" customWidth="1"/>
    <col min="7" max="7" width="3.33203125" customWidth="1"/>
    <col min="8" max="8" width="5.109375" customWidth="1"/>
    <col min="9" max="9" width="8.88671875" customWidth="1"/>
    <col min="10" max="10" width="4.33203125" customWidth="1"/>
    <col min="11" max="11" width="8.88671875" customWidth="1"/>
  </cols>
  <sheetData>
    <row r="1" spans="1:8" ht="78" customHeight="1" thickBot="1" x14ac:dyDescent="0.35">
      <c r="A1" s="88" t="s">
        <v>129</v>
      </c>
      <c r="B1" s="89"/>
      <c r="C1" s="89"/>
      <c r="D1" s="89"/>
      <c r="E1" s="90"/>
    </row>
    <row r="2" spans="1:8" ht="7.8" customHeight="1" thickBot="1" x14ac:dyDescent="0.35">
      <c r="A2" s="55"/>
      <c r="B2" s="51"/>
      <c r="C2" s="51"/>
      <c r="D2" s="51"/>
      <c r="E2" s="49"/>
    </row>
    <row r="3" spans="1:8" ht="30.6" thickBot="1" x14ac:dyDescent="0.55000000000000004">
      <c r="A3" s="66" t="s">
        <v>122</v>
      </c>
      <c r="B3" s="66" t="s">
        <v>121</v>
      </c>
      <c r="C3" s="66" t="s">
        <v>122</v>
      </c>
      <c r="D3" s="66" t="s">
        <v>123</v>
      </c>
      <c r="E3" s="49"/>
      <c r="F3" s="48"/>
      <c r="G3" s="48"/>
      <c r="H3" s="48"/>
    </row>
    <row r="4" spans="1:8" ht="31.8" thickBot="1" x14ac:dyDescent="0.55000000000000004">
      <c r="A4" s="67" t="s">
        <v>78</v>
      </c>
      <c r="B4" s="68">
        <v>33898</v>
      </c>
      <c r="C4" s="67" t="s">
        <v>78</v>
      </c>
      <c r="D4" s="72">
        <v>55.570491803278685</v>
      </c>
      <c r="E4" s="49"/>
    </row>
    <row r="5" spans="1:8" ht="8.4" customHeight="1" thickBot="1" x14ac:dyDescent="0.55000000000000004">
      <c r="A5" s="69"/>
      <c r="B5" s="69"/>
      <c r="C5" s="69"/>
      <c r="D5" s="69"/>
      <c r="E5" s="49"/>
    </row>
    <row r="6" spans="1:8" ht="5.4" customHeight="1" thickBot="1" x14ac:dyDescent="0.55000000000000004">
      <c r="A6" s="69"/>
      <c r="B6" s="69"/>
      <c r="C6" s="69"/>
      <c r="D6" s="69"/>
      <c r="E6" s="49"/>
    </row>
    <row r="7" spans="1:8" ht="30.6" thickBot="1" x14ac:dyDescent="0.55000000000000004">
      <c r="A7" s="66" t="s">
        <v>122</v>
      </c>
      <c r="B7" s="66" t="s">
        <v>124</v>
      </c>
      <c r="C7" s="66" t="s">
        <v>122</v>
      </c>
      <c r="D7" s="66" t="s">
        <v>125</v>
      </c>
      <c r="E7" s="49"/>
    </row>
    <row r="8" spans="1:8" ht="31.8" thickBot="1" x14ac:dyDescent="0.65">
      <c r="A8" s="67" t="s">
        <v>78</v>
      </c>
      <c r="B8" s="68">
        <v>2746</v>
      </c>
      <c r="C8" s="71" t="s">
        <v>78</v>
      </c>
      <c r="D8" s="68">
        <v>31152</v>
      </c>
      <c r="E8" s="49"/>
    </row>
    <row r="9" spans="1:8" ht="8.4" customHeight="1" thickBot="1" x14ac:dyDescent="0.55000000000000004">
      <c r="A9" s="70"/>
      <c r="B9" s="70"/>
      <c r="C9" s="70"/>
      <c r="D9" s="70"/>
      <c r="E9" s="65"/>
    </row>
    <row r="10" spans="1:8" ht="30" x14ac:dyDescent="0.5">
      <c r="A10" s="79" t="s">
        <v>126</v>
      </c>
      <c r="B10" s="79" t="s">
        <v>127</v>
      </c>
      <c r="C10" s="76" t="s">
        <v>128</v>
      </c>
      <c r="D10" s="76" t="s">
        <v>127</v>
      </c>
      <c r="E10" s="49"/>
    </row>
    <row r="11" spans="1:8" ht="30" x14ac:dyDescent="0.3">
      <c r="A11" s="77" t="s">
        <v>97</v>
      </c>
      <c r="B11" s="80">
        <v>1650</v>
      </c>
      <c r="C11" s="77" t="s">
        <v>104</v>
      </c>
      <c r="D11" s="78">
        <v>506</v>
      </c>
      <c r="E11" s="49"/>
    </row>
    <row r="12" spans="1:8" ht="30" x14ac:dyDescent="0.3">
      <c r="A12" s="77" t="s">
        <v>98</v>
      </c>
      <c r="B12" s="80">
        <v>1927</v>
      </c>
      <c r="C12" s="77" t="s">
        <v>105</v>
      </c>
      <c r="D12" s="78">
        <v>431</v>
      </c>
      <c r="E12" s="49"/>
    </row>
    <row r="13" spans="1:8" ht="30.6" thickBot="1" x14ac:dyDescent="0.35">
      <c r="A13" s="77" t="s">
        <v>103</v>
      </c>
      <c r="B13" s="80">
        <v>1985</v>
      </c>
      <c r="C13" s="77" t="s">
        <v>106</v>
      </c>
      <c r="D13" s="78">
        <v>571</v>
      </c>
      <c r="E13" s="49"/>
    </row>
    <row r="14" spans="1:8" ht="15.6" customHeight="1" thickBot="1" x14ac:dyDescent="0.65">
      <c r="A14" s="64"/>
      <c r="B14" s="58"/>
      <c r="C14" s="58"/>
      <c r="D14" s="60"/>
      <c r="E14" s="49"/>
    </row>
    <row r="15" spans="1:8" x14ac:dyDescent="0.3">
      <c r="A15" s="50"/>
      <c r="B15" s="51"/>
      <c r="C15" s="51"/>
      <c r="D15" s="61"/>
      <c r="E15" s="49"/>
    </row>
    <row r="16" spans="1:8" x14ac:dyDescent="0.3">
      <c r="A16" s="50"/>
      <c r="B16" s="51"/>
      <c r="C16" s="51"/>
      <c r="D16" s="61"/>
      <c r="E16" s="49"/>
    </row>
    <row r="17" spans="1:5" x14ac:dyDescent="0.3">
      <c r="A17" s="50"/>
      <c r="B17" s="51"/>
      <c r="C17" s="51"/>
      <c r="D17" s="61"/>
      <c r="E17" s="49"/>
    </row>
    <row r="18" spans="1:5" x14ac:dyDescent="0.3">
      <c r="A18" s="50"/>
      <c r="B18" s="51"/>
      <c r="C18" s="51"/>
      <c r="D18" s="61"/>
      <c r="E18" s="49"/>
    </row>
    <row r="19" spans="1:5" x14ac:dyDescent="0.3">
      <c r="A19" s="50"/>
      <c r="B19" s="51"/>
      <c r="C19" s="51"/>
      <c r="D19" s="61"/>
      <c r="E19" s="49"/>
    </row>
    <row r="20" spans="1:5" ht="21" x14ac:dyDescent="0.4">
      <c r="A20" s="52"/>
      <c r="B20" s="53"/>
      <c r="C20" s="53"/>
      <c r="D20" s="62"/>
      <c r="E20" s="54"/>
    </row>
    <row r="21" spans="1:5" ht="21" x14ac:dyDescent="0.4">
      <c r="A21" s="52"/>
      <c r="B21" s="53"/>
      <c r="C21" s="53"/>
      <c r="D21" s="62"/>
      <c r="E21" s="54"/>
    </row>
    <row r="22" spans="1:5" x14ac:dyDescent="0.3">
      <c r="A22" s="50"/>
      <c r="B22" s="51"/>
      <c r="C22" s="51"/>
      <c r="D22" s="61"/>
      <c r="E22" s="49"/>
    </row>
    <row r="23" spans="1:5" x14ac:dyDescent="0.3">
      <c r="A23" s="50"/>
      <c r="B23" s="51"/>
      <c r="C23" s="51"/>
      <c r="D23" s="61"/>
      <c r="E23" s="49"/>
    </row>
    <row r="24" spans="1:5" x14ac:dyDescent="0.3">
      <c r="A24" s="50"/>
      <c r="B24" s="51"/>
      <c r="C24" s="51"/>
      <c r="D24" s="61"/>
      <c r="E24" s="49"/>
    </row>
    <row r="25" spans="1:5" x14ac:dyDescent="0.3">
      <c r="A25" s="50"/>
      <c r="B25" s="51"/>
      <c r="C25" s="51"/>
      <c r="D25" s="61"/>
      <c r="E25" s="49"/>
    </row>
    <row r="26" spans="1:5" x14ac:dyDescent="0.3">
      <c r="A26" s="50"/>
      <c r="B26" s="51"/>
      <c r="C26" s="51"/>
      <c r="D26" s="61"/>
      <c r="E26" s="49"/>
    </row>
    <row r="27" spans="1:5" x14ac:dyDescent="0.3">
      <c r="A27" s="50"/>
      <c r="B27" s="51"/>
      <c r="C27" s="51"/>
      <c r="D27" s="61"/>
      <c r="E27" s="49"/>
    </row>
    <row r="28" spans="1:5" x14ac:dyDescent="0.3">
      <c r="A28" s="50"/>
      <c r="B28" s="51"/>
      <c r="C28" s="51"/>
      <c r="D28" s="61"/>
      <c r="E28" s="49"/>
    </row>
    <row r="29" spans="1:5" x14ac:dyDescent="0.3">
      <c r="A29" s="50"/>
      <c r="B29" s="51"/>
      <c r="C29" s="51"/>
      <c r="D29" s="61"/>
      <c r="E29" s="49"/>
    </row>
    <row r="30" spans="1:5" x14ac:dyDescent="0.3">
      <c r="A30" s="50"/>
      <c r="B30" s="51"/>
      <c r="C30" s="51"/>
      <c r="D30" s="61"/>
      <c r="E30" s="49"/>
    </row>
    <row r="31" spans="1:5" x14ac:dyDescent="0.3">
      <c r="A31" s="50"/>
      <c r="B31" s="51"/>
      <c r="C31" s="51"/>
      <c r="D31" s="61"/>
      <c r="E31" s="49"/>
    </row>
    <row r="32" spans="1:5" ht="15" thickBot="1" x14ac:dyDescent="0.35">
      <c r="A32" s="50"/>
      <c r="B32" s="51"/>
      <c r="C32" s="51"/>
      <c r="D32" s="61"/>
      <c r="E32" s="49"/>
    </row>
    <row r="33" spans="1:5" ht="16.2" customHeight="1" thickBot="1" x14ac:dyDescent="0.35">
      <c r="A33" s="59"/>
      <c r="B33" s="56"/>
      <c r="C33" s="56"/>
      <c r="D33" s="63"/>
      <c r="E33" s="49"/>
    </row>
    <row r="34" spans="1:5" ht="17.399999999999999" customHeight="1" x14ac:dyDescent="0.3">
      <c r="A34" s="50"/>
      <c r="B34" s="51"/>
      <c r="C34" s="51"/>
      <c r="D34" s="61"/>
      <c r="E34" s="49"/>
    </row>
    <row r="35" spans="1:5" x14ac:dyDescent="0.3">
      <c r="A35" s="50"/>
      <c r="B35" s="51"/>
      <c r="C35" s="51"/>
      <c r="D35" s="61"/>
      <c r="E35" s="49"/>
    </row>
    <row r="36" spans="1:5" x14ac:dyDescent="0.3">
      <c r="A36" s="50"/>
      <c r="B36" s="51"/>
      <c r="C36" s="51"/>
      <c r="D36" s="61"/>
      <c r="E36" s="49"/>
    </row>
    <row r="37" spans="1:5" x14ac:dyDescent="0.3">
      <c r="A37" s="50"/>
      <c r="B37" s="51"/>
      <c r="C37" s="51"/>
      <c r="D37" s="61"/>
      <c r="E37" s="49"/>
    </row>
    <row r="38" spans="1:5" x14ac:dyDescent="0.3">
      <c r="A38" s="50"/>
      <c r="B38" s="51"/>
      <c r="C38" s="51"/>
      <c r="D38" s="61"/>
      <c r="E38" s="49"/>
    </row>
    <row r="39" spans="1:5" x14ac:dyDescent="0.3">
      <c r="A39" s="50"/>
      <c r="B39" s="51"/>
      <c r="C39" s="51"/>
      <c r="D39" s="61"/>
      <c r="E39" s="49"/>
    </row>
    <row r="40" spans="1:5" x14ac:dyDescent="0.3">
      <c r="A40" s="50"/>
      <c r="B40" s="51"/>
      <c r="C40" s="51"/>
      <c r="D40" s="61"/>
      <c r="E40" s="49"/>
    </row>
    <row r="41" spans="1:5" x14ac:dyDescent="0.3">
      <c r="A41" s="50"/>
      <c r="B41" s="51"/>
      <c r="C41" s="51"/>
      <c r="D41" s="61"/>
      <c r="E41" s="49"/>
    </row>
    <row r="42" spans="1:5" x14ac:dyDescent="0.3">
      <c r="A42" s="50"/>
      <c r="B42" s="51"/>
      <c r="C42" s="51"/>
      <c r="D42" s="61"/>
      <c r="E42" s="49"/>
    </row>
    <row r="43" spans="1:5" x14ac:dyDescent="0.3">
      <c r="A43" s="50"/>
      <c r="B43" s="51"/>
      <c r="C43" s="51"/>
      <c r="D43" s="61"/>
      <c r="E43" s="49"/>
    </row>
    <row r="44" spans="1:5" x14ac:dyDescent="0.3">
      <c r="A44" s="50"/>
      <c r="B44" s="51"/>
      <c r="C44" s="51"/>
      <c r="D44" s="61"/>
      <c r="E44" s="49"/>
    </row>
    <row r="45" spans="1:5" x14ac:dyDescent="0.3">
      <c r="A45" s="50"/>
      <c r="B45" s="51"/>
      <c r="C45" s="51"/>
      <c r="D45" s="61"/>
      <c r="E45" s="49"/>
    </row>
    <row r="46" spans="1:5" x14ac:dyDescent="0.3">
      <c r="A46" s="50"/>
      <c r="B46" s="51"/>
      <c r="C46" s="51"/>
      <c r="D46" s="61"/>
      <c r="E46" s="49"/>
    </row>
    <row r="47" spans="1:5" x14ac:dyDescent="0.3">
      <c r="A47" s="50"/>
      <c r="B47" s="51"/>
      <c r="C47" s="51"/>
      <c r="D47" s="61"/>
      <c r="E47" s="49"/>
    </row>
    <row r="48" spans="1:5" x14ac:dyDescent="0.3">
      <c r="A48" s="50"/>
      <c r="B48" s="51"/>
      <c r="C48" s="51"/>
      <c r="D48" s="61"/>
      <c r="E48" s="49"/>
    </row>
    <row r="49" spans="1:5" ht="15" thickBot="1" x14ac:dyDescent="0.35">
      <c r="A49" s="50"/>
      <c r="B49" s="51"/>
      <c r="C49" s="51"/>
      <c r="D49" s="61"/>
      <c r="E49" s="49"/>
    </row>
    <row r="50" spans="1:5" ht="10.8" customHeight="1" thickBot="1" x14ac:dyDescent="0.35">
      <c r="A50" s="59"/>
      <c r="B50" s="56"/>
      <c r="C50" s="56"/>
      <c r="D50" s="63"/>
      <c r="E50" s="57"/>
    </row>
    <row r="51" spans="1:5" x14ac:dyDescent="0.3">
      <c r="A51" s="50"/>
      <c r="B51" s="51"/>
      <c r="C51" s="51"/>
      <c r="D51" s="61"/>
      <c r="E51" s="49"/>
    </row>
    <row r="52" spans="1:5" x14ac:dyDescent="0.3">
      <c r="A52" s="50"/>
      <c r="B52" s="51"/>
      <c r="C52" s="51"/>
      <c r="D52" s="61"/>
      <c r="E52" s="49"/>
    </row>
    <row r="53" spans="1:5" x14ac:dyDescent="0.3">
      <c r="A53" s="50"/>
      <c r="B53" s="51"/>
      <c r="C53" s="51"/>
      <c r="D53" s="61"/>
      <c r="E53" s="49"/>
    </row>
    <row r="54" spans="1:5" x14ac:dyDescent="0.3">
      <c r="A54" s="50"/>
      <c r="B54" s="51"/>
      <c r="C54" s="51"/>
      <c r="D54" s="61"/>
      <c r="E54" s="49"/>
    </row>
    <row r="55" spans="1:5" x14ac:dyDescent="0.3">
      <c r="A55" s="50"/>
      <c r="B55" s="51"/>
      <c r="C55" s="51"/>
      <c r="D55" s="61"/>
      <c r="E55" s="49"/>
    </row>
    <row r="56" spans="1:5" x14ac:dyDescent="0.3">
      <c r="A56" s="50"/>
      <c r="B56" s="51"/>
      <c r="C56" s="51"/>
      <c r="D56" s="61"/>
      <c r="E56" s="49"/>
    </row>
    <row r="57" spans="1:5" x14ac:dyDescent="0.3">
      <c r="A57" s="50"/>
      <c r="B57" s="51"/>
      <c r="C57" s="51"/>
      <c r="D57" s="61"/>
      <c r="E57" s="49"/>
    </row>
    <row r="58" spans="1:5" x14ac:dyDescent="0.3">
      <c r="A58" s="50"/>
      <c r="B58" s="51"/>
      <c r="C58" s="51"/>
      <c r="D58" s="61"/>
      <c r="E58" s="49"/>
    </row>
    <row r="59" spans="1:5" x14ac:dyDescent="0.3">
      <c r="A59" s="50"/>
      <c r="B59" s="51"/>
      <c r="C59" s="51"/>
      <c r="D59" s="61"/>
      <c r="E59" s="49"/>
    </row>
    <row r="60" spans="1:5" x14ac:dyDescent="0.3">
      <c r="A60" s="50"/>
      <c r="B60" s="51"/>
      <c r="C60" s="51"/>
      <c r="D60" s="61"/>
      <c r="E60" s="49"/>
    </row>
    <row r="61" spans="1:5" x14ac:dyDescent="0.3">
      <c r="A61" s="50"/>
      <c r="B61" s="51"/>
      <c r="C61" s="51"/>
      <c r="D61" s="61"/>
      <c r="E61" s="49"/>
    </row>
    <row r="62" spans="1:5" x14ac:dyDescent="0.3">
      <c r="A62" s="50"/>
      <c r="B62" s="51"/>
      <c r="C62" s="51"/>
      <c r="D62" s="61"/>
      <c r="E62" s="49"/>
    </row>
    <row r="63" spans="1:5" x14ac:dyDescent="0.3">
      <c r="A63" s="50"/>
      <c r="B63" s="51"/>
      <c r="C63" s="51"/>
      <c r="D63" s="61"/>
      <c r="E63" s="49"/>
    </row>
    <row r="64" spans="1:5" x14ac:dyDescent="0.3">
      <c r="A64" s="50"/>
      <c r="B64" s="51"/>
      <c r="C64" s="51"/>
      <c r="D64" s="61"/>
      <c r="E64" s="49"/>
    </row>
    <row r="65" spans="1:5" x14ac:dyDescent="0.3">
      <c r="A65" s="50"/>
      <c r="B65" s="51"/>
      <c r="C65" s="51"/>
      <c r="D65" s="61"/>
      <c r="E65" s="49"/>
    </row>
    <row r="66" spans="1:5" x14ac:dyDescent="0.3">
      <c r="A66" s="50"/>
      <c r="B66" s="51"/>
      <c r="C66" s="51"/>
      <c r="D66" s="61"/>
      <c r="E66" s="49"/>
    </row>
    <row r="67" spans="1:5" x14ac:dyDescent="0.3">
      <c r="A67" s="50"/>
      <c r="B67" s="51"/>
      <c r="C67" s="51"/>
      <c r="D67" s="61"/>
      <c r="E67" s="49"/>
    </row>
    <row r="68" spans="1:5" ht="18" customHeight="1" thickBot="1" x14ac:dyDescent="0.35">
      <c r="A68" s="50"/>
      <c r="B68" s="51"/>
      <c r="C68" s="51"/>
      <c r="D68" s="61"/>
      <c r="E68" s="49"/>
    </row>
    <row r="69" spans="1:5" ht="15" thickBot="1" x14ac:dyDescent="0.35">
      <c r="A69" s="59"/>
      <c r="B69" s="56"/>
      <c r="C69" s="56"/>
      <c r="D69" s="63"/>
      <c r="E69" s="57"/>
    </row>
    <row r="70" spans="1:5" x14ac:dyDescent="0.3">
      <c r="A70" s="50"/>
      <c r="B70" s="51"/>
      <c r="C70" s="51"/>
      <c r="D70" s="61"/>
      <c r="E70" s="49"/>
    </row>
    <row r="71" spans="1:5" x14ac:dyDescent="0.3">
      <c r="A71" s="50"/>
      <c r="B71" s="51"/>
      <c r="C71" s="51"/>
      <c r="D71" s="61"/>
      <c r="E71" s="49"/>
    </row>
    <row r="72" spans="1:5" x14ac:dyDescent="0.3">
      <c r="A72" s="50"/>
      <c r="B72" s="51"/>
      <c r="C72" s="51"/>
      <c r="D72" s="61"/>
      <c r="E72" s="49"/>
    </row>
    <row r="73" spans="1:5" x14ac:dyDescent="0.3">
      <c r="A73" s="50"/>
      <c r="B73" s="51"/>
      <c r="C73" s="51"/>
      <c r="D73" s="61"/>
      <c r="E73" s="49"/>
    </row>
    <row r="74" spans="1:5" x14ac:dyDescent="0.3">
      <c r="A74" s="50"/>
      <c r="B74" s="51"/>
      <c r="C74" s="51"/>
      <c r="D74" s="61"/>
      <c r="E74" s="49"/>
    </row>
    <row r="75" spans="1:5" x14ac:dyDescent="0.3">
      <c r="A75" s="50"/>
      <c r="B75" s="51"/>
      <c r="C75" s="51"/>
      <c r="D75" s="61"/>
      <c r="E75" s="49"/>
    </row>
    <row r="76" spans="1:5" x14ac:dyDescent="0.3">
      <c r="A76" s="50"/>
      <c r="B76" s="51"/>
      <c r="C76" s="51"/>
      <c r="D76" s="61"/>
      <c r="E76" s="49"/>
    </row>
    <row r="77" spans="1:5" x14ac:dyDescent="0.3">
      <c r="A77" s="50"/>
      <c r="B77" s="51"/>
      <c r="C77" s="51"/>
      <c r="D77" s="61"/>
      <c r="E77" s="49"/>
    </row>
    <row r="78" spans="1:5" x14ac:dyDescent="0.3">
      <c r="A78" s="50"/>
      <c r="B78" s="51"/>
      <c r="C78" s="51"/>
      <c r="D78" s="61"/>
      <c r="E78" s="49"/>
    </row>
    <row r="79" spans="1:5" x14ac:dyDescent="0.3">
      <c r="A79" s="50"/>
      <c r="B79" s="51"/>
      <c r="C79" s="51"/>
      <c r="D79" s="61"/>
      <c r="E79" s="49"/>
    </row>
    <row r="80" spans="1:5" x14ac:dyDescent="0.3">
      <c r="A80" s="50"/>
      <c r="B80" s="51"/>
      <c r="C80" s="51"/>
      <c r="D80" s="61"/>
      <c r="E80" s="49"/>
    </row>
    <row r="81" spans="1:5" x14ac:dyDescent="0.3">
      <c r="A81" s="50"/>
      <c r="B81" s="51"/>
      <c r="C81" s="51"/>
      <c r="D81" s="61"/>
      <c r="E81" s="49"/>
    </row>
    <row r="82" spans="1:5" x14ac:dyDescent="0.3">
      <c r="A82" s="50"/>
      <c r="B82" s="51"/>
      <c r="C82" s="51"/>
      <c r="D82" s="61"/>
      <c r="E82" s="49"/>
    </row>
    <row r="83" spans="1:5" x14ac:dyDescent="0.3">
      <c r="A83" s="50"/>
      <c r="B83" s="51"/>
      <c r="C83" s="51"/>
      <c r="D83" s="61"/>
      <c r="E83" s="49"/>
    </row>
    <row r="84" spans="1:5" x14ac:dyDescent="0.3">
      <c r="A84" s="50"/>
      <c r="B84" s="51"/>
      <c r="C84" s="51"/>
      <c r="D84" s="61"/>
      <c r="E84" s="49"/>
    </row>
    <row r="85" spans="1:5" x14ac:dyDescent="0.3">
      <c r="A85" s="50"/>
      <c r="B85" s="51"/>
      <c r="C85" s="51"/>
      <c r="D85" s="61"/>
      <c r="E85" s="49"/>
    </row>
    <row r="86" spans="1:5" x14ac:dyDescent="0.3">
      <c r="A86" s="50"/>
      <c r="B86" s="51"/>
      <c r="C86" s="51"/>
      <c r="D86" s="61"/>
      <c r="E86" s="49"/>
    </row>
    <row r="87" spans="1:5" ht="15" thickBot="1" x14ac:dyDescent="0.35">
      <c r="A87" s="50"/>
      <c r="B87" s="51"/>
      <c r="C87" s="51"/>
      <c r="D87" s="61"/>
      <c r="E87" s="49"/>
    </row>
    <row r="88" spans="1:5" ht="15" thickBot="1" x14ac:dyDescent="0.35">
      <c r="A88" s="59"/>
      <c r="B88" s="56"/>
      <c r="C88" s="56"/>
      <c r="D88" s="63"/>
      <c r="E88" s="57"/>
    </row>
  </sheetData>
  <mergeCells count="1">
    <mergeCell ref="A1:E1"/>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9822-BB80-495C-B0A6-7D8C1C0570CD}">
  <dimension ref="A4:B33"/>
  <sheetViews>
    <sheetView workbookViewId="0">
      <selection activeCell="B4" sqref="B4"/>
    </sheetView>
  </sheetViews>
  <sheetFormatPr defaultRowHeight="14.4" x14ac:dyDescent="0.3"/>
  <cols>
    <col min="1" max="1" width="10.77734375" bestFit="1" customWidth="1"/>
    <col min="2" max="2" width="22.33203125" bestFit="1" customWidth="1"/>
  </cols>
  <sheetData>
    <row r="4" spans="1:2" x14ac:dyDescent="0.3">
      <c r="A4" s="46" t="s">
        <v>120</v>
      </c>
      <c r="B4" t="s">
        <v>110</v>
      </c>
    </row>
    <row r="5" spans="1:2" x14ac:dyDescent="0.3">
      <c r="A5" s="24" t="s">
        <v>78</v>
      </c>
      <c r="B5" s="47">
        <v>985</v>
      </c>
    </row>
    <row r="6" spans="1:2" x14ac:dyDescent="0.3">
      <c r="A6" s="24" t="s">
        <v>80</v>
      </c>
      <c r="B6" s="47">
        <v>801</v>
      </c>
    </row>
    <row r="7" spans="1:2" x14ac:dyDescent="0.3">
      <c r="A7" s="24" t="s">
        <v>81</v>
      </c>
      <c r="B7" s="47">
        <v>1349</v>
      </c>
    </row>
    <row r="8" spans="1:2" x14ac:dyDescent="0.3">
      <c r="A8" s="24" t="s">
        <v>82</v>
      </c>
      <c r="B8" s="47">
        <v>1562</v>
      </c>
    </row>
    <row r="9" spans="1:2" x14ac:dyDescent="0.3">
      <c r="A9" s="24" t="s">
        <v>83</v>
      </c>
      <c r="B9" s="47">
        <v>1600</v>
      </c>
    </row>
    <row r="10" spans="1:2" x14ac:dyDescent="0.3">
      <c r="A10" s="24" t="s">
        <v>84</v>
      </c>
      <c r="B10" s="47">
        <v>1606</v>
      </c>
    </row>
    <row r="11" spans="1:2" x14ac:dyDescent="0.3">
      <c r="A11" s="24" t="s">
        <v>85</v>
      </c>
      <c r="B11" s="47">
        <v>1510</v>
      </c>
    </row>
    <row r="12" spans="1:2" x14ac:dyDescent="0.3">
      <c r="A12" s="24" t="s">
        <v>86</v>
      </c>
      <c r="B12" s="47">
        <v>959</v>
      </c>
    </row>
    <row r="13" spans="1:2" x14ac:dyDescent="0.3">
      <c r="A13" s="24" t="s">
        <v>87</v>
      </c>
      <c r="B13" s="47">
        <v>822</v>
      </c>
    </row>
    <row r="14" spans="1:2" x14ac:dyDescent="0.3">
      <c r="A14" s="24" t="s">
        <v>88</v>
      </c>
      <c r="B14" s="47">
        <v>1321</v>
      </c>
    </row>
    <row r="15" spans="1:2" x14ac:dyDescent="0.3">
      <c r="A15" s="24" t="s">
        <v>89</v>
      </c>
      <c r="B15" s="47">
        <v>1263</v>
      </c>
    </row>
    <row r="16" spans="1:2" x14ac:dyDescent="0.3">
      <c r="A16" s="24" t="s">
        <v>90</v>
      </c>
      <c r="B16" s="47">
        <v>1162</v>
      </c>
    </row>
    <row r="17" spans="1:2" x14ac:dyDescent="0.3">
      <c r="A17" s="24" t="s">
        <v>91</v>
      </c>
      <c r="B17" s="47">
        <v>1406</v>
      </c>
    </row>
    <row r="18" spans="1:2" x14ac:dyDescent="0.3">
      <c r="A18" s="24" t="s">
        <v>92</v>
      </c>
      <c r="B18" s="47">
        <v>1421</v>
      </c>
    </row>
    <row r="19" spans="1:2" x14ac:dyDescent="0.3">
      <c r="A19" s="24" t="s">
        <v>93</v>
      </c>
      <c r="B19" s="47">
        <v>1248</v>
      </c>
    </row>
    <row r="20" spans="1:2" x14ac:dyDescent="0.3">
      <c r="A20" s="24" t="s">
        <v>94</v>
      </c>
      <c r="B20" s="47">
        <v>1204</v>
      </c>
    </row>
    <row r="21" spans="1:2" x14ac:dyDescent="0.3">
      <c r="A21" s="24" t="s">
        <v>95</v>
      </c>
      <c r="B21" s="47">
        <v>1000</v>
      </c>
    </row>
    <row r="22" spans="1:2" x14ac:dyDescent="0.3">
      <c r="A22" s="24" t="s">
        <v>96</v>
      </c>
      <c r="B22" s="47">
        <v>683</v>
      </c>
    </row>
    <row r="23" spans="1:2" x14ac:dyDescent="0.3">
      <c r="A23" s="24" t="s">
        <v>97</v>
      </c>
      <c r="B23" s="47">
        <v>1650</v>
      </c>
    </row>
    <row r="24" spans="1:2" x14ac:dyDescent="0.3">
      <c r="A24" s="24" t="s">
        <v>98</v>
      </c>
      <c r="B24" s="47">
        <v>1927</v>
      </c>
    </row>
    <row r="25" spans="1:2" x14ac:dyDescent="0.3">
      <c r="A25" s="24" t="s">
        <v>99</v>
      </c>
      <c r="B25" s="47">
        <v>1543</v>
      </c>
    </row>
    <row r="26" spans="1:2" x14ac:dyDescent="0.3">
      <c r="A26" s="24" t="s">
        <v>100</v>
      </c>
      <c r="B26" s="47">
        <v>981</v>
      </c>
    </row>
    <row r="27" spans="1:2" x14ac:dyDescent="0.3">
      <c r="A27" s="24" t="s">
        <v>101</v>
      </c>
      <c r="B27" s="47">
        <v>986</v>
      </c>
    </row>
    <row r="28" spans="1:2" x14ac:dyDescent="0.3">
      <c r="A28" s="24" t="s">
        <v>102</v>
      </c>
      <c r="B28" s="47">
        <v>1416</v>
      </c>
    </row>
    <row r="29" spans="1:2" x14ac:dyDescent="0.3">
      <c r="A29" s="24" t="s">
        <v>103</v>
      </c>
      <c r="B29" s="47">
        <v>1985</v>
      </c>
    </row>
    <row r="30" spans="1:2" x14ac:dyDescent="0.3">
      <c r="A30" s="24" t="s">
        <v>104</v>
      </c>
      <c r="B30" s="47">
        <v>506</v>
      </c>
    </row>
    <row r="31" spans="1:2" x14ac:dyDescent="0.3">
      <c r="A31" s="24" t="s">
        <v>105</v>
      </c>
      <c r="B31" s="47">
        <v>431</v>
      </c>
    </row>
    <row r="32" spans="1:2" x14ac:dyDescent="0.3">
      <c r="A32" s="24" t="s">
        <v>106</v>
      </c>
      <c r="B32" s="47">
        <v>571</v>
      </c>
    </row>
    <row r="33" spans="1:2" x14ac:dyDescent="0.3">
      <c r="A33" s="24" t="s">
        <v>109</v>
      </c>
      <c r="B33" s="47">
        <v>33898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ED739-2EEB-47A3-A99B-06DF42B3CFFE}">
  <dimension ref="A3:B28"/>
  <sheetViews>
    <sheetView workbookViewId="0">
      <selection activeCell="B5" sqref="B5"/>
    </sheetView>
  </sheetViews>
  <sheetFormatPr defaultRowHeight="14.4" x14ac:dyDescent="0.3"/>
  <cols>
    <col min="1" max="1" width="10.77734375" bestFit="1" customWidth="1"/>
    <col min="2" max="2" width="22.33203125" bestFit="1" customWidth="1"/>
  </cols>
  <sheetData>
    <row r="3" spans="1:2" x14ac:dyDescent="0.3">
      <c r="A3" s="46" t="s">
        <v>20</v>
      </c>
      <c r="B3" t="s">
        <v>110</v>
      </c>
    </row>
    <row r="4" spans="1:2" x14ac:dyDescent="0.3">
      <c r="A4" s="24">
        <v>0</v>
      </c>
      <c r="B4" s="47">
        <v>370</v>
      </c>
    </row>
    <row r="5" spans="1:2" x14ac:dyDescent="0.3">
      <c r="A5" s="24">
        <v>1</v>
      </c>
      <c r="B5" s="47">
        <v>239</v>
      </c>
    </row>
    <row r="6" spans="1:2" x14ac:dyDescent="0.3">
      <c r="A6" s="24">
        <v>2</v>
      </c>
      <c r="B6" s="47">
        <v>170</v>
      </c>
    </row>
    <row r="7" spans="1:2" x14ac:dyDescent="0.3">
      <c r="A7" s="24">
        <v>3</v>
      </c>
      <c r="B7" s="47">
        <v>76</v>
      </c>
    </row>
    <row r="8" spans="1:2" x14ac:dyDescent="0.3">
      <c r="A8" s="24">
        <v>4</v>
      </c>
      <c r="B8" s="47">
        <v>38</v>
      </c>
    </row>
    <row r="9" spans="1:2" x14ac:dyDescent="0.3">
      <c r="A9" s="24">
        <v>5</v>
      </c>
      <c r="B9" s="47">
        <v>95</v>
      </c>
    </row>
    <row r="10" spans="1:2" x14ac:dyDescent="0.3">
      <c r="A10" s="24">
        <v>6</v>
      </c>
      <c r="B10" s="47">
        <v>476</v>
      </c>
    </row>
    <row r="11" spans="1:2" x14ac:dyDescent="0.3">
      <c r="A11" s="24">
        <v>7</v>
      </c>
      <c r="B11" s="47">
        <v>1393</v>
      </c>
    </row>
    <row r="12" spans="1:2" x14ac:dyDescent="0.3">
      <c r="A12" s="24">
        <v>8</v>
      </c>
      <c r="B12" s="47">
        <v>3318</v>
      </c>
    </row>
    <row r="13" spans="1:2" x14ac:dyDescent="0.3">
      <c r="A13" s="24">
        <v>9</v>
      </c>
      <c r="B13" s="47">
        <v>2196</v>
      </c>
    </row>
    <row r="14" spans="1:2" x14ac:dyDescent="0.3">
      <c r="A14" s="24">
        <v>10</v>
      </c>
      <c r="B14" s="47">
        <v>1301</v>
      </c>
    </row>
    <row r="15" spans="1:2" x14ac:dyDescent="0.3">
      <c r="A15" s="24">
        <v>11</v>
      </c>
      <c r="B15" s="47">
        <v>1455</v>
      </c>
    </row>
    <row r="16" spans="1:2" x14ac:dyDescent="0.3">
      <c r="A16" s="24">
        <v>12</v>
      </c>
      <c r="B16" s="47">
        <v>1936</v>
      </c>
    </row>
    <row r="17" spans="1:2" x14ac:dyDescent="0.3">
      <c r="A17" s="24">
        <v>13</v>
      </c>
      <c r="B17" s="47">
        <v>2015</v>
      </c>
    </row>
    <row r="18" spans="1:2" x14ac:dyDescent="0.3">
      <c r="A18" s="24">
        <v>14</v>
      </c>
      <c r="B18" s="47">
        <v>1827</v>
      </c>
    </row>
    <row r="19" spans="1:2" x14ac:dyDescent="0.3">
      <c r="A19" s="24">
        <v>15</v>
      </c>
      <c r="B19" s="47">
        <v>1934</v>
      </c>
    </row>
    <row r="20" spans="1:2" x14ac:dyDescent="0.3">
      <c r="A20" s="24">
        <v>16</v>
      </c>
      <c r="B20" s="47">
        <v>2200</v>
      </c>
    </row>
    <row r="21" spans="1:2" x14ac:dyDescent="0.3">
      <c r="A21" s="24">
        <v>17</v>
      </c>
      <c r="B21" s="47">
        <v>3550</v>
      </c>
    </row>
    <row r="22" spans="1:2" x14ac:dyDescent="0.3">
      <c r="A22" s="24">
        <v>18</v>
      </c>
      <c r="B22" s="47">
        <v>3082</v>
      </c>
    </row>
    <row r="23" spans="1:2" x14ac:dyDescent="0.3">
      <c r="A23" s="24">
        <v>19</v>
      </c>
      <c r="B23" s="47">
        <v>2213</v>
      </c>
    </row>
    <row r="24" spans="1:2" x14ac:dyDescent="0.3">
      <c r="A24" s="24">
        <v>20</v>
      </c>
      <c r="B24" s="47">
        <v>1541</v>
      </c>
    </row>
    <row r="25" spans="1:2" x14ac:dyDescent="0.3">
      <c r="A25" s="24">
        <v>21</v>
      </c>
      <c r="B25" s="47">
        <v>1075</v>
      </c>
    </row>
    <row r="26" spans="1:2" x14ac:dyDescent="0.3">
      <c r="A26" s="24">
        <v>22</v>
      </c>
      <c r="B26" s="47">
        <v>838</v>
      </c>
    </row>
    <row r="27" spans="1:2" x14ac:dyDescent="0.3">
      <c r="A27" s="24">
        <v>23</v>
      </c>
      <c r="B27" s="47">
        <v>560</v>
      </c>
    </row>
    <row r="28" spans="1:2" x14ac:dyDescent="0.3">
      <c r="A28" s="24" t="s">
        <v>109</v>
      </c>
      <c r="B28" s="47">
        <v>33898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B71BF-11A6-44E4-8884-CE31802E1AEB}">
  <dimension ref="A3:C32"/>
  <sheetViews>
    <sheetView workbookViewId="0">
      <selection activeCell="S12" sqref="S12"/>
    </sheetView>
  </sheetViews>
  <sheetFormatPr defaultRowHeight="14.4" x14ac:dyDescent="0.3"/>
  <cols>
    <col min="1" max="1" width="10.77734375" bestFit="1" customWidth="1"/>
    <col min="2" max="2" width="17.6640625" bestFit="1" customWidth="1"/>
    <col min="3" max="3" width="21" bestFit="1" customWidth="1"/>
  </cols>
  <sheetData>
    <row r="3" spans="1:3" x14ac:dyDescent="0.3">
      <c r="A3" s="46" t="s">
        <v>119</v>
      </c>
      <c r="B3" t="s">
        <v>111</v>
      </c>
      <c r="C3" t="s">
        <v>112</v>
      </c>
    </row>
    <row r="4" spans="1:3" x14ac:dyDescent="0.3">
      <c r="A4" s="24" t="s">
        <v>78</v>
      </c>
      <c r="B4" s="47">
        <v>331</v>
      </c>
      <c r="C4" s="47">
        <v>654</v>
      </c>
    </row>
    <row r="5" spans="1:3" x14ac:dyDescent="0.3">
      <c r="A5" s="24" t="s">
        <v>80</v>
      </c>
      <c r="B5" s="47">
        <v>131</v>
      </c>
      <c r="C5" s="47">
        <v>670</v>
      </c>
    </row>
    <row r="6" spans="1:3" x14ac:dyDescent="0.3">
      <c r="A6" s="24" t="s">
        <v>81</v>
      </c>
      <c r="B6" s="47">
        <v>120</v>
      </c>
      <c r="C6" s="47">
        <v>1229</v>
      </c>
    </row>
    <row r="7" spans="1:3" x14ac:dyDescent="0.3">
      <c r="A7" s="24" t="s">
        <v>82</v>
      </c>
      <c r="B7" s="47">
        <v>108</v>
      </c>
      <c r="C7" s="47">
        <v>1454</v>
      </c>
    </row>
    <row r="8" spans="1:3" x14ac:dyDescent="0.3">
      <c r="A8" s="24" t="s">
        <v>83</v>
      </c>
      <c r="B8" s="47">
        <v>82</v>
      </c>
      <c r="C8" s="47">
        <v>1518</v>
      </c>
    </row>
    <row r="9" spans="1:3" x14ac:dyDescent="0.3">
      <c r="A9" s="24" t="s">
        <v>84</v>
      </c>
      <c r="B9" s="47">
        <v>88</v>
      </c>
      <c r="C9" s="47">
        <v>1518</v>
      </c>
    </row>
    <row r="10" spans="1:3" x14ac:dyDescent="0.3">
      <c r="A10" s="24" t="s">
        <v>85</v>
      </c>
      <c r="B10" s="47">
        <v>148</v>
      </c>
      <c r="C10" s="47">
        <v>1362</v>
      </c>
    </row>
    <row r="11" spans="1:3" x14ac:dyDescent="0.3">
      <c r="A11" s="24" t="s">
        <v>86</v>
      </c>
      <c r="B11" s="47">
        <v>68</v>
      </c>
      <c r="C11" s="47">
        <v>891</v>
      </c>
    </row>
    <row r="12" spans="1:3" x14ac:dyDescent="0.3">
      <c r="A12" s="24" t="s">
        <v>87</v>
      </c>
      <c r="B12" s="47">
        <v>54</v>
      </c>
      <c r="C12" s="47">
        <v>768</v>
      </c>
    </row>
    <row r="13" spans="1:3" x14ac:dyDescent="0.3">
      <c r="A13" s="24" t="s">
        <v>88</v>
      </c>
      <c r="B13" s="47">
        <v>41</v>
      </c>
      <c r="C13" s="47">
        <v>1280</v>
      </c>
    </row>
    <row r="14" spans="1:3" x14ac:dyDescent="0.3">
      <c r="A14" s="24" t="s">
        <v>89</v>
      </c>
      <c r="B14" s="47">
        <v>43</v>
      </c>
      <c r="C14" s="47">
        <v>1220</v>
      </c>
    </row>
    <row r="15" spans="1:3" x14ac:dyDescent="0.3">
      <c r="A15" s="24" t="s">
        <v>90</v>
      </c>
      <c r="B15" s="47">
        <v>25</v>
      </c>
      <c r="C15" s="47">
        <v>1137</v>
      </c>
    </row>
    <row r="16" spans="1:3" x14ac:dyDescent="0.3">
      <c r="A16" s="24" t="s">
        <v>91</v>
      </c>
      <c r="B16" s="47">
        <v>38</v>
      </c>
      <c r="C16" s="47">
        <v>1368</v>
      </c>
    </row>
    <row r="17" spans="1:3" x14ac:dyDescent="0.3">
      <c r="A17" s="24" t="s">
        <v>92</v>
      </c>
      <c r="B17" s="47">
        <v>54</v>
      </c>
      <c r="C17" s="47">
        <v>1367</v>
      </c>
    </row>
    <row r="18" spans="1:3" x14ac:dyDescent="0.3">
      <c r="A18" s="24" t="s">
        <v>93</v>
      </c>
      <c r="B18" s="47">
        <v>222</v>
      </c>
      <c r="C18" s="47">
        <v>1026</v>
      </c>
    </row>
    <row r="19" spans="1:3" x14ac:dyDescent="0.3">
      <c r="A19" s="24" t="s">
        <v>94</v>
      </c>
      <c r="B19" s="47">
        <v>251</v>
      </c>
      <c r="C19" s="47">
        <v>953</v>
      </c>
    </row>
    <row r="20" spans="1:3" x14ac:dyDescent="0.3">
      <c r="A20" s="24" t="s">
        <v>95</v>
      </c>
      <c r="B20" s="47">
        <v>117</v>
      </c>
      <c r="C20" s="47">
        <v>883</v>
      </c>
    </row>
    <row r="21" spans="1:3" x14ac:dyDescent="0.3">
      <c r="A21" s="24" t="s">
        <v>96</v>
      </c>
      <c r="B21" s="47">
        <v>9</v>
      </c>
      <c r="C21" s="47">
        <v>674</v>
      </c>
    </row>
    <row r="22" spans="1:3" x14ac:dyDescent="0.3">
      <c r="A22" s="24" t="s">
        <v>97</v>
      </c>
      <c r="B22" s="47">
        <v>78</v>
      </c>
      <c r="C22" s="47">
        <v>1572</v>
      </c>
    </row>
    <row r="23" spans="1:3" x14ac:dyDescent="0.3">
      <c r="A23" s="24" t="s">
        <v>98</v>
      </c>
      <c r="B23" s="47">
        <v>83</v>
      </c>
      <c r="C23" s="47">
        <v>1844</v>
      </c>
    </row>
    <row r="24" spans="1:3" x14ac:dyDescent="0.3">
      <c r="A24" s="24" t="s">
        <v>99</v>
      </c>
      <c r="B24" s="47">
        <v>75</v>
      </c>
      <c r="C24" s="47">
        <v>1468</v>
      </c>
    </row>
    <row r="25" spans="1:3" x14ac:dyDescent="0.3">
      <c r="A25" s="24" t="s">
        <v>100</v>
      </c>
      <c r="B25" s="47">
        <v>93</v>
      </c>
      <c r="C25" s="47">
        <v>888</v>
      </c>
    </row>
    <row r="26" spans="1:3" x14ac:dyDescent="0.3">
      <c r="A26" s="24" t="s">
        <v>101</v>
      </c>
      <c r="B26" s="47">
        <v>150</v>
      </c>
      <c r="C26" s="47">
        <v>836</v>
      </c>
    </row>
    <row r="27" spans="1:3" x14ac:dyDescent="0.3">
      <c r="A27" s="24" t="s">
        <v>102</v>
      </c>
      <c r="B27" s="47">
        <v>86</v>
      </c>
      <c r="C27" s="47">
        <v>1330</v>
      </c>
    </row>
    <row r="28" spans="1:3" x14ac:dyDescent="0.3">
      <c r="A28" s="24" t="s">
        <v>103</v>
      </c>
      <c r="B28" s="47">
        <v>186</v>
      </c>
      <c r="C28" s="47">
        <v>1799</v>
      </c>
    </row>
    <row r="29" spans="1:3" x14ac:dyDescent="0.3">
      <c r="A29" s="24" t="s">
        <v>104</v>
      </c>
      <c r="B29" s="47">
        <v>34</v>
      </c>
      <c r="C29" s="47">
        <v>472</v>
      </c>
    </row>
    <row r="30" spans="1:3" x14ac:dyDescent="0.3">
      <c r="A30" s="24" t="s">
        <v>105</v>
      </c>
      <c r="B30" s="47">
        <v>15</v>
      </c>
      <c r="C30" s="47">
        <v>416</v>
      </c>
    </row>
    <row r="31" spans="1:3" x14ac:dyDescent="0.3">
      <c r="A31" s="24" t="s">
        <v>106</v>
      </c>
      <c r="B31" s="47">
        <v>16</v>
      </c>
      <c r="C31" s="47">
        <v>555</v>
      </c>
    </row>
    <row r="32" spans="1:3" x14ac:dyDescent="0.3">
      <c r="A32" s="24" t="s">
        <v>109</v>
      </c>
      <c r="B32" s="47">
        <v>2746</v>
      </c>
      <c r="C32" s="47">
        <v>31152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7DCF-DD20-461B-B951-9712D7EF3A6E}">
  <dimension ref="A4:B7"/>
  <sheetViews>
    <sheetView topLeftCell="A4" workbookViewId="0">
      <selection activeCell="A4" sqref="A4"/>
    </sheetView>
  </sheetViews>
  <sheetFormatPr defaultRowHeight="14.4" x14ac:dyDescent="0.3"/>
  <cols>
    <col min="1" max="1" width="10.77734375" bestFit="1" customWidth="1"/>
    <col min="2" max="2" width="22.33203125" bestFit="1" customWidth="1"/>
  </cols>
  <sheetData>
    <row r="4" spans="1:2" x14ac:dyDescent="0.3">
      <c r="A4" s="46" t="s">
        <v>118</v>
      </c>
      <c r="B4" t="s">
        <v>110</v>
      </c>
    </row>
    <row r="5" spans="1:2" x14ac:dyDescent="0.3">
      <c r="A5" s="24" t="s">
        <v>22</v>
      </c>
      <c r="B5" s="47">
        <v>25912</v>
      </c>
    </row>
    <row r="6" spans="1:2" x14ac:dyDescent="0.3">
      <c r="A6" s="24" t="s">
        <v>38</v>
      </c>
      <c r="B6" s="47">
        <v>7986</v>
      </c>
    </row>
    <row r="7" spans="1:2" x14ac:dyDescent="0.3">
      <c r="A7" s="24" t="s">
        <v>109</v>
      </c>
      <c r="B7" s="47">
        <v>33898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091EE-054D-4E30-A693-5D35FAC3674C}">
  <dimension ref="A3:B9"/>
  <sheetViews>
    <sheetView workbookViewId="0">
      <selection activeCell="B15" sqref="B15"/>
    </sheetView>
  </sheetViews>
  <sheetFormatPr defaultRowHeight="14.4" x14ac:dyDescent="0.3"/>
  <cols>
    <col min="1" max="1" width="15.77734375" bestFit="1" customWidth="1"/>
    <col min="2" max="2" width="22.33203125" bestFit="1" customWidth="1"/>
  </cols>
  <sheetData>
    <row r="3" spans="1:2" x14ac:dyDescent="0.3">
      <c r="A3" s="46" t="s">
        <v>117</v>
      </c>
      <c r="B3" t="s">
        <v>110</v>
      </c>
    </row>
    <row r="4" spans="1:2" x14ac:dyDescent="0.3">
      <c r="A4" s="24" t="s">
        <v>40</v>
      </c>
      <c r="B4" s="47">
        <v>19770</v>
      </c>
    </row>
    <row r="5" spans="1:2" x14ac:dyDescent="0.3">
      <c r="A5" s="24" t="s">
        <v>43</v>
      </c>
      <c r="B5" s="47">
        <v>719</v>
      </c>
    </row>
    <row r="6" spans="1:2" x14ac:dyDescent="0.3">
      <c r="A6" s="24" t="s">
        <v>44</v>
      </c>
      <c r="B6" s="47">
        <v>6069</v>
      </c>
    </row>
    <row r="7" spans="1:2" x14ac:dyDescent="0.3">
      <c r="A7" s="24" t="s">
        <v>41</v>
      </c>
      <c r="B7" s="47">
        <v>5678</v>
      </c>
    </row>
    <row r="8" spans="1:2" x14ac:dyDescent="0.3">
      <c r="A8" s="24" t="s">
        <v>42</v>
      </c>
      <c r="B8" s="47">
        <v>1662</v>
      </c>
    </row>
    <row r="9" spans="1:2" x14ac:dyDescent="0.3">
      <c r="A9" s="24" t="s">
        <v>109</v>
      </c>
      <c r="B9" s="47">
        <v>33898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4242A-505B-46B5-9791-9FE6E3817D79}">
  <dimension ref="A3:B11"/>
  <sheetViews>
    <sheetView workbookViewId="0">
      <selection activeCell="B19" sqref="B19"/>
    </sheetView>
  </sheetViews>
  <sheetFormatPr defaultRowHeight="14.4" x14ac:dyDescent="0.3"/>
  <cols>
    <col min="1" max="1" width="11.109375" bestFit="1" customWidth="1"/>
    <col min="2" max="2" width="22.33203125" bestFit="1" customWidth="1"/>
  </cols>
  <sheetData>
    <row r="3" spans="1:2" x14ac:dyDescent="0.3">
      <c r="A3" s="46" t="s">
        <v>22</v>
      </c>
      <c r="B3" t="s">
        <v>110</v>
      </c>
    </row>
    <row r="4" spans="1:2" x14ac:dyDescent="0.3">
      <c r="A4" s="24" t="s">
        <v>53</v>
      </c>
      <c r="B4" s="47">
        <v>3813</v>
      </c>
    </row>
    <row r="5" spans="1:2" x14ac:dyDescent="0.3">
      <c r="A5" s="24" t="s">
        <v>54</v>
      </c>
      <c r="B5" s="47">
        <v>5086</v>
      </c>
    </row>
    <row r="6" spans="1:2" x14ac:dyDescent="0.3">
      <c r="A6" s="24" t="s">
        <v>55</v>
      </c>
      <c r="B6" s="47">
        <v>5493</v>
      </c>
    </row>
    <row r="7" spans="1:2" x14ac:dyDescent="0.3">
      <c r="A7" s="24" t="s">
        <v>56</v>
      </c>
      <c r="B7" s="47">
        <v>4918</v>
      </c>
    </row>
    <row r="8" spans="1:2" x14ac:dyDescent="0.3">
      <c r="A8" s="24" t="s">
        <v>57</v>
      </c>
      <c r="B8" s="47">
        <v>5370</v>
      </c>
    </row>
    <row r="9" spans="1:2" x14ac:dyDescent="0.3">
      <c r="A9" s="24" t="s">
        <v>58</v>
      </c>
      <c r="B9" s="47">
        <v>5045</v>
      </c>
    </row>
    <row r="10" spans="1:2" x14ac:dyDescent="0.3">
      <c r="A10" s="24" t="s">
        <v>52</v>
      </c>
      <c r="B10" s="47">
        <v>4173</v>
      </c>
    </row>
    <row r="11" spans="1:2" x14ac:dyDescent="0.3">
      <c r="A11" s="24" t="s">
        <v>109</v>
      </c>
      <c r="B11" s="47">
        <v>33898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0BCD-FF60-4934-B881-E19D37F0923C}">
  <dimension ref="A3:B7"/>
  <sheetViews>
    <sheetView workbookViewId="0">
      <selection activeCell="A3" sqref="A3:B4"/>
    </sheetView>
  </sheetViews>
  <sheetFormatPr defaultRowHeight="14.4" x14ac:dyDescent="0.3"/>
  <cols>
    <col min="1" max="2" width="22.88671875" bestFit="1" customWidth="1"/>
  </cols>
  <sheetData>
    <row r="3" spans="1:2" ht="30" x14ac:dyDescent="0.5">
      <c r="A3" s="73" t="s">
        <v>122</v>
      </c>
      <c r="B3" s="73" t="s">
        <v>121</v>
      </c>
    </row>
    <row r="4" spans="1:2" ht="30" x14ac:dyDescent="0.5">
      <c r="A4" s="74" t="s">
        <v>78</v>
      </c>
      <c r="B4" s="75">
        <v>33898</v>
      </c>
    </row>
    <row r="5" spans="1:2" ht="35.4" x14ac:dyDescent="0.6"/>
    <row r="6" spans="1:2" ht="35.4" x14ac:dyDescent="0.6"/>
    <row r="7" spans="1:2" ht="35.4" x14ac:dyDescent="0.6"/>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734A-1BD1-48BA-AF69-F29E80661310}">
  <dimension ref="A3:B5"/>
  <sheetViews>
    <sheetView workbookViewId="0">
      <selection activeCell="A3" sqref="A3:B4"/>
    </sheetView>
  </sheetViews>
  <sheetFormatPr defaultRowHeight="14.4" x14ac:dyDescent="0.3"/>
  <cols>
    <col min="1" max="1" width="19.5546875" bestFit="1" customWidth="1"/>
    <col min="2" max="2" width="28.44140625" bestFit="1" customWidth="1"/>
  </cols>
  <sheetData>
    <row r="3" spans="1:2" ht="31.2" x14ac:dyDescent="0.6">
      <c r="A3" s="81" t="s">
        <v>122</v>
      </c>
      <c r="B3" s="82" t="s">
        <v>123</v>
      </c>
    </row>
    <row r="4" spans="1:2" ht="31.2" x14ac:dyDescent="0.6">
      <c r="A4" s="83" t="s">
        <v>78</v>
      </c>
      <c r="B4" s="84">
        <v>55.570491803278685</v>
      </c>
    </row>
    <row r="5" spans="1:2" ht="35.4" x14ac:dyDescent="0.6"/>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A4890-652B-4FC9-A051-9816094F5A7C}">
  <dimension ref="A3:B4"/>
  <sheetViews>
    <sheetView workbookViewId="0">
      <selection activeCell="A3" sqref="A3:B4"/>
    </sheetView>
  </sheetViews>
  <sheetFormatPr defaultRowHeight="14.4" x14ac:dyDescent="0.3"/>
  <cols>
    <col min="1" max="1" width="19.5546875" bestFit="1" customWidth="1"/>
    <col min="2" max="2" width="34.77734375" bestFit="1" customWidth="1"/>
  </cols>
  <sheetData>
    <row r="3" spans="1:2" ht="31.2" x14ac:dyDescent="0.6">
      <c r="A3" s="81" t="s">
        <v>122</v>
      </c>
      <c r="B3" s="82" t="s">
        <v>124</v>
      </c>
    </row>
    <row r="4" spans="1:2" ht="31.2" x14ac:dyDescent="0.6">
      <c r="A4" s="83" t="s">
        <v>78</v>
      </c>
      <c r="B4" s="84">
        <v>2746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78695-4F84-472E-98CE-1D5D8E959210}">
  <dimension ref="A3:B4"/>
  <sheetViews>
    <sheetView workbookViewId="0">
      <selection activeCell="A3" sqref="A3:B4"/>
    </sheetView>
  </sheetViews>
  <sheetFormatPr defaultRowHeight="14.4" x14ac:dyDescent="0.3"/>
  <cols>
    <col min="1" max="1" width="19.5546875" bestFit="1" customWidth="1"/>
    <col min="2" max="2" width="31.88671875" bestFit="1" customWidth="1"/>
  </cols>
  <sheetData>
    <row r="3" spans="1:2" ht="31.2" x14ac:dyDescent="0.6">
      <c r="A3" s="81" t="s">
        <v>122</v>
      </c>
      <c r="B3" s="82" t="s">
        <v>125</v>
      </c>
    </row>
    <row r="4" spans="1:2" ht="31.2" x14ac:dyDescent="0.6">
      <c r="A4" s="83" t="s">
        <v>78</v>
      </c>
      <c r="B4" s="84">
        <v>31152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022B8-F03A-43F9-B21C-B6BD6C41BAB8}">
  <dimension ref="A1:B6"/>
  <sheetViews>
    <sheetView workbookViewId="0">
      <selection activeCell="P10" sqref="P10"/>
    </sheetView>
  </sheetViews>
  <sheetFormatPr defaultRowHeight="14.4" x14ac:dyDescent="0.3"/>
  <cols>
    <col min="1" max="1" width="12.5546875" bestFit="1" customWidth="1"/>
    <col min="2" max="2" width="22.33203125" bestFit="1" customWidth="1"/>
  </cols>
  <sheetData>
    <row r="1" spans="1:2" x14ac:dyDescent="0.3">
      <c r="A1" s="46" t="s">
        <v>108</v>
      </c>
      <c r="B1" t="s">
        <v>110</v>
      </c>
    </row>
    <row r="2" spans="1:2" x14ac:dyDescent="0.3">
      <c r="A2" s="24" t="s">
        <v>114</v>
      </c>
      <c r="B2" s="47">
        <v>13462</v>
      </c>
    </row>
    <row r="3" spans="1:2" x14ac:dyDescent="0.3">
      <c r="A3" s="24" t="s">
        <v>113</v>
      </c>
      <c r="B3" s="47">
        <v>9309</v>
      </c>
    </row>
    <row r="4" spans="1:2" x14ac:dyDescent="0.3">
      <c r="A4" s="24" t="s">
        <v>115</v>
      </c>
      <c r="B4" s="47">
        <v>10139</v>
      </c>
    </row>
    <row r="5" spans="1:2" x14ac:dyDescent="0.3">
      <c r="A5" s="24" t="s">
        <v>116</v>
      </c>
      <c r="B5" s="47">
        <v>988</v>
      </c>
    </row>
    <row r="6" spans="1:2" x14ac:dyDescent="0.3">
      <c r="A6" s="24" t="s">
        <v>109</v>
      </c>
      <c r="B6" s="47">
        <v>33898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2989B-5BE6-4602-93CD-C7B85D7DB3D6}">
  <dimension ref="A3:B8"/>
  <sheetViews>
    <sheetView workbookViewId="0">
      <selection activeCell="A3" sqref="A3:B6"/>
    </sheetView>
  </sheetViews>
  <sheetFormatPr defaultRowHeight="14.4" x14ac:dyDescent="0.3"/>
  <cols>
    <col min="1" max="1" width="38.77734375" bestFit="1" customWidth="1"/>
    <col min="2" max="2" width="37.77734375" bestFit="1" customWidth="1"/>
  </cols>
  <sheetData>
    <row r="3" spans="1:2" ht="30" x14ac:dyDescent="0.5">
      <c r="A3" s="79" t="s">
        <v>126</v>
      </c>
      <c r="B3" s="79" t="s">
        <v>127</v>
      </c>
    </row>
    <row r="4" spans="1:2" ht="30" x14ac:dyDescent="0.3">
      <c r="A4" s="77" t="s">
        <v>97</v>
      </c>
      <c r="B4" s="80">
        <v>1650</v>
      </c>
    </row>
    <row r="5" spans="1:2" ht="30" x14ac:dyDescent="0.3">
      <c r="A5" s="77" t="s">
        <v>98</v>
      </c>
      <c r="B5" s="80">
        <v>1927</v>
      </c>
    </row>
    <row r="6" spans="1:2" ht="30" x14ac:dyDescent="0.3">
      <c r="A6" s="77" t="s">
        <v>103</v>
      </c>
      <c r="B6" s="80">
        <v>1985</v>
      </c>
    </row>
    <row r="7" spans="1:2" ht="30" x14ac:dyDescent="0.3"/>
    <row r="8" spans="1:2" ht="30"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90E9-1B07-488B-A5CC-49CBD0C73F9F}">
  <dimension ref="A3:B8"/>
  <sheetViews>
    <sheetView workbookViewId="0">
      <selection activeCell="A3" sqref="A3:B3"/>
    </sheetView>
  </sheetViews>
  <sheetFormatPr defaultRowHeight="14.4" x14ac:dyDescent="0.3"/>
  <cols>
    <col min="1" max="1" width="45.88671875" bestFit="1" customWidth="1"/>
    <col min="2" max="2" width="37.77734375" bestFit="1" customWidth="1"/>
  </cols>
  <sheetData>
    <row r="3" spans="1:2" ht="30" x14ac:dyDescent="0.3">
      <c r="A3" s="76" t="s">
        <v>128</v>
      </c>
      <c r="B3" s="76" t="s">
        <v>127</v>
      </c>
    </row>
    <row r="4" spans="1:2" ht="30" x14ac:dyDescent="0.3">
      <c r="A4" s="77" t="s">
        <v>104</v>
      </c>
      <c r="B4" s="78">
        <v>506</v>
      </c>
    </row>
    <row r="5" spans="1:2" ht="30" x14ac:dyDescent="0.3">
      <c r="A5" s="77" t="s">
        <v>105</v>
      </c>
      <c r="B5" s="78">
        <v>431</v>
      </c>
    </row>
    <row r="6" spans="1:2" ht="30" x14ac:dyDescent="0.3">
      <c r="A6" s="77" t="s">
        <v>106</v>
      </c>
      <c r="B6" s="78">
        <v>571</v>
      </c>
    </row>
    <row r="7" spans="1:2" ht="30" x14ac:dyDescent="0.3"/>
    <row r="8" spans="1:2" ht="30"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E6CE-0020-4AAE-81EF-82EA265B3E51}">
  <dimension ref="A3:B8"/>
  <sheetViews>
    <sheetView topLeftCell="A2" workbookViewId="0">
      <selection activeCell="P22" sqref="P22"/>
    </sheetView>
  </sheetViews>
  <sheetFormatPr defaultRowHeight="14.4" x14ac:dyDescent="0.3"/>
  <cols>
    <col min="1" max="1" width="15.33203125" bestFit="1" customWidth="1"/>
    <col min="2" max="2" width="22.33203125" bestFit="1" customWidth="1"/>
  </cols>
  <sheetData>
    <row r="3" spans="1:2" x14ac:dyDescent="0.3">
      <c r="A3" s="46" t="s">
        <v>108</v>
      </c>
      <c r="B3" t="s">
        <v>110</v>
      </c>
    </row>
    <row r="4" spans="1:2" x14ac:dyDescent="0.3">
      <c r="A4" s="24" t="s">
        <v>32</v>
      </c>
      <c r="B4" s="47">
        <v>21973</v>
      </c>
    </row>
    <row r="5" spans="1:2" x14ac:dyDescent="0.3">
      <c r="A5" s="24" t="s">
        <v>35</v>
      </c>
      <c r="B5" s="47">
        <v>36</v>
      </c>
    </row>
    <row r="6" spans="1:2" x14ac:dyDescent="0.3">
      <c r="A6" s="24" t="s">
        <v>34</v>
      </c>
      <c r="B6" s="47">
        <v>1463</v>
      </c>
    </row>
    <row r="7" spans="1:2" x14ac:dyDescent="0.3">
      <c r="A7" s="24" t="s">
        <v>33</v>
      </c>
      <c r="B7" s="47">
        <v>10426</v>
      </c>
    </row>
    <row r="8" spans="1:2" x14ac:dyDescent="0.3">
      <c r="A8" s="24" t="s">
        <v>109</v>
      </c>
      <c r="B8" s="47">
        <v>33898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C203-7056-44FF-AE51-56E015E4179B}">
  <dimension ref="A1:W614"/>
  <sheetViews>
    <sheetView topLeftCell="L1" zoomScaleNormal="100" workbookViewId="0">
      <selection activeCell="T7" sqref="T7"/>
    </sheetView>
  </sheetViews>
  <sheetFormatPr defaultRowHeight="14.4" x14ac:dyDescent="0.3"/>
  <cols>
    <col min="1" max="1" width="8.21875" bestFit="1" customWidth="1"/>
    <col min="2" max="2" width="10.33203125" customWidth="1"/>
    <col min="3" max="3" width="7.6640625" bestFit="1" customWidth="1"/>
    <col min="4" max="4" width="10.109375" customWidth="1"/>
    <col min="5" max="5" width="12.5546875" style="14" customWidth="1"/>
    <col min="6" max="7" width="13.33203125" customWidth="1"/>
    <col min="8" max="8" width="12.44140625" customWidth="1"/>
    <col min="9" max="9" width="24.33203125" bestFit="1" customWidth="1"/>
    <col min="10" max="11" width="20" bestFit="1" customWidth="1"/>
    <col min="12" max="12" width="14" customWidth="1"/>
    <col min="13" max="13" width="12.33203125" bestFit="1" customWidth="1"/>
    <col min="14" max="14" width="10.21875" bestFit="1" customWidth="1"/>
    <col min="15" max="15" width="12.6640625" bestFit="1" customWidth="1"/>
    <col min="16" max="16" width="14.109375" bestFit="1" customWidth="1"/>
    <col min="17" max="17" width="18.44140625" bestFit="1" customWidth="1"/>
    <col min="18" max="18" width="19.77734375" customWidth="1"/>
    <col min="20" max="20" width="39.21875" bestFit="1" customWidth="1"/>
    <col min="21" max="21" width="19.6640625" customWidth="1"/>
  </cols>
  <sheetData>
    <row r="1" spans="1:22" ht="15.6" x14ac:dyDescent="0.3">
      <c r="A1" s="2" t="s">
        <v>16</v>
      </c>
      <c r="B1" s="3" t="s">
        <v>77</v>
      </c>
      <c r="C1" s="3" t="s">
        <v>18</v>
      </c>
      <c r="D1" s="3" t="s">
        <v>17</v>
      </c>
      <c r="E1" s="3" t="s">
        <v>19</v>
      </c>
      <c r="F1" s="13" t="s">
        <v>20</v>
      </c>
      <c r="G1" s="13" t="s">
        <v>107</v>
      </c>
      <c r="H1" s="3" t="s">
        <v>21</v>
      </c>
      <c r="I1" s="3" t="s">
        <v>22</v>
      </c>
      <c r="J1" s="3" t="s">
        <v>36</v>
      </c>
      <c r="K1" s="3" t="s">
        <v>23</v>
      </c>
      <c r="L1" s="3" t="s">
        <v>24</v>
      </c>
      <c r="M1" s="3" t="s">
        <v>39</v>
      </c>
      <c r="N1" s="3" t="s">
        <v>25</v>
      </c>
      <c r="O1" s="3" t="s">
        <v>26</v>
      </c>
      <c r="P1" s="3" t="s">
        <v>27</v>
      </c>
      <c r="Q1" s="3" t="s">
        <v>28</v>
      </c>
      <c r="R1" s="3" t="s">
        <v>29</v>
      </c>
      <c r="S1" s="3" t="s">
        <v>30</v>
      </c>
    </row>
    <row r="2" spans="1:22" x14ac:dyDescent="0.3">
      <c r="A2" s="4">
        <v>1</v>
      </c>
      <c r="B2" s="7" t="s">
        <v>78</v>
      </c>
      <c r="C2" s="6" t="s">
        <v>78</v>
      </c>
      <c r="D2" s="6" t="s">
        <v>79</v>
      </c>
      <c r="E2" s="6" t="s">
        <v>31</v>
      </c>
      <c r="F2" s="35">
        <v>0</v>
      </c>
      <c r="G2" s="15" t="str">
        <f t="shared" ref="G2:G65" si="0">IF(F2&lt;6,"Night",IF(F2&lt;12,"Morning",IF(F2&lt;18,"Afternoon","Evening")))</f>
        <v>Night</v>
      </c>
      <c r="H2" s="6" t="b">
        <v>0</v>
      </c>
      <c r="I2" s="6" t="s">
        <v>52</v>
      </c>
      <c r="J2" s="6" t="str">
        <f>IF(OR(Dataset_AFinal[[#This Row],[Weekday]]="Sat",Dataset_AFinal[[#This Row],[Weekday]]="Sun"),"Weekend", "Weekday")</f>
        <v>Weekend</v>
      </c>
      <c r="K2" s="6" t="s">
        <v>32</v>
      </c>
      <c r="L2" s="6">
        <v>0.24</v>
      </c>
      <c r="M2" s="6" t="s">
        <v>40</v>
      </c>
      <c r="N2" s="7">
        <v>0.28789999999999999</v>
      </c>
      <c r="O2" s="32">
        <v>0.81</v>
      </c>
      <c r="P2" s="7">
        <v>0</v>
      </c>
      <c r="Q2" s="8">
        <v>3</v>
      </c>
      <c r="R2" s="8">
        <v>13</v>
      </c>
      <c r="S2" s="8">
        <f>SUM(Dataset_AFinal[[#This Row],[Casual_user]:[Registered_user]])</f>
        <v>16</v>
      </c>
    </row>
    <row r="3" spans="1:22" x14ac:dyDescent="0.3">
      <c r="A3" s="4">
        <v>2</v>
      </c>
      <c r="B3" s="7" t="s">
        <v>78</v>
      </c>
      <c r="C3" s="6" t="s">
        <v>78</v>
      </c>
      <c r="D3" s="6" t="s">
        <v>79</v>
      </c>
      <c r="E3" s="6" t="s">
        <v>31</v>
      </c>
      <c r="F3" s="35">
        <v>1</v>
      </c>
      <c r="G3" s="15" t="str">
        <f t="shared" si="0"/>
        <v>Night</v>
      </c>
      <c r="H3" s="6" t="b">
        <v>0</v>
      </c>
      <c r="I3" s="6" t="s">
        <v>52</v>
      </c>
      <c r="J3" s="6" t="str">
        <f>IF(OR(Dataset_AFinal[[#This Row],[Weekday]]="Sat",Dataset_AFinal[[#This Row],[Weekday]]="Sun"),"Weekend", "Weekday")</f>
        <v>Weekend</v>
      </c>
      <c r="K3" s="6" t="s">
        <v>32</v>
      </c>
      <c r="L3" s="6">
        <v>0.22</v>
      </c>
      <c r="M3" s="35" t="s">
        <v>40</v>
      </c>
      <c r="N3" s="7">
        <v>0.2727</v>
      </c>
      <c r="O3" s="32">
        <v>0.8</v>
      </c>
      <c r="P3" s="7">
        <v>0</v>
      </c>
      <c r="Q3" s="8">
        <v>8</v>
      </c>
      <c r="R3" s="8">
        <v>32</v>
      </c>
      <c r="S3" s="8">
        <f>SUM(Dataset_AFinal[[#This Row],[Casual_user]:[Registered_user]])</f>
        <v>40</v>
      </c>
    </row>
    <row r="4" spans="1:22" ht="15.6" x14ac:dyDescent="0.3">
      <c r="A4" s="4">
        <v>3</v>
      </c>
      <c r="B4" s="7" t="s">
        <v>78</v>
      </c>
      <c r="C4" s="6" t="s">
        <v>78</v>
      </c>
      <c r="D4" s="6" t="s">
        <v>79</v>
      </c>
      <c r="E4" s="6" t="s">
        <v>31</v>
      </c>
      <c r="F4" s="35">
        <v>2</v>
      </c>
      <c r="G4" s="15" t="str">
        <f t="shared" si="0"/>
        <v>Night</v>
      </c>
      <c r="H4" s="6" t="b">
        <v>0</v>
      </c>
      <c r="I4" s="6" t="s">
        <v>52</v>
      </c>
      <c r="J4" s="6" t="str">
        <f>IF(OR(Dataset_AFinal[[#This Row],[Weekday]]="Sat",Dataset_AFinal[[#This Row],[Weekday]]="Sun"),"Weekend", "Weekday")</f>
        <v>Weekend</v>
      </c>
      <c r="K4" s="6" t="s">
        <v>32</v>
      </c>
      <c r="L4" s="6">
        <v>0.22</v>
      </c>
      <c r="M4" s="35" t="s">
        <v>40</v>
      </c>
      <c r="N4" s="7">
        <v>0.2727</v>
      </c>
      <c r="O4" s="32">
        <v>0.8</v>
      </c>
      <c r="P4" s="7">
        <v>0</v>
      </c>
      <c r="Q4" s="8">
        <v>5</v>
      </c>
      <c r="R4" s="8">
        <v>27</v>
      </c>
      <c r="S4" s="8">
        <f>SUM(Dataset_AFinal[[#This Row],[Casual_user]:[Registered_user]])</f>
        <v>32</v>
      </c>
      <c r="U4" s="85" t="s">
        <v>37</v>
      </c>
      <c r="V4" s="85"/>
    </row>
    <row r="5" spans="1:22" ht="15.6" x14ac:dyDescent="0.3">
      <c r="A5" s="4">
        <v>4</v>
      </c>
      <c r="B5" s="7" t="s">
        <v>78</v>
      </c>
      <c r="C5" s="6" t="s">
        <v>78</v>
      </c>
      <c r="D5" s="6" t="s">
        <v>79</v>
      </c>
      <c r="E5" s="6" t="s">
        <v>31</v>
      </c>
      <c r="F5" s="35">
        <v>3</v>
      </c>
      <c r="G5" s="15" t="str">
        <f t="shared" si="0"/>
        <v>Night</v>
      </c>
      <c r="H5" s="6" t="b">
        <v>0</v>
      </c>
      <c r="I5" s="6" t="s">
        <v>52</v>
      </c>
      <c r="J5" s="6" t="str">
        <f>IF(OR(Dataset_AFinal[[#This Row],[Weekday]]="Sat",Dataset_AFinal[[#This Row],[Weekday]]="Sun"),"Weekend", "Weekday")</f>
        <v>Weekend</v>
      </c>
      <c r="K5" s="6" t="s">
        <v>32</v>
      </c>
      <c r="L5" s="6">
        <v>0.24</v>
      </c>
      <c r="M5" s="35" t="s">
        <v>40</v>
      </c>
      <c r="N5" s="7">
        <v>0.28789999999999999</v>
      </c>
      <c r="O5" s="32">
        <v>0.75</v>
      </c>
      <c r="P5" s="7">
        <v>0</v>
      </c>
      <c r="Q5" s="8">
        <v>3</v>
      </c>
      <c r="R5" s="8">
        <v>10</v>
      </c>
      <c r="S5" s="8">
        <f>SUM(Dataset_AFinal[[#This Row],[Casual_user]:[Registered_user]])</f>
        <v>13</v>
      </c>
      <c r="U5" s="17" t="s">
        <v>38</v>
      </c>
      <c r="V5" s="18">
        <f>COUNTIF(J2:P610, "Weekend")</f>
        <v>189</v>
      </c>
    </row>
    <row r="6" spans="1:22" ht="15.6" x14ac:dyDescent="0.3">
      <c r="A6" s="4">
        <v>5</v>
      </c>
      <c r="B6" s="7" t="s">
        <v>78</v>
      </c>
      <c r="C6" s="6" t="s">
        <v>78</v>
      </c>
      <c r="D6" s="6" t="s">
        <v>79</v>
      </c>
      <c r="E6" s="6" t="s">
        <v>31</v>
      </c>
      <c r="F6" s="35">
        <v>4</v>
      </c>
      <c r="G6" s="15" t="str">
        <f t="shared" si="0"/>
        <v>Night</v>
      </c>
      <c r="H6" s="6" t="b">
        <v>0</v>
      </c>
      <c r="I6" s="6" t="s">
        <v>52</v>
      </c>
      <c r="J6" s="6" t="str">
        <f>IF(OR(Dataset_AFinal[[#This Row],[Weekday]]="Sat",Dataset_AFinal[[#This Row],[Weekday]]="Sun"),"Weekend", "Weekday")</f>
        <v>Weekend</v>
      </c>
      <c r="K6" s="6" t="s">
        <v>32</v>
      </c>
      <c r="L6" s="6">
        <v>0.24</v>
      </c>
      <c r="M6" s="35" t="s">
        <v>40</v>
      </c>
      <c r="N6" s="7">
        <v>0.28789999999999999</v>
      </c>
      <c r="O6" s="32">
        <v>0.75</v>
      </c>
      <c r="P6" s="7">
        <v>0</v>
      </c>
      <c r="Q6" s="8">
        <v>0</v>
      </c>
      <c r="R6" s="8">
        <v>1</v>
      </c>
      <c r="S6" s="8">
        <f>SUM(Dataset_AFinal[[#This Row],[Casual_user]:[Registered_user]])</f>
        <v>1</v>
      </c>
      <c r="U6" s="17" t="s">
        <v>22</v>
      </c>
      <c r="V6" s="18">
        <f>COUNTIF(J3:P610, "Weekday")</f>
        <v>420</v>
      </c>
    </row>
    <row r="7" spans="1:22" ht="15.6" x14ac:dyDescent="0.3">
      <c r="A7" s="4">
        <v>6</v>
      </c>
      <c r="B7" s="7" t="s">
        <v>78</v>
      </c>
      <c r="C7" s="6" t="s">
        <v>78</v>
      </c>
      <c r="D7" s="6" t="s">
        <v>79</v>
      </c>
      <c r="E7" s="6" t="s">
        <v>31</v>
      </c>
      <c r="F7" s="35">
        <v>5</v>
      </c>
      <c r="G7" s="15" t="str">
        <f t="shared" si="0"/>
        <v>Night</v>
      </c>
      <c r="H7" s="6" t="b">
        <v>0</v>
      </c>
      <c r="I7" s="6" t="s">
        <v>52</v>
      </c>
      <c r="J7" s="6" t="str">
        <f>IF(OR(Dataset_AFinal[[#This Row],[Weekday]]="Sat",Dataset_AFinal[[#This Row],[Weekday]]="Sun"),"Weekend", "Weekday")</f>
        <v>Weekend</v>
      </c>
      <c r="K7" s="6" t="s">
        <v>33</v>
      </c>
      <c r="L7" s="6">
        <v>0.24</v>
      </c>
      <c r="M7" s="35" t="s">
        <v>40</v>
      </c>
      <c r="N7" s="7">
        <v>0.2576</v>
      </c>
      <c r="O7" s="32">
        <v>0.75</v>
      </c>
      <c r="P7" s="7">
        <v>8.9599999999999999E-2</v>
      </c>
      <c r="Q7" s="8">
        <v>0</v>
      </c>
      <c r="R7" s="8">
        <v>1</v>
      </c>
      <c r="S7" s="8">
        <f>SUM(Dataset_AFinal[[#This Row],[Casual_user]:[Registered_user]])</f>
        <v>1</v>
      </c>
      <c r="U7" s="19" t="s">
        <v>24</v>
      </c>
      <c r="V7" s="18">
        <f>COUNT(S2:S610)</f>
        <v>609</v>
      </c>
    </row>
    <row r="8" spans="1:22" ht="15" thickBot="1" x14ac:dyDescent="0.35">
      <c r="A8" s="4">
        <v>7</v>
      </c>
      <c r="B8" s="7" t="s">
        <v>78</v>
      </c>
      <c r="C8" s="6" t="s">
        <v>78</v>
      </c>
      <c r="D8" s="6" t="s">
        <v>79</v>
      </c>
      <c r="E8" s="6" t="s">
        <v>31</v>
      </c>
      <c r="F8" s="35">
        <v>6</v>
      </c>
      <c r="G8" s="15" t="str">
        <f t="shared" si="0"/>
        <v>Morning</v>
      </c>
      <c r="H8" s="6" t="b">
        <v>0</v>
      </c>
      <c r="I8" s="6" t="s">
        <v>52</v>
      </c>
      <c r="J8" s="6" t="str">
        <f>IF(OR(Dataset_AFinal[[#This Row],[Weekday]]="Sat",Dataset_AFinal[[#This Row],[Weekday]]="Sun"),"Weekend", "Weekday")</f>
        <v>Weekend</v>
      </c>
      <c r="K8" s="6" t="s">
        <v>32</v>
      </c>
      <c r="L8" s="6">
        <v>0.22</v>
      </c>
      <c r="M8" s="35" t="s">
        <v>40</v>
      </c>
      <c r="N8" s="7">
        <v>0.2727</v>
      </c>
      <c r="O8" s="32">
        <v>0.8</v>
      </c>
      <c r="P8" s="7">
        <v>0</v>
      </c>
      <c r="Q8" s="8">
        <v>2</v>
      </c>
      <c r="R8" s="8">
        <v>0</v>
      </c>
      <c r="S8" s="8">
        <f>SUM(Dataset_AFinal[[#This Row],[Casual_user]:[Registered_user]])</f>
        <v>2</v>
      </c>
    </row>
    <row r="9" spans="1:22" x14ac:dyDescent="0.3">
      <c r="A9" s="4">
        <v>8</v>
      </c>
      <c r="B9" s="7" t="s">
        <v>78</v>
      </c>
      <c r="C9" s="6" t="s">
        <v>78</v>
      </c>
      <c r="D9" s="6" t="s">
        <v>79</v>
      </c>
      <c r="E9" s="6" t="s">
        <v>31</v>
      </c>
      <c r="F9" s="35">
        <v>7</v>
      </c>
      <c r="G9" s="15" t="str">
        <f t="shared" si="0"/>
        <v>Morning</v>
      </c>
      <c r="H9" s="6" t="b">
        <v>0</v>
      </c>
      <c r="I9" s="6" t="s">
        <v>52</v>
      </c>
      <c r="J9" s="6" t="str">
        <f>IF(OR(Dataset_AFinal[[#This Row],[Weekday]]="Sat",Dataset_AFinal[[#This Row],[Weekday]]="Sun"),"Weekend", "Weekday")</f>
        <v>Weekend</v>
      </c>
      <c r="K9" s="6" t="s">
        <v>32</v>
      </c>
      <c r="L9" s="6">
        <v>0.2</v>
      </c>
      <c r="M9" s="35" t="s">
        <v>40</v>
      </c>
      <c r="N9" s="7">
        <v>0.2576</v>
      </c>
      <c r="O9" s="32">
        <v>0.86</v>
      </c>
      <c r="P9" s="7">
        <v>0</v>
      </c>
      <c r="Q9" s="8">
        <v>1</v>
      </c>
      <c r="R9" s="8">
        <v>2</v>
      </c>
      <c r="S9" s="8">
        <f>SUM(Dataset_AFinal[[#This Row],[Casual_user]:[Registered_user]])</f>
        <v>3</v>
      </c>
      <c r="U9" s="86" t="s">
        <v>24</v>
      </c>
      <c r="V9" s="87"/>
    </row>
    <row r="10" spans="1:22" x14ac:dyDescent="0.3">
      <c r="A10" s="4">
        <v>9</v>
      </c>
      <c r="B10" s="7" t="s">
        <v>78</v>
      </c>
      <c r="C10" s="6" t="s">
        <v>78</v>
      </c>
      <c r="D10" s="6" t="s">
        <v>79</v>
      </c>
      <c r="E10" s="6" t="s">
        <v>31</v>
      </c>
      <c r="F10" s="35">
        <v>8</v>
      </c>
      <c r="G10" s="15" t="str">
        <f t="shared" si="0"/>
        <v>Morning</v>
      </c>
      <c r="H10" s="6" t="b">
        <v>0</v>
      </c>
      <c r="I10" s="6" t="s">
        <v>52</v>
      </c>
      <c r="J10" s="6" t="str">
        <f>IF(OR(Dataset_AFinal[[#This Row],[Weekday]]="Sat",Dataset_AFinal[[#This Row],[Weekday]]="Sun"),"Weekend", "Weekday")</f>
        <v>Weekend</v>
      </c>
      <c r="K10" s="6" t="s">
        <v>32</v>
      </c>
      <c r="L10" s="6">
        <v>0.24</v>
      </c>
      <c r="M10" s="35" t="s">
        <v>40</v>
      </c>
      <c r="N10" s="7">
        <f>0.2</f>
        <v>0.2</v>
      </c>
      <c r="O10" s="32">
        <v>0.75</v>
      </c>
      <c r="P10" s="7">
        <v>0</v>
      </c>
      <c r="Q10" s="8">
        <v>1</v>
      </c>
      <c r="R10" s="8">
        <v>7</v>
      </c>
      <c r="S10" s="8">
        <f>SUM(Dataset_AFinal[[#This Row],[Casual_user]:[Registered_user]])</f>
        <v>8</v>
      </c>
      <c r="U10" s="20" t="s">
        <v>45</v>
      </c>
      <c r="V10" s="21" t="s">
        <v>46</v>
      </c>
    </row>
    <row r="11" spans="1:22" x14ac:dyDescent="0.3">
      <c r="A11" s="4">
        <v>10</v>
      </c>
      <c r="B11" s="7" t="s">
        <v>78</v>
      </c>
      <c r="C11" s="6" t="s">
        <v>78</v>
      </c>
      <c r="D11" s="6" t="s">
        <v>79</v>
      </c>
      <c r="E11" s="6" t="s">
        <v>31</v>
      </c>
      <c r="F11" s="35">
        <v>9</v>
      </c>
      <c r="G11" s="15" t="str">
        <f t="shared" si="0"/>
        <v>Morning</v>
      </c>
      <c r="H11" s="6" t="b">
        <v>0</v>
      </c>
      <c r="I11" s="6" t="s">
        <v>52</v>
      </c>
      <c r="J11" s="6" t="str">
        <f>IF(OR(Dataset_AFinal[[#This Row],[Weekday]]="Sat",Dataset_AFinal[[#This Row],[Weekday]]="Sun"),"Weekend", "Weekday")</f>
        <v>Weekend</v>
      </c>
      <c r="K11" s="6" t="s">
        <v>32</v>
      </c>
      <c r="L11" s="6">
        <v>0.32</v>
      </c>
      <c r="M11" s="35" t="s">
        <v>41</v>
      </c>
      <c r="N11" s="7">
        <v>0.34849999999999998</v>
      </c>
      <c r="O11" s="32">
        <v>0.76</v>
      </c>
      <c r="P11" s="7">
        <v>0</v>
      </c>
      <c r="Q11" s="8">
        <v>8</v>
      </c>
      <c r="R11" s="8">
        <v>6</v>
      </c>
      <c r="S11" s="8">
        <f>SUM(Dataset_AFinal[[#This Row],[Casual_user]:[Registered_user]])</f>
        <v>14</v>
      </c>
      <c r="U11" s="20" t="s">
        <v>47</v>
      </c>
      <c r="V11" s="21" t="s">
        <v>48</v>
      </c>
    </row>
    <row r="12" spans="1:22" x14ac:dyDescent="0.3">
      <c r="A12" s="4">
        <v>11</v>
      </c>
      <c r="B12" s="7" t="s">
        <v>78</v>
      </c>
      <c r="C12" s="6" t="s">
        <v>78</v>
      </c>
      <c r="D12" s="6" t="s">
        <v>79</v>
      </c>
      <c r="E12" s="6" t="s">
        <v>31</v>
      </c>
      <c r="F12" s="35">
        <v>10</v>
      </c>
      <c r="G12" s="15" t="str">
        <f t="shared" si="0"/>
        <v>Morning</v>
      </c>
      <c r="H12" s="6" t="b">
        <v>0</v>
      </c>
      <c r="I12" s="6" t="s">
        <v>52</v>
      </c>
      <c r="J12" s="6" t="str">
        <f>IF(OR(Dataset_AFinal[[#This Row],[Weekday]]="Sat",Dataset_AFinal[[#This Row],[Weekday]]="Sun"),"Weekend", "Weekday")</f>
        <v>Weekend</v>
      </c>
      <c r="K12" s="6" t="s">
        <v>32</v>
      </c>
      <c r="L12" s="6">
        <v>0.38</v>
      </c>
      <c r="M12" s="35" t="s">
        <v>42</v>
      </c>
      <c r="N12" s="7">
        <v>0.39389999999999997</v>
      </c>
      <c r="O12" s="32">
        <v>0.76</v>
      </c>
      <c r="P12" s="7">
        <v>0.25369999999999998</v>
      </c>
      <c r="Q12" s="8">
        <v>12</v>
      </c>
      <c r="R12" s="8">
        <v>24</v>
      </c>
      <c r="S12" s="8">
        <f>SUM(Dataset_AFinal[[#This Row],[Casual_user]:[Registered_user]])</f>
        <v>36</v>
      </c>
      <c r="U12" s="20" t="s">
        <v>49</v>
      </c>
      <c r="V12" s="21" t="s">
        <v>41</v>
      </c>
    </row>
    <row r="13" spans="1:22" x14ac:dyDescent="0.3">
      <c r="A13" s="4">
        <v>12</v>
      </c>
      <c r="B13" s="7" t="s">
        <v>78</v>
      </c>
      <c r="C13" s="6" t="s">
        <v>78</v>
      </c>
      <c r="D13" s="6" t="s">
        <v>79</v>
      </c>
      <c r="E13" s="6" t="s">
        <v>31</v>
      </c>
      <c r="F13" s="35">
        <v>11</v>
      </c>
      <c r="G13" s="15" t="str">
        <f t="shared" si="0"/>
        <v>Morning</v>
      </c>
      <c r="H13" s="6" t="b">
        <v>0</v>
      </c>
      <c r="I13" s="6" t="s">
        <v>52</v>
      </c>
      <c r="J13" s="6" t="str">
        <f>IF(OR(Dataset_AFinal[[#This Row],[Weekday]]="Sat",Dataset_AFinal[[#This Row],[Weekday]]="Sun"),"Weekend", "Weekday")</f>
        <v>Weekend</v>
      </c>
      <c r="K13" s="6" t="s">
        <v>32</v>
      </c>
      <c r="L13" s="6">
        <v>0.36</v>
      </c>
      <c r="M13" s="35" t="s">
        <v>42</v>
      </c>
      <c r="N13" s="7">
        <v>0.33329999999999999</v>
      </c>
      <c r="O13" s="32">
        <v>0.81</v>
      </c>
      <c r="P13" s="7">
        <v>0.28360000000000002</v>
      </c>
      <c r="Q13" s="8">
        <v>26</v>
      </c>
      <c r="R13" s="8">
        <v>30</v>
      </c>
      <c r="S13" s="8">
        <f>SUM(Dataset_AFinal[[#This Row],[Casual_user]:[Registered_user]])</f>
        <v>56</v>
      </c>
      <c r="U13" s="20" t="s">
        <v>50</v>
      </c>
      <c r="V13" s="21" t="s">
        <v>42</v>
      </c>
    </row>
    <row r="14" spans="1:22" ht="15" thickBot="1" x14ac:dyDescent="0.35">
      <c r="A14" s="4">
        <v>13</v>
      </c>
      <c r="B14" s="7" t="s">
        <v>78</v>
      </c>
      <c r="C14" s="6" t="s">
        <v>78</v>
      </c>
      <c r="D14" s="6" t="s">
        <v>79</v>
      </c>
      <c r="E14" s="6" t="s">
        <v>31</v>
      </c>
      <c r="F14" s="35">
        <v>12</v>
      </c>
      <c r="G14" s="15" t="str">
        <f t="shared" si="0"/>
        <v>Afternoon</v>
      </c>
      <c r="H14" s="6" t="b">
        <v>0</v>
      </c>
      <c r="I14" s="6" t="s">
        <v>52</v>
      </c>
      <c r="J14" s="6" t="str">
        <f>IF(OR(Dataset_AFinal[[#This Row],[Weekday]]="Sat",Dataset_AFinal[[#This Row],[Weekday]]="Sun"),"Weekend", "Weekday")</f>
        <v>Weekend</v>
      </c>
      <c r="K14" s="6" t="s">
        <v>32</v>
      </c>
      <c r="L14" s="6">
        <v>0.42</v>
      </c>
      <c r="M14" s="35" t="s">
        <v>43</v>
      </c>
      <c r="N14" s="7">
        <v>0.42420000000000002</v>
      </c>
      <c r="O14" s="32">
        <v>0.77</v>
      </c>
      <c r="P14" s="7">
        <v>0.28360000000000002</v>
      </c>
      <c r="Q14" s="8">
        <v>29</v>
      </c>
      <c r="R14" s="8">
        <v>55</v>
      </c>
      <c r="S14" s="8">
        <f>SUM(Dataset_AFinal[[#This Row],[Casual_user]:[Registered_user]])</f>
        <v>84</v>
      </c>
      <c r="U14" s="22" t="s">
        <v>51</v>
      </c>
      <c r="V14" s="23" t="s">
        <v>43</v>
      </c>
    </row>
    <row r="15" spans="1:22" x14ac:dyDescent="0.3">
      <c r="A15" s="4">
        <v>14</v>
      </c>
      <c r="B15" s="7" t="s">
        <v>78</v>
      </c>
      <c r="C15" s="6" t="s">
        <v>78</v>
      </c>
      <c r="D15" s="6" t="s">
        <v>79</v>
      </c>
      <c r="E15" s="6" t="s">
        <v>31</v>
      </c>
      <c r="F15" s="35">
        <v>13</v>
      </c>
      <c r="G15" s="15" t="str">
        <f t="shared" si="0"/>
        <v>Afternoon</v>
      </c>
      <c r="H15" s="6" t="b">
        <v>0</v>
      </c>
      <c r="I15" s="6" t="s">
        <v>52</v>
      </c>
      <c r="J15" s="6" t="str">
        <f>IF(OR(Dataset_AFinal[[#This Row],[Weekday]]="Sat",Dataset_AFinal[[#This Row],[Weekday]]="Sun"),"Weekend", "Weekday")</f>
        <v>Weekend</v>
      </c>
      <c r="K15" s="6" t="s">
        <v>33</v>
      </c>
      <c r="L15" s="6">
        <v>0.46</v>
      </c>
      <c r="M15" s="35" t="s">
        <v>43</v>
      </c>
      <c r="N15" s="7">
        <v>0.45450000000000002</v>
      </c>
      <c r="O15" s="32">
        <v>0.72</v>
      </c>
      <c r="P15" s="7">
        <v>0.29849999999999999</v>
      </c>
      <c r="Q15" s="8">
        <v>47</v>
      </c>
      <c r="R15" s="8">
        <v>47</v>
      </c>
      <c r="S15" s="8">
        <f>SUM(Dataset_AFinal[[#This Row],[Casual_user]:[Registered_user]])</f>
        <v>94</v>
      </c>
    </row>
    <row r="16" spans="1:22" x14ac:dyDescent="0.3">
      <c r="A16" s="4">
        <v>15</v>
      </c>
      <c r="B16" s="7" t="s">
        <v>78</v>
      </c>
      <c r="C16" s="6" t="s">
        <v>78</v>
      </c>
      <c r="D16" s="6" t="s">
        <v>79</v>
      </c>
      <c r="E16" s="6" t="s">
        <v>31</v>
      </c>
      <c r="F16" s="35">
        <v>14</v>
      </c>
      <c r="G16" s="15" t="str">
        <f t="shared" si="0"/>
        <v>Afternoon</v>
      </c>
      <c r="H16" s="6" t="b">
        <v>0</v>
      </c>
      <c r="I16" s="6" t="s">
        <v>52</v>
      </c>
      <c r="J16" s="6" t="str">
        <f>IF(OR(Dataset_AFinal[[#This Row],[Weekday]]="Sat",Dataset_AFinal[[#This Row],[Weekday]]="Sun"),"Weekend", "Weekday")</f>
        <v>Weekend</v>
      </c>
      <c r="K16" s="6" t="s">
        <v>33</v>
      </c>
      <c r="L16" s="6">
        <v>0.46</v>
      </c>
      <c r="M16" s="35" t="s">
        <v>43</v>
      </c>
      <c r="N16" s="7">
        <v>0.45450000000000002</v>
      </c>
      <c r="O16" s="32">
        <v>0.72</v>
      </c>
      <c r="P16" s="7">
        <v>0.28360000000000002</v>
      </c>
      <c r="Q16" s="8">
        <v>35</v>
      </c>
      <c r="R16" s="8">
        <v>71</v>
      </c>
      <c r="S16" s="8">
        <f>SUM(Dataset_AFinal[[#This Row],[Casual_user]:[Registered_user]])</f>
        <v>106</v>
      </c>
      <c r="U16" s="31" t="s">
        <v>59</v>
      </c>
      <c r="V16" s="31"/>
    </row>
    <row r="17" spans="1:23" x14ac:dyDescent="0.3">
      <c r="A17" s="4">
        <v>16</v>
      </c>
      <c r="B17" s="7" t="s">
        <v>78</v>
      </c>
      <c r="C17" s="6" t="s">
        <v>78</v>
      </c>
      <c r="D17" s="6" t="s">
        <v>79</v>
      </c>
      <c r="E17" s="6" t="s">
        <v>31</v>
      </c>
      <c r="F17" s="35">
        <v>15</v>
      </c>
      <c r="G17" s="15" t="str">
        <f t="shared" si="0"/>
        <v>Afternoon</v>
      </c>
      <c r="H17" s="6" t="b">
        <v>0</v>
      </c>
      <c r="I17" s="6" t="s">
        <v>52</v>
      </c>
      <c r="J17" s="6" t="str">
        <f>IF(OR(Dataset_AFinal[[#This Row],[Weekday]]="Sat",Dataset_AFinal[[#This Row],[Weekday]]="Sun"),"Weekend", "Weekday")</f>
        <v>Weekend</v>
      </c>
      <c r="K17" s="6" t="s">
        <v>33</v>
      </c>
      <c r="L17" s="6">
        <v>0.44</v>
      </c>
      <c r="M17" s="35" t="s">
        <v>43</v>
      </c>
      <c r="N17" s="7">
        <v>0.43940000000000001</v>
      </c>
      <c r="O17" s="32">
        <v>0.77</v>
      </c>
      <c r="P17" s="7">
        <v>0.29849999999999999</v>
      </c>
      <c r="Q17" s="8">
        <v>40</v>
      </c>
      <c r="R17" s="8">
        <v>70</v>
      </c>
      <c r="S17" s="8">
        <f>SUM(Dataset_AFinal[[#This Row],[Casual_user]:[Registered_user]])</f>
        <v>110</v>
      </c>
    </row>
    <row r="18" spans="1:23" ht="15.6" x14ac:dyDescent="0.3">
      <c r="A18" s="4">
        <v>17</v>
      </c>
      <c r="B18" s="7" t="s">
        <v>78</v>
      </c>
      <c r="C18" s="6" t="s">
        <v>78</v>
      </c>
      <c r="D18" s="6" t="s">
        <v>79</v>
      </c>
      <c r="E18" s="6" t="s">
        <v>31</v>
      </c>
      <c r="F18" s="35">
        <v>16</v>
      </c>
      <c r="G18" s="15" t="str">
        <f t="shared" si="0"/>
        <v>Afternoon</v>
      </c>
      <c r="H18" s="6" t="b">
        <v>0</v>
      </c>
      <c r="I18" s="6" t="s">
        <v>52</v>
      </c>
      <c r="J18" s="6" t="str">
        <f>IF(OR(Dataset_AFinal[[#This Row],[Weekday]]="Sat",Dataset_AFinal[[#This Row],[Weekday]]="Sun"),"Weekend", "Weekday")</f>
        <v>Weekend</v>
      </c>
      <c r="K18" s="6" t="s">
        <v>33</v>
      </c>
      <c r="L18" s="6">
        <v>0.42</v>
      </c>
      <c r="M18" s="35" t="s">
        <v>43</v>
      </c>
      <c r="N18" s="7">
        <v>0.42420000000000002</v>
      </c>
      <c r="O18" s="32">
        <v>0.82</v>
      </c>
      <c r="P18" s="7">
        <v>0.29849999999999999</v>
      </c>
      <c r="Q18" s="8">
        <v>41</v>
      </c>
      <c r="R18" s="8">
        <v>52</v>
      </c>
      <c r="S18" s="8">
        <f>SUM(Dataset_AFinal[[#This Row],[Casual_user]:[Registered_user]])</f>
        <v>93</v>
      </c>
      <c r="U18" s="17" t="s">
        <v>62</v>
      </c>
      <c r="V18" s="17" t="s">
        <v>63</v>
      </c>
    </row>
    <row r="19" spans="1:23" ht="15.6" x14ac:dyDescent="0.3">
      <c r="A19" s="4">
        <v>18</v>
      </c>
      <c r="B19" s="7" t="s">
        <v>78</v>
      </c>
      <c r="C19" s="6" t="s">
        <v>78</v>
      </c>
      <c r="D19" s="6" t="s">
        <v>79</v>
      </c>
      <c r="E19" s="6" t="s">
        <v>31</v>
      </c>
      <c r="F19" s="35">
        <v>17</v>
      </c>
      <c r="G19" s="15" t="str">
        <f t="shared" si="0"/>
        <v>Afternoon</v>
      </c>
      <c r="H19" s="6" t="b">
        <v>0</v>
      </c>
      <c r="I19" s="6" t="s">
        <v>52</v>
      </c>
      <c r="J19" s="6" t="str">
        <f>IF(OR(Dataset_AFinal[[#This Row],[Weekday]]="Sat",Dataset_AFinal[[#This Row],[Weekday]]="Sun"),"Weekend", "Weekday")</f>
        <v>Weekend</v>
      </c>
      <c r="K19" s="6" t="s">
        <v>33</v>
      </c>
      <c r="L19" s="6">
        <v>0.44</v>
      </c>
      <c r="M19" s="35" t="s">
        <v>43</v>
      </c>
      <c r="N19" s="7">
        <f>0.2</f>
        <v>0.2</v>
      </c>
      <c r="O19" s="32">
        <v>0.82</v>
      </c>
      <c r="P19" s="7">
        <v>0.28360000000000002</v>
      </c>
      <c r="Q19" s="8">
        <v>15</v>
      </c>
      <c r="R19" s="8">
        <v>52</v>
      </c>
      <c r="S19" s="8">
        <f>SUM(Dataset_AFinal[[#This Row],[Casual_user]:[Registered_user]])</f>
        <v>67</v>
      </c>
      <c r="U19" s="17" t="s">
        <v>64</v>
      </c>
      <c r="V19" s="17" t="s">
        <v>65</v>
      </c>
    </row>
    <row r="20" spans="1:23" x14ac:dyDescent="0.3">
      <c r="A20" s="4">
        <v>19</v>
      </c>
      <c r="B20" s="7" t="s">
        <v>78</v>
      </c>
      <c r="C20" s="6" t="s">
        <v>78</v>
      </c>
      <c r="D20" s="6" t="s">
        <v>79</v>
      </c>
      <c r="E20" s="6" t="s">
        <v>31</v>
      </c>
      <c r="F20" s="35">
        <v>18</v>
      </c>
      <c r="G20" s="15" t="str">
        <f t="shared" si="0"/>
        <v>Evening</v>
      </c>
      <c r="H20" s="6" t="b">
        <v>0</v>
      </c>
      <c r="I20" s="6" t="s">
        <v>52</v>
      </c>
      <c r="J20" s="6" t="str">
        <f>IF(OR(Dataset_AFinal[[#This Row],[Weekday]]="Sat",Dataset_AFinal[[#This Row],[Weekday]]="Sun"),"Weekend", "Weekday")</f>
        <v>Weekend</v>
      </c>
      <c r="K20" s="6" t="s">
        <v>34</v>
      </c>
      <c r="L20" s="6">
        <v>0.42</v>
      </c>
      <c r="M20" s="35" t="s">
        <v>43</v>
      </c>
      <c r="N20" s="7">
        <v>0.42420000000000002</v>
      </c>
      <c r="O20" s="32">
        <v>0.88</v>
      </c>
      <c r="P20" s="7">
        <v>0.25369999999999998</v>
      </c>
      <c r="Q20" s="8">
        <v>9</v>
      </c>
      <c r="R20" s="8">
        <v>26</v>
      </c>
      <c r="S20" s="8">
        <f>SUM(Dataset_AFinal[[#This Row],[Casual_user]:[Registered_user]])</f>
        <v>35</v>
      </c>
    </row>
    <row r="21" spans="1:23" x14ac:dyDescent="0.3">
      <c r="A21" s="4">
        <v>20</v>
      </c>
      <c r="B21" s="7" t="s">
        <v>78</v>
      </c>
      <c r="C21" s="6" t="s">
        <v>78</v>
      </c>
      <c r="D21" s="6" t="s">
        <v>79</v>
      </c>
      <c r="E21" s="6" t="s">
        <v>31</v>
      </c>
      <c r="F21" s="35">
        <v>19</v>
      </c>
      <c r="G21" s="15" t="str">
        <f t="shared" si="0"/>
        <v>Evening</v>
      </c>
      <c r="H21" s="6" t="b">
        <v>0</v>
      </c>
      <c r="I21" s="6" t="s">
        <v>52</v>
      </c>
      <c r="J21" s="6" t="str">
        <f>IF(OR(Dataset_AFinal[[#This Row],[Weekday]]="Sat",Dataset_AFinal[[#This Row],[Weekday]]="Sun"),"Weekend", "Weekday")</f>
        <v>Weekend</v>
      </c>
      <c r="K21" s="6" t="s">
        <v>34</v>
      </c>
      <c r="L21" s="6">
        <v>0.42</v>
      </c>
      <c r="M21" s="35" t="s">
        <v>43</v>
      </c>
      <c r="N21" s="7">
        <v>0.42420000000000002</v>
      </c>
      <c r="O21" s="32">
        <v>0.88</v>
      </c>
      <c r="P21" s="7">
        <v>0.25369999999999998</v>
      </c>
      <c r="Q21" s="8">
        <v>6</v>
      </c>
      <c r="R21" s="8">
        <v>31</v>
      </c>
      <c r="S21" s="8">
        <f>SUM(Dataset_AFinal[[#This Row],[Casual_user]:[Registered_user]])</f>
        <v>37</v>
      </c>
      <c r="U21" s="34" t="s">
        <v>66</v>
      </c>
      <c r="W21" s="34" t="s">
        <v>73</v>
      </c>
    </row>
    <row r="22" spans="1:23" x14ac:dyDescent="0.3">
      <c r="A22" s="4">
        <v>21</v>
      </c>
      <c r="B22" s="7" t="s">
        <v>78</v>
      </c>
      <c r="C22" s="6" t="s">
        <v>78</v>
      </c>
      <c r="D22" s="6" t="s">
        <v>79</v>
      </c>
      <c r="E22" s="6" t="s">
        <v>31</v>
      </c>
      <c r="F22" s="35">
        <v>20</v>
      </c>
      <c r="G22" s="15" t="str">
        <f t="shared" si="0"/>
        <v>Evening</v>
      </c>
      <c r="H22" s="6" t="b">
        <v>0</v>
      </c>
      <c r="I22" s="6" t="s">
        <v>52</v>
      </c>
      <c r="J22" s="6" t="str">
        <f>IF(OR(Dataset_AFinal[[#This Row],[Weekday]]="Sat",Dataset_AFinal[[#This Row],[Weekday]]="Sun"),"Weekend", "Weekday")</f>
        <v>Weekend</v>
      </c>
      <c r="K22" s="6" t="s">
        <v>33</v>
      </c>
      <c r="L22" s="6">
        <v>0.4</v>
      </c>
      <c r="M22" s="35" t="s">
        <v>42</v>
      </c>
      <c r="N22" s="7">
        <v>0.40910000000000002</v>
      </c>
      <c r="O22" s="32">
        <v>0.87</v>
      </c>
      <c r="P22" s="7">
        <v>0.25369999999999998</v>
      </c>
      <c r="Q22" s="8">
        <v>11</v>
      </c>
      <c r="R22" s="8">
        <v>25</v>
      </c>
      <c r="S22" s="8">
        <f>SUM(Dataset_AFinal[[#This Row],[Casual_user]:[Registered_user]])</f>
        <v>36</v>
      </c>
      <c r="U22" t="s">
        <v>67</v>
      </c>
      <c r="V22" t="s">
        <v>68</v>
      </c>
      <c r="W22" t="s">
        <v>74</v>
      </c>
    </row>
    <row r="23" spans="1:23" x14ac:dyDescent="0.3">
      <c r="A23" s="4">
        <v>22</v>
      </c>
      <c r="B23" s="7" t="s">
        <v>78</v>
      </c>
      <c r="C23" s="6" t="s">
        <v>78</v>
      </c>
      <c r="D23" s="6" t="s">
        <v>79</v>
      </c>
      <c r="E23" s="6" t="s">
        <v>31</v>
      </c>
      <c r="F23" s="35">
        <v>21</v>
      </c>
      <c r="G23" s="15" t="str">
        <f t="shared" si="0"/>
        <v>Evening</v>
      </c>
      <c r="H23" s="6" t="b">
        <v>0</v>
      </c>
      <c r="I23" s="6" t="s">
        <v>52</v>
      </c>
      <c r="J23" s="6" t="str">
        <f>IF(OR(Dataset_AFinal[[#This Row],[Weekday]]="Sat",Dataset_AFinal[[#This Row],[Weekday]]="Sun"),"Weekend", "Weekday")</f>
        <v>Weekend</v>
      </c>
      <c r="K23" s="6" t="s">
        <v>33</v>
      </c>
      <c r="L23" s="6">
        <v>0.4</v>
      </c>
      <c r="M23" s="35" t="s">
        <v>42</v>
      </c>
      <c r="N23" s="7">
        <v>0.40910000000000002</v>
      </c>
      <c r="O23" s="32">
        <v>0.87</v>
      </c>
      <c r="P23" s="7">
        <v>0.19400000000000001</v>
      </c>
      <c r="Q23" s="8">
        <v>3</v>
      </c>
      <c r="R23" s="8">
        <v>31</v>
      </c>
      <c r="S23" s="8">
        <f>SUM(Dataset_AFinal[[#This Row],[Casual_user]:[Registered_user]])</f>
        <v>34</v>
      </c>
      <c r="U23" t="s">
        <v>69</v>
      </c>
      <c r="V23" t="s">
        <v>70</v>
      </c>
      <c r="W23" t="s">
        <v>76</v>
      </c>
    </row>
    <row r="24" spans="1:23" x14ac:dyDescent="0.3">
      <c r="A24" s="4">
        <v>23</v>
      </c>
      <c r="B24" s="7" t="s">
        <v>78</v>
      </c>
      <c r="C24" s="6" t="s">
        <v>78</v>
      </c>
      <c r="D24" s="6" t="s">
        <v>79</v>
      </c>
      <c r="E24" s="6" t="s">
        <v>31</v>
      </c>
      <c r="F24" s="35">
        <v>22</v>
      </c>
      <c r="G24" s="15" t="str">
        <f t="shared" si="0"/>
        <v>Evening</v>
      </c>
      <c r="H24" s="6" t="b">
        <v>0</v>
      </c>
      <c r="I24" s="6" t="s">
        <v>52</v>
      </c>
      <c r="J24" s="6" t="str">
        <f>IF(OR(Dataset_AFinal[[#This Row],[Weekday]]="Sat",Dataset_AFinal[[#This Row],[Weekday]]="Sun"),"Weekend", "Weekday")</f>
        <v>Weekend</v>
      </c>
      <c r="K24" s="6" t="s">
        <v>33</v>
      </c>
      <c r="L24" s="6">
        <v>0.4</v>
      </c>
      <c r="M24" s="35" t="s">
        <v>42</v>
      </c>
      <c r="N24" s="7">
        <v>0.40910000000000002</v>
      </c>
      <c r="O24" s="32">
        <v>0.94</v>
      </c>
      <c r="P24" s="7">
        <v>0.22389999999999999</v>
      </c>
      <c r="Q24" s="8">
        <v>11</v>
      </c>
      <c r="R24" s="8">
        <v>17</v>
      </c>
      <c r="S24" s="8">
        <f>SUM(Dataset_AFinal[[#This Row],[Casual_user]:[Registered_user]])</f>
        <v>28</v>
      </c>
      <c r="U24" t="s">
        <v>71</v>
      </c>
      <c r="V24" t="s">
        <v>72</v>
      </c>
      <c r="W24" t="s">
        <v>75</v>
      </c>
    </row>
    <row r="25" spans="1:23" x14ac:dyDescent="0.3">
      <c r="A25" s="4">
        <v>24</v>
      </c>
      <c r="B25" s="7" t="s">
        <v>78</v>
      </c>
      <c r="C25" s="6" t="s">
        <v>78</v>
      </c>
      <c r="D25" s="6" t="s">
        <v>79</v>
      </c>
      <c r="E25" s="6" t="s">
        <v>31</v>
      </c>
      <c r="F25" s="35">
        <v>23</v>
      </c>
      <c r="G25" s="15" t="str">
        <f t="shared" si="0"/>
        <v>Evening</v>
      </c>
      <c r="H25" s="6" t="b">
        <v>0</v>
      </c>
      <c r="I25" s="6" t="s">
        <v>52</v>
      </c>
      <c r="J25" s="6" t="str">
        <f>IF(OR(Dataset_AFinal[[#This Row],[Weekday]]="Sat",Dataset_AFinal[[#This Row],[Weekday]]="Sun"),"Weekend", "Weekday")</f>
        <v>Weekend</v>
      </c>
      <c r="K25" s="6" t="s">
        <v>33</v>
      </c>
      <c r="L25" s="6">
        <v>0.46</v>
      </c>
      <c r="M25" s="35" t="s">
        <v>43</v>
      </c>
      <c r="N25" s="7">
        <f>0.2</f>
        <v>0.2</v>
      </c>
      <c r="O25" s="32">
        <v>0.88</v>
      </c>
      <c r="P25" s="7">
        <v>0.29849999999999999</v>
      </c>
      <c r="Q25" s="8">
        <v>15</v>
      </c>
      <c r="R25" s="8">
        <v>24</v>
      </c>
      <c r="S25" s="8">
        <f>SUM(Dataset_AFinal[[#This Row],[Casual_user]:[Registered_user]])</f>
        <v>39</v>
      </c>
    </row>
    <row r="26" spans="1:23" x14ac:dyDescent="0.3">
      <c r="A26" s="4">
        <v>25</v>
      </c>
      <c r="B26" s="7" t="s">
        <v>80</v>
      </c>
      <c r="C26" s="6" t="s">
        <v>78</v>
      </c>
      <c r="D26" s="6" t="s">
        <v>79</v>
      </c>
      <c r="E26" s="6" t="s">
        <v>31</v>
      </c>
      <c r="F26" s="35">
        <v>0</v>
      </c>
      <c r="G26" s="15" t="str">
        <f t="shared" si="0"/>
        <v>Night</v>
      </c>
      <c r="H26" s="6" t="b">
        <v>0</v>
      </c>
      <c r="I26" s="6" t="s">
        <v>53</v>
      </c>
      <c r="J26" s="6" t="str">
        <f>IF(OR(Dataset_AFinal[[#This Row],[Weekday]]="Sat",Dataset_AFinal[[#This Row],[Weekday]]="Sun"),"Weekend", "Weekday")</f>
        <v>Weekend</v>
      </c>
      <c r="K26" s="6" t="s">
        <v>33</v>
      </c>
      <c r="L26" s="6">
        <v>0.46</v>
      </c>
      <c r="M26" s="35" t="s">
        <v>43</v>
      </c>
      <c r="N26" s="7">
        <v>0.45450000000000002</v>
      </c>
      <c r="O26" s="32">
        <v>0.88</v>
      </c>
      <c r="P26" s="7">
        <v>0.29849999999999999</v>
      </c>
      <c r="Q26" s="8">
        <v>4</v>
      </c>
      <c r="R26" s="8">
        <v>13</v>
      </c>
      <c r="S26" s="8">
        <f>SUM(Dataset_AFinal[[#This Row],[Casual_user]:[Registered_user]])</f>
        <v>17</v>
      </c>
    </row>
    <row r="27" spans="1:23" x14ac:dyDescent="0.3">
      <c r="A27" s="4">
        <v>26</v>
      </c>
      <c r="B27" s="7" t="s">
        <v>80</v>
      </c>
      <c r="C27" s="6" t="s">
        <v>78</v>
      </c>
      <c r="D27" s="6" t="s">
        <v>79</v>
      </c>
      <c r="E27" s="6" t="s">
        <v>31</v>
      </c>
      <c r="F27" s="35">
        <v>1</v>
      </c>
      <c r="G27" s="15" t="str">
        <f t="shared" si="0"/>
        <v>Night</v>
      </c>
      <c r="H27" s="6" t="b">
        <v>0</v>
      </c>
      <c r="I27" s="6" t="s">
        <v>53</v>
      </c>
      <c r="J27" s="6" t="str">
        <f>IF(OR(Dataset_AFinal[[#This Row],[Weekday]]="Sat",Dataset_AFinal[[#This Row],[Weekday]]="Sun"),"Weekend", "Weekday")</f>
        <v>Weekend</v>
      </c>
      <c r="K27" s="6" t="s">
        <v>33</v>
      </c>
      <c r="L27" s="6">
        <v>0.44</v>
      </c>
      <c r="M27" s="35" t="s">
        <v>43</v>
      </c>
      <c r="N27" s="7">
        <v>0.43940000000000001</v>
      </c>
      <c r="O27" s="32">
        <v>0.94</v>
      </c>
      <c r="P27" s="7">
        <v>0.25369999999999998</v>
      </c>
      <c r="Q27" s="8">
        <v>1</v>
      </c>
      <c r="R27" s="8">
        <v>16</v>
      </c>
      <c r="S27" s="8">
        <f>SUM(Dataset_AFinal[[#This Row],[Casual_user]:[Registered_user]])</f>
        <v>17</v>
      </c>
    </row>
    <row r="28" spans="1:23" x14ac:dyDescent="0.3">
      <c r="A28" s="4">
        <v>27</v>
      </c>
      <c r="B28" s="7" t="s">
        <v>80</v>
      </c>
      <c r="C28" s="6" t="s">
        <v>78</v>
      </c>
      <c r="D28" s="6" t="s">
        <v>79</v>
      </c>
      <c r="E28" s="6" t="s">
        <v>31</v>
      </c>
      <c r="F28" s="35">
        <v>2</v>
      </c>
      <c r="G28" s="15" t="str">
        <f t="shared" si="0"/>
        <v>Night</v>
      </c>
      <c r="H28" s="6" t="b">
        <v>0</v>
      </c>
      <c r="I28" s="6" t="s">
        <v>53</v>
      </c>
      <c r="J28" s="6" t="str">
        <f>IF(OR(Dataset_AFinal[[#This Row],[Weekday]]="Sat",Dataset_AFinal[[#This Row],[Weekday]]="Sun"),"Weekend", "Weekday")</f>
        <v>Weekend</v>
      </c>
      <c r="K28" s="6" t="s">
        <v>33</v>
      </c>
      <c r="L28" s="6">
        <v>0.42</v>
      </c>
      <c r="M28" s="35" t="s">
        <v>43</v>
      </c>
      <c r="N28" s="7">
        <v>0.42420000000000002</v>
      </c>
      <c r="O28" s="32">
        <v>1</v>
      </c>
      <c r="P28" s="7">
        <v>0.28360000000000002</v>
      </c>
      <c r="Q28" s="8">
        <v>1</v>
      </c>
      <c r="R28" s="8">
        <v>8</v>
      </c>
      <c r="S28" s="8">
        <f>SUM(Dataset_AFinal[[#This Row],[Casual_user]:[Registered_user]])</f>
        <v>9</v>
      </c>
    </row>
    <row r="29" spans="1:23" x14ac:dyDescent="0.3">
      <c r="A29" s="4">
        <v>28</v>
      </c>
      <c r="B29" s="7" t="s">
        <v>80</v>
      </c>
      <c r="C29" s="6" t="s">
        <v>78</v>
      </c>
      <c r="D29" s="6" t="s">
        <v>79</v>
      </c>
      <c r="E29" s="6" t="s">
        <v>31</v>
      </c>
      <c r="F29" s="35">
        <v>3</v>
      </c>
      <c r="G29" s="15" t="str">
        <f t="shared" si="0"/>
        <v>Night</v>
      </c>
      <c r="H29" s="6" t="b">
        <v>0</v>
      </c>
      <c r="I29" s="6" t="s">
        <v>53</v>
      </c>
      <c r="J29" s="6" t="str">
        <f>IF(OR(Dataset_AFinal[[#This Row],[Weekday]]="Sat",Dataset_AFinal[[#This Row],[Weekday]]="Sun"),"Weekend", "Weekday")</f>
        <v>Weekend</v>
      </c>
      <c r="K29" s="6" t="s">
        <v>33</v>
      </c>
      <c r="L29" s="6">
        <v>0.46</v>
      </c>
      <c r="M29" s="35" t="s">
        <v>43</v>
      </c>
      <c r="N29" s="7">
        <v>0.45450000000000002</v>
      </c>
      <c r="O29" s="32">
        <v>0.94</v>
      </c>
      <c r="P29" s="7">
        <v>0.19400000000000001</v>
      </c>
      <c r="Q29" s="8">
        <v>2</v>
      </c>
      <c r="R29" s="8">
        <v>4</v>
      </c>
      <c r="S29" s="8">
        <f>SUM(Dataset_AFinal[[#This Row],[Casual_user]:[Registered_user]])</f>
        <v>6</v>
      </c>
    </row>
    <row r="30" spans="1:23" x14ac:dyDescent="0.3">
      <c r="A30" s="4">
        <v>29</v>
      </c>
      <c r="B30" s="7" t="s">
        <v>80</v>
      </c>
      <c r="C30" s="6" t="s">
        <v>78</v>
      </c>
      <c r="D30" s="6" t="s">
        <v>79</v>
      </c>
      <c r="E30" s="6" t="s">
        <v>31</v>
      </c>
      <c r="F30" s="35">
        <v>4</v>
      </c>
      <c r="G30" s="15" t="str">
        <f t="shared" si="0"/>
        <v>Night</v>
      </c>
      <c r="H30" s="6" t="b">
        <v>0</v>
      </c>
      <c r="I30" s="6" t="s">
        <v>53</v>
      </c>
      <c r="J30" s="6" t="str">
        <f>IF(OR(Dataset_AFinal[[#This Row],[Weekday]]="Sat",Dataset_AFinal[[#This Row],[Weekday]]="Sun"),"Weekend", "Weekday")</f>
        <v>Weekend</v>
      </c>
      <c r="K30" s="6" t="s">
        <v>33</v>
      </c>
      <c r="L30" s="6">
        <v>0.46</v>
      </c>
      <c r="M30" s="35" t="s">
        <v>43</v>
      </c>
      <c r="N30" s="7">
        <f>0.2</f>
        <v>0.2</v>
      </c>
      <c r="O30" s="32">
        <v>0.94</v>
      </c>
      <c r="P30" s="7">
        <v>0.19400000000000001</v>
      </c>
      <c r="Q30" s="8">
        <v>2</v>
      </c>
      <c r="R30" s="8">
        <v>1</v>
      </c>
      <c r="S30" s="8">
        <f>SUM(Dataset_AFinal[[#This Row],[Casual_user]:[Registered_user]])</f>
        <v>3</v>
      </c>
    </row>
    <row r="31" spans="1:23" x14ac:dyDescent="0.3">
      <c r="A31" s="4">
        <v>30</v>
      </c>
      <c r="B31" s="7" t="s">
        <v>80</v>
      </c>
      <c r="C31" s="6" t="s">
        <v>78</v>
      </c>
      <c r="D31" s="6" t="s">
        <v>79</v>
      </c>
      <c r="E31" s="6" t="s">
        <v>31</v>
      </c>
      <c r="F31" s="35">
        <v>6</v>
      </c>
      <c r="G31" s="15" t="str">
        <f t="shared" si="0"/>
        <v>Morning</v>
      </c>
      <c r="H31" s="6" t="b">
        <v>0</v>
      </c>
      <c r="I31" s="6" t="s">
        <v>53</v>
      </c>
      <c r="J31" s="6" t="str">
        <f>IF(OR(Dataset_AFinal[[#This Row],[Weekday]]="Sat",Dataset_AFinal[[#This Row],[Weekday]]="Sun"),"Weekend", "Weekday")</f>
        <v>Weekend</v>
      </c>
      <c r="K31" s="6" t="s">
        <v>34</v>
      </c>
      <c r="L31" s="6">
        <v>0.42</v>
      </c>
      <c r="M31" s="35" t="s">
        <v>43</v>
      </c>
      <c r="N31" s="7">
        <v>0.42420000000000002</v>
      </c>
      <c r="O31" s="32">
        <v>0.77</v>
      </c>
      <c r="P31" s="7">
        <v>0.29849999999999999</v>
      </c>
      <c r="Q31" s="8">
        <v>0</v>
      </c>
      <c r="R31" s="8">
        <v>2</v>
      </c>
      <c r="S31" s="8">
        <f>SUM(Dataset_AFinal[[#This Row],[Casual_user]:[Registered_user]])</f>
        <v>2</v>
      </c>
    </row>
    <row r="32" spans="1:23" x14ac:dyDescent="0.3">
      <c r="A32" s="4">
        <v>31</v>
      </c>
      <c r="B32" s="7" t="s">
        <v>80</v>
      </c>
      <c r="C32" s="6" t="s">
        <v>78</v>
      </c>
      <c r="D32" s="6" t="s">
        <v>79</v>
      </c>
      <c r="E32" s="6" t="s">
        <v>31</v>
      </c>
      <c r="F32" s="35">
        <v>7</v>
      </c>
      <c r="G32" s="15" t="str">
        <f t="shared" si="0"/>
        <v>Morning</v>
      </c>
      <c r="H32" s="6" t="b">
        <v>0</v>
      </c>
      <c r="I32" s="6" t="s">
        <v>53</v>
      </c>
      <c r="J32" s="6" t="str">
        <f>IF(OR(Dataset_AFinal[[#This Row],[Weekday]]="Sat",Dataset_AFinal[[#This Row],[Weekday]]="Sun"),"Weekend", "Weekday")</f>
        <v>Weekend</v>
      </c>
      <c r="K32" s="6" t="s">
        <v>33</v>
      </c>
      <c r="L32" s="6">
        <v>0.4</v>
      </c>
      <c r="M32" s="35" t="s">
        <v>42</v>
      </c>
      <c r="N32" s="7">
        <v>0.40910000000000002</v>
      </c>
      <c r="O32" s="32">
        <v>0.76</v>
      </c>
      <c r="P32" s="7">
        <v>0.19400000000000001</v>
      </c>
      <c r="Q32" s="8">
        <v>0</v>
      </c>
      <c r="R32" s="8">
        <v>1</v>
      </c>
      <c r="S32" s="8">
        <f>SUM(Dataset_AFinal[[#This Row],[Casual_user]:[Registered_user]])</f>
        <v>1</v>
      </c>
    </row>
    <row r="33" spans="1:19" x14ac:dyDescent="0.3">
      <c r="A33" s="4">
        <v>32</v>
      </c>
      <c r="B33" s="7" t="s">
        <v>80</v>
      </c>
      <c r="C33" s="6" t="s">
        <v>78</v>
      </c>
      <c r="D33" s="6" t="s">
        <v>79</v>
      </c>
      <c r="E33" s="6" t="s">
        <v>31</v>
      </c>
      <c r="F33" s="35">
        <v>8</v>
      </c>
      <c r="G33" s="15" t="str">
        <f t="shared" si="0"/>
        <v>Morning</v>
      </c>
      <c r="H33" s="6" t="b">
        <v>0</v>
      </c>
      <c r="I33" s="6" t="s">
        <v>53</v>
      </c>
      <c r="J33" s="6" t="str">
        <f>IF(OR(Dataset_AFinal[[#This Row],[Weekday]]="Sat",Dataset_AFinal[[#This Row],[Weekday]]="Sun"),"Weekend", "Weekday")</f>
        <v>Weekend</v>
      </c>
      <c r="K33" s="6" t="s">
        <v>34</v>
      </c>
      <c r="L33" s="6">
        <v>0.4</v>
      </c>
      <c r="M33" s="35" t="s">
        <v>42</v>
      </c>
      <c r="N33" s="7">
        <v>0.40910000000000002</v>
      </c>
      <c r="O33" s="32">
        <v>0.71</v>
      </c>
      <c r="P33" s="7">
        <v>0.22389999999999999</v>
      </c>
      <c r="Q33" s="8">
        <v>0</v>
      </c>
      <c r="R33" s="8">
        <v>8</v>
      </c>
      <c r="S33" s="8">
        <f>SUM(Dataset_AFinal[[#This Row],[Casual_user]:[Registered_user]])</f>
        <v>8</v>
      </c>
    </row>
    <row r="34" spans="1:19" x14ac:dyDescent="0.3">
      <c r="A34" s="4">
        <v>33</v>
      </c>
      <c r="B34" s="7" t="s">
        <v>80</v>
      </c>
      <c r="C34" s="6" t="s">
        <v>78</v>
      </c>
      <c r="D34" s="6" t="s">
        <v>79</v>
      </c>
      <c r="E34" s="6" t="s">
        <v>31</v>
      </c>
      <c r="F34" s="35">
        <v>9</v>
      </c>
      <c r="G34" s="15" t="str">
        <f t="shared" si="0"/>
        <v>Morning</v>
      </c>
      <c r="H34" s="6" t="b">
        <v>0</v>
      </c>
      <c r="I34" s="6" t="s">
        <v>53</v>
      </c>
      <c r="J34" s="6" t="str">
        <f>IF(OR(Dataset_AFinal[[#This Row],[Weekday]]="Sat",Dataset_AFinal[[#This Row],[Weekday]]="Sun"),"Weekend", "Weekday")</f>
        <v>Weekend</v>
      </c>
      <c r="K34" s="6" t="s">
        <v>33</v>
      </c>
      <c r="L34" s="6">
        <v>0.38</v>
      </c>
      <c r="M34" s="35" t="s">
        <v>42</v>
      </c>
      <c r="N34" s="7">
        <f>0.2</f>
        <v>0.2</v>
      </c>
      <c r="O34" s="32">
        <v>0.76</v>
      </c>
      <c r="P34" s="7">
        <v>0.22389999999999999</v>
      </c>
      <c r="Q34" s="8">
        <v>1</v>
      </c>
      <c r="R34" s="8">
        <v>19</v>
      </c>
      <c r="S34" s="8">
        <f>SUM(Dataset_AFinal[[#This Row],[Casual_user]:[Registered_user]])</f>
        <v>20</v>
      </c>
    </row>
    <row r="35" spans="1:19" x14ac:dyDescent="0.3">
      <c r="A35" s="4">
        <v>34</v>
      </c>
      <c r="B35" s="7" t="s">
        <v>80</v>
      </c>
      <c r="C35" s="6" t="s">
        <v>78</v>
      </c>
      <c r="D35" s="6" t="s">
        <v>79</v>
      </c>
      <c r="E35" s="6" t="s">
        <v>31</v>
      </c>
      <c r="F35" s="35">
        <v>10</v>
      </c>
      <c r="G35" s="15" t="str">
        <f t="shared" si="0"/>
        <v>Morning</v>
      </c>
      <c r="H35" s="6" t="b">
        <v>0</v>
      </c>
      <c r="I35" s="6" t="s">
        <v>53</v>
      </c>
      <c r="J35" s="6" t="str">
        <f>IF(OR(Dataset_AFinal[[#This Row],[Weekday]]="Sat",Dataset_AFinal[[#This Row],[Weekday]]="Sun"),"Weekend", "Weekday")</f>
        <v>Weekend</v>
      </c>
      <c r="K35" s="6" t="s">
        <v>33</v>
      </c>
      <c r="L35" s="6">
        <v>0.36</v>
      </c>
      <c r="M35" s="35" t="s">
        <v>42</v>
      </c>
      <c r="N35" s="7">
        <v>0.34849999999999998</v>
      </c>
      <c r="O35" s="32">
        <v>0.81</v>
      </c>
      <c r="P35" s="7">
        <v>0.22389999999999999</v>
      </c>
      <c r="Q35" s="8">
        <v>7</v>
      </c>
      <c r="R35" s="8">
        <v>46</v>
      </c>
      <c r="S35" s="8">
        <f>SUM(Dataset_AFinal[[#This Row],[Casual_user]:[Registered_user]])</f>
        <v>53</v>
      </c>
    </row>
    <row r="36" spans="1:19" x14ac:dyDescent="0.3">
      <c r="A36" s="4">
        <v>35</v>
      </c>
      <c r="B36" s="7" t="s">
        <v>80</v>
      </c>
      <c r="C36" s="6" t="s">
        <v>78</v>
      </c>
      <c r="D36" s="6" t="s">
        <v>79</v>
      </c>
      <c r="E36" s="6" t="s">
        <v>31</v>
      </c>
      <c r="F36" s="35">
        <v>11</v>
      </c>
      <c r="G36" s="15" t="str">
        <f t="shared" si="0"/>
        <v>Morning</v>
      </c>
      <c r="H36" s="6" t="b">
        <v>0</v>
      </c>
      <c r="I36" s="6" t="s">
        <v>53</v>
      </c>
      <c r="J36" s="6" t="str">
        <f>IF(OR(Dataset_AFinal[[#This Row],[Weekday]]="Sat",Dataset_AFinal[[#This Row],[Weekday]]="Sun"),"Weekend", "Weekday")</f>
        <v>Weekend</v>
      </c>
      <c r="K36" s="6" t="s">
        <v>33</v>
      </c>
      <c r="L36" s="6">
        <v>0.36</v>
      </c>
      <c r="M36" s="35" t="s">
        <v>42</v>
      </c>
      <c r="N36" s="7">
        <v>0.33329999999999999</v>
      </c>
      <c r="O36" s="32">
        <v>0.71</v>
      </c>
      <c r="P36" s="7">
        <v>0.25369999999999998</v>
      </c>
      <c r="Q36" s="8">
        <v>16</v>
      </c>
      <c r="R36" s="8">
        <v>54</v>
      </c>
      <c r="S36" s="8">
        <f>SUM(Dataset_AFinal[[#This Row],[Casual_user]:[Registered_user]])</f>
        <v>70</v>
      </c>
    </row>
    <row r="37" spans="1:19" x14ac:dyDescent="0.3">
      <c r="A37" s="4">
        <v>36</v>
      </c>
      <c r="B37" s="7" t="s">
        <v>80</v>
      </c>
      <c r="C37" s="6" t="s">
        <v>78</v>
      </c>
      <c r="D37" s="6" t="s">
        <v>79</v>
      </c>
      <c r="E37" s="6" t="s">
        <v>31</v>
      </c>
      <c r="F37" s="35">
        <v>12</v>
      </c>
      <c r="G37" s="15" t="str">
        <f t="shared" si="0"/>
        <v>Afternoon</v>
      </c>
      <c r="H37" s="6" t="b">
        <v>0</v>
      </c>
      <c r="I37" s="6" t="s">
        <v>53</v>
      </c>
      <c r="J37" s="6" t="str">
        <f>IF(OR(Dataset_AFinal[[#This Row],[Weekday]]="Sat",Dataset_AFinal[[#This Row],[Weekday]]="Sun"),"Weekend", "Weekday")</f>
        <v>Weekend</v>
      </c>
      <c r="K37" s="6" t="s">
        <v>33</v>
      </c>
      <c r="L37" s="6">
        <v>0.36</v>
      </c>
      <c r="M37" s="35" t="s">
        <v>42</v>
      </c>
      <c r="N37" s="7">
        <v>0.33329999999999999</v>
      </c>
      <c r="O37" s="32">
        <v>0.66</v>
      </c>
      <c r="P37" s="7">
        <v>0.29849999999999999</v>
      </c>
      <c r="Q37" s="8">
        <v>20</v>
      </c>
      <c r="R37" s="8">
        <v>73</v>
      </c>
      <c r="S37" s="8">
        <f>SUM(Dataset_AFinal[[#This Row],[Casual_user]:[Registered_user]])</f>
        <v>93</v>
      </c>
    </row>
    <row r="38" spans="1:19" x14ac:dyDescent="0.3">
      <c r="A38" s="4">
        <v>37</v>
      </c>
      <c r="B38" s="7" t="s">
        <v>80</v>
      </c>
      <c r="C38" s="6" t="s">
        <v>78</v>
      </c>
      <c r="D38" s="6" t="s">
        <v>79</v>
      </c>
      <c r="E38" s="6" t="s">
        <v>31</v>
      </c>
      <c r="F38" s="35">
        <v>13</v>
      </c>
      <c r="G38" s="15" t="str">
        <f t="shared" si="0"/>
        <v>Afternoon</v>
      </c>
      <c r="H38" s="6" t="b">
        <v>0</v>
      </c>
      <c r="I38" s="6" t="s">
        <v>53</v>
      </c>
      <c r="J38" s="6" t="str">
        <f>IF(OR(Dataset_AFinal[[#This Row],[Weekday]]="Sat",Dataset_AFinal[[#This Row],[Weekday]]="Sun"),"Weekend", "Weekday")</f>
        <v>Weekend</v>
      </c>
      <c r="K38" s="6" t="s">
        <v>33</v>
      </c>
      <c r="L38" s="6">
        <v>0.36</v>
      </c>
      <c r="M38" s="35" t="s">
        <v>42</v>
      </c>
      <c r="N38" s="7">
        <v>0.34849999999999998</v>
      </c>
      <c r="O38" s="32">
        <v>0.66</v>
      </c>
      <c r="P38" s="7">
        <v>0.1343</v>
      </c>
      <c r="Q38" s="8">
        <v>11</v>
      </c>
      <c r="R38" s="8">
        <v>64</v>
      </c>
      <c r="S38" s="8">
        <f>SUM(Dataset_AFinal[[#This Row],[Casual_user]:[Registered_user]])</f>
        <v>75</v>
      </c>
    </row>
    <row r="39" spans="1:19" x14ac:dyDescent="0.3">
      <c r="A39" s="4">
        <v>38</v>
      </c>
      <c r="B39" s="7" t="s">
        <v>80</v>
      </c>
      <c r="C39" s="6" t="s">
        <v>78</v>
      </c>
      <c r="D39" s="6" t="s">
        <v>79</v>
      </c>
      <c r="E39" s="6" t="s">
        <v>31</v>
      </c>
      <c r="F39" s="35">
        <v>14</v>
      </c>
      <c r="G39" s="15" t="str">
        <f t="shared" si="0"/>
        <v>Afternoon</v>
      </c>
      <c r="H39" s="6" t="b">
        <v>0</v>
      </c>
      <c r="I39" s="6" t="s">
        <v>53</v>
      </c>
      <c r="J39" s="6" t="str">
        <f>IF(OR(Dataset_AFinal[[#This Row],[Weekday]]="Sat",Dataset_AFinal[[#This Row],[Weekday]]="Sun"),"Weekend", "Weekday")</f>
        <v>Weekend</v>
      </c>
      <c r="K39" s="6" t="s">
        <v>34</v>
      </c>
      <c r="L39" s="6">
        <v>0.36</v>
      </c>
      <c r="M39" s="35" t="s">
        <v>42</v>
      </c>
      <c r="N39" s="7">
        <f>0.2</f>
        <v>0.2</v>
      </c>
      <c r="O39" s="32">
        <v>0.76</v>
      </c>
      <c r="P39" s="7">
        <v>0.19400000000000001</v>
      </c>
      <c r="Q39" s="8">
        <v>4</v>
      </c>
      <c r="R39" s="8">
        <v>55</v>
      </c>
      <c r="S39" s="8">
        <f>SUM(Dataset_AFinal[[#This Row],[Casual_user]:[Registered_user]])</f>
        <v>59</v>
      </c>
    </row>
    <row r="40" spans="1:19" x14ac:dyDescent="0.3">
      <c r="A40" s="4">
        <v>39</v>
      </c>
      <c r="B40" s="7" t="s">
        <v>80</v>
      </c>
      <c r="C40" s="6" t="s">
        <v>78</v>
      </c>
      <c r="D40" s="6" t="s">
        <v>79</v>
      </c>
      <c r="E40" s="6" t="s">
        <v>31</v>
      </c>
      <c r="F40" s="35">
        <v>15</v>
      </c>
      <c r="G40" s="15" t="str">
        <f t="shared" si="0"/>
        <v>Afternoon</v>
      </c>
      <c r="H40" s="6" t="b">
        <v>0</v>
      </c>
      <c r="I40" s="6" t="s">
        <v>53</v>
      </c>
      <c r="J40" s="6" t="str">
        <f>IF(OR(Dataset_AFinal[[#This Row],[Weekday]]="Sat",Dataset_AFinal[[#This Row],[Weekday]]="Sun"),"Weekend", "Weekday")</f>
        <v>Weekend</v>
      </c>
      <c r="K40" s="6" t="s">
        <v>34</v>
      </c>
      <c r="L40" s="6">
        <v>0.34</v>
      </c>
      <c r="M40" s="35" t="s">
        <v>42</v>
      </c>
      <c r="N40" s="7">
        <v>0.33329999999999999</v>
      </c>
      <c r="O40" s="32">
        <v>0.81</v>
      </c>
      <c r="P40" s="7">
        <v>0.16420000000000001</v>
      </c>
      <c r="Q40" s="8">
        <v>19</v>
      </c>
      <c r="R40" s="8">
        <v>55</v>
      </c>
      <c r="S40" s="8">
        <f>SUM(Dataset_AFinal[[#This Row],[Casual_user]:[Registered_user]])</f>
        <v>74</v>
      </c>
    </row>
    <row r="41" spans="1:19" x14ac:dyDescent="0.3">
      <c r="A41" s="4">
        <v>40</v>
      </c>
      <c r="B41" s="7" t="s">
        <v>80</v>
      </c>
      <c r="C41" s="6" t="s">
        <v>78</v>
      </c>
      <c r="D41" s="6" t="s">
        <v>79</v>
      </c>
      <c r="E41" s="6" t="s">
        <v>31</v>
      </c>
      <c r="F41" s="35">
        <v>16</v>
      </c>
      <c r="G41" s="15" t="str">
        <f t="shared" si="0"/>
        <v>Afternoon</v>
      </c>
      <c r="H41" s="6" t="b">
        <v>0</v>
      </c>
      <c r="I41" s="6" t="s">
        <v>53</v>
      </c>
      <c r="J41" s="6" t="str">
        <f>IF(OR(Dataset_AFinal[[#This Row],[Weekday]]="Sat",Dataset_AFinal[[#This Row],[Weekday]]="Sun"),"Weekend", "Weekday")</f>
        <v>Weekend</v>
      </c>
      <c r="K41" s="6" t="s">
        <v>34</v>
      </c>
      <c r="L41" s="6">
        <v>0.34</v>
      </c>
      <c r="M41" s="35" t="s">
        <v>42</v>
      </c>
      <c r="N41" s="7">
        <v>0.33329999999999999</v>
      </c>
      <c r="O41" s="32">
        <v>0.71</v>
      </c>
      <c r="P41" s="7">
        <v>0.16420000000000001</v>
      </c>
      <c r="Q41" s="8">
        <v>9</v>
      </c>
      <c r="R41" s="8">
        <v>67</v>
      </c>
      <c r="S41" s="8">
        <f>SUM(Dataset_AFinal[[#This Row],[Casual_user]:[Registered_user]])</f>
        <v>76</v>
      </c>
    </row>
    <row r="42" spans="1:19" x14ac:dyDescent="0.3">
      <c r="A42" s="4">
        <v>41</v>
      </c>
      <c r="B42" s="7" t="s">
        <v>80</v>
      </c>
      <c r="C42" s="6" t="s">
        <v>78</v>
      </c>
      <c r="D42" s="6" t="s">
        <v>79</v>
      </c>
      <c r="E42" s="6" t="s">
        <v>31</v>
      </c>
      <c r="F42" s="35">
        <v>17</v>
      </c>
      <c r="G42" s="15" t="str">
        <f t="shared" si="0"/>
        <v>Afternoon</v>
      </c>
      <c r="H42" s="6" t="b">
        <v>0</v>
      </c>
      <c r="I42" s="6" t="s">
        <v>53</v>
      </c>
      <c r="J42" s="6" t="str">
        <f>IF(OR(Dataset_AFinal[[#This Row],[Weekday]]="Sat",Dataset_AFinal[[#This Row],[Weekday]]="Sun"),"Weekend", "Weekday")</f>
        <v>Weekend</v>
      </c>
      <c r="K42" s="6" t="s">
        <v>32</v>
      </c>
      <c r="L42" s="6">
        <v>0.34</v>
      </c>
      <c r="M42" s="35" t="s">
        <v>42</v>
      </c>
      <c r="N42" s="7">
        <v>0.33329999999999999</v>
      </c>
      <c r="O42" s="32">
        <v>0.56999999999999995</v>
      </c>
      <c r="P42" s="7">
        <v>0.19400000000000001</v>
      </c>
      <c r="Q42" s="8">
        <v>7</v>
      </c>
      <c r="R42" s="8">
        <v>58</v>
      </c>
      <c r="S42" s="8">
        <f>SUM(Dataset_AFinal[[#This Row],[Casual_user]:[Registered_user]])</f>
        <v>65</v>
      </c>
    </row>
    <row r="43" spans="1:19" x14ac:dyDescent="0.3">
      <c r="A43" s="4">
        <v>42</v>
      </c>
      <c r="B43" s="7" t="s">
        <v>80</v>
      </c>
      <c r="C43" s="6" t="s">
        <v>78</v>
      </c>
      <c r="D43" s="6" t="s">
        <v>79</v>
      </c>
      <c r="E43" s="6" t="s">
        <v>31</v>
      </c>
      <c r="F43" s="35">
        <v>18</v>
      </c>
      <c r="G43" s="15" t="str">
        <f t="shared" si="0"/>
        <v>Evening</v>
      </c>
      <c r="H43" s="6" t="b">
        <v>0</v>
      </c>
      <c r="I43" s="6" t="s">
        <v>53</v>
      </c>
      <c r="J43" s="6" t="str">
        <f>IF(OR(Dataset_AFinal[[#This Row],[Weekday]]="Sat",Dataset_AFinal[[#This Row],[Weekday]]="Sun"),"Weekend", "Weekday")</f>
        <v>Weekend</v>
      </c>
      <c r="K43" s="6" t="s">
        <v>33</v>
      </c>
      <c r="L43" s="6">
        <v>0.36</v>
      </c>
      <c r="M43" s="35" t="s">
        <v>42</v>
      </c>
      <c r="N43" s="7">
        <v>0.33329999999999999</v>
      </c>
      <c r="O43" s="32">
        <v>0.46</v>
      </c>
      <c r="P43" s="7">
        <v>0.32840000000000003</v>
      </c>
      <c r="Q43" s="8">
        <v>10</v>
      </c>
      <c r="R43" s="8">
        <v>43</v>
      </c>
      <c r="S43" s="8">
        <f>SUM(Dataset_AFinal[[#This Row],[Casual_user]:[Registered_user]])</f>
        <v>53</v>
      </c>
    </row>
    <row r="44" spans="1:19" x14ac:dyDescent="0.3">
      <c r="A44" s="4">
        <v>43</v>
      </c>
      <c r="B44" s="7" t="s">
        <v>80</v>
      </c>
      <c r="C44" s="6" t="s">
        <v>78</v>
      </c>
      <c r="D44" s="6" t="s">
        <v>79</v>
      </c>
      <c r="E44" s="6" t="s">
        <v>31</v>
      </c>
      <c r="F44" s="35">
        <v>19</v>
      </c>
      <c r="G44" s="15" t="str">
        <f t="shared" si="0"/>
        <v>Evening</v>
      </c>
      <c r="H44" s="6" t="b">
        <v>0</v>
      </c>
      <c r="I44" s="6" t="s">
        <v>53</v>
      </c>
      <c r="J44" s="6" t="str">
        <f>IF(OR(Dataset_AFinal[[#This Row],[Weekday]]="Sat",Dataset_AFinal[[#This Row],[Weekday]]="Sun"),"Weekend", "Weekday")</f>
        <v>Weekend</v>
      </c>
      <c r="K44" s="6" t="s">
        <v>32</v>
      </c>
      <c r="L44" s="6">
        <v>0.32</v>
      </c>
      <c r="M44" s="35" t="s">
        <v>41</v>
      </c>
      <c r="N44" s="7">
        <v>0.28789999999999999</v>
      </c>
      <c r="O44" s="32">
        <v>0.42</v>
      </c>
      <c r="P44" s="7">
        <v>0.44779999999999998</v>
      </c>
      <c r="Q44" s="8">
        <v>1</v>
      </c>
      <c r="R44" s="8">
        <v>29</v>
      </c>
      <c r="S44" s="8">
        <f>SUM(Dataset_AFinal[[#This Row],[Casual_user]:[Registered_user]])</f>
        <v>30</v>
      </c>
    </row>
    <row r="45" spans="1:19" x14ac:dyDescent="0.3">
      <c r="A45" s="4">
        <v>44</v>
      </c>
      <c r="B45" s="7" t="s">
        <v>80</v>
      </c>
      <c r="C45" s="6" t="s">
        <v>78</v>
      </c>
      <c r="D45" s="6" t="s">
        <v>79</v>
      </c>
      <c r="E45" s="6" t="s">
        <v>31</v>
      </c>
      <c r="F45" s="35">
        <v>20</v>
      </c>
      <c r="G45" s="15" t="str">
        <f t="shared" si="0"/>
        <v>Evening</v>
      </c>
      <c r="H45" s="6" t="b">
        <v>0</v>
      </c>
      <c r="I45" s="6" t="s">
        <v>53</v>
      </c>
      <c r="J45" s="6" t="str">
        <f>IF(OR(Dataset_AFinal[[#This Row],[Weekday]]="Sat",Dataset_AFinal[[#This Row],[Weekday]]="Sun"),"Weekend", "Weekday")</f>
        <v>Weekend</v>
      </c>
      <c r="K45" s="6" t="s">
        <v>32</v>
      </c>
      <c r="L45" s="6">
        <v>0.3</v>
      </c>
      <c r="M45" s="35" t="s">
        <v>41</v>
      </c>
      <c r="N45" s="7">
        <f>0.2</f>
        <v>0.2</v>
      </c>
      <c r="O45" s="32">
        <v>0.39</v>
      </c>
      <c r="P45" s="7">
        <v>0.35820000000000002</v>
      </c>
      <c r="Q45" s="8">
        <v>5</v>
      </c>
      <c r="R45" s="8">
        <v>17</v>
      </c>
      <c r="S45" s="8">
        <f>SUM(Dataset_AFinal[[#This Row],[Casual_user]:[Registered_user]])</f>
        <v>22</v>
      </c>
    </row>
    <row r="46" spans="1:19" x14ac:dyDescent="0.3">
      <c r="A46" s="4">
        <v>45</v>
      </c>
      <c r="B46" s="7" t="s">
        <v>80</v>
      </c>
      <c r="C46" s="6" t="s">
        <v>78</v>
      </c>
      <c r="D46" s="6" t="s">
        <v>79</v>
      </c>
      <c r="E46" s="6" t="s">
        <v>31</v>
      </c>
      <c r="F46" s="35">
        <v>21</v>
      </c>
      <c r="G46" s="15" t="str">
        <f t="shared" si="0"/>
        <v>Evening</v>
      </c>
      <c r="H46" s="6" t="b">
        <v>0</v>
      </c>
      <c r="I46" s="6" t="s">
        <v>53</v>
      </c>
      <c r="J46" s="6" t="str">
        <f>IF(OR(Dataset_AFinal[[#This Row],[Weekday]]="Sat",Dataset_AFinal[[#This Row],[Weekday]]="Sun"),"Weekend", "Weekday")</f>
        <v>Weekend</v>
      </c>
      <c r="K46" s="6" t="s">
        <v>32</v>
      </c>
      <c r="L46" s="6">
        <v>0.26</v>
      </c>
      <c r="M46" s="35" t="s">
        <v>41</v>
      </c>
      <c r="N46" s="7">
        <v>0.2273</v>
      </c>
      <c r="O46" s="32">
        <v>0.44</v>
      </c>
      <c r="P46" s="7">
        <v>0.32840000000000003</v>
      </c>
      <c r="Q46" s="8">
        <v>11</v>
      </c>
      <c r="R46" s="8">
        <v>20</v>
      </c>
      <c r="S46" s="8">
        <f>SUM(Dataset_AFinal[[#This Row],[Casual_user]:[Registered_user]])</f>
        <v>31</v>
      </c>
    </row>
    <row r="47" spans="1:19" x14ac:dyDescent="0.3">
      <c r="A47" s="4">
        <v>46</v>
      </c>
      <c r="B47" s="7" t="s">
        <v>80</v>
      </c>
      <c r="C47" s="6" t="s">
        <v>78</v>
      </c>
      <c r="D47" s="6" t="s">
        <v>79</v>
      </c>
      <c r="E47" s="6" t="s">
        <v>31</v>
      </c>
      <c r="F47" s="35">
        <v>22</v>
      </c>
      <c r="G47" s="15" t="str">
        <f t="shared" si="0"/>
        <v>Evening</v>
      </c>
      <c r="H47" s="6" t="b">
        <v>0</v>
      </c>
      <c r="I47" s="6" t="s">
        <v>53</v>
      </c>
      <c r="J47" s="6" t="str">
        <f>IF(OR(Dataset_AFinal[[#This Row],[Weekday]]="Sat",Dataset_AFinal[[#This Row],[Weekday]]="Sun"),"Weekend", "Weekday")</f>
        <v>Weekend</v>
      </c>
      <c r="K47" s="6" t="s">
        <v>32</v>
      </c>
      <c r="L47" s="6">
        <v>0.24</v>
      </c>
      <c r="M47" s="35" t="s">
        <v>40</v>
      </c>
      <c r="N47" s="7">
        <v>0.21210000000000001</v>
      </c>
      <c r="O47" s="32">
        <v>0.44</v>
      </c>
      <c r="P47" s="7">
        <v>0.29849999999999999</v>
      </c>
      <c r="Q47" s="8">
        <v>0</v>
      </c>
      <c r="R47" s="8">
        <v>9</v>
      </c>
      <c r="S47" s="8">
        <f>SUM(Dataset_AFinal[[#This Row],[Casual_user]:[Registered_user]])</f>
        <v>9</v>
      </c>
    </row>
    <row r="48" spans="1:19" x14ac:dyDescent="0.3">
      <c r="A48" s="4">
        <v>47</v>
      </c>
      <c r="B48" s="7" t="s">
        <v>80</v>
      </c>
      <c r="C48" s="6" t="s">
        <v>78</v>
      </c>
      <c r="D48" s="6" t="s">
        <v>79</v>
      </c>
      <c r="E48" s="6" t="s">
        <v>31</v>
      </c>
      <c r="F48" s="35">
        <v>23</v>
      </c>
      <c r="G48" s="15" t="str">
        <f t="shared" si="0"/>
        <v>Evening</v>
      </c>
      <c r="H48" s="6" t="b">
        <v>0</v>
      </c>
      <c r="I48" s="6" t="s">
        <v>53</v>
      </c>
      <c r="J48" s="6" t="str">
        <f>IF(OR(Dataset_AFinal[[#This Row],[Weekday]]="Sat",Dataset_AFinal[[#This Row],[Weekday]]="Sun"),"Weekend", "Weekday")</f>
        <v>Weekend</v>
      </c>
      <c r="K48" s="6" t="s">
        <v>32</v>
      </c>
      <c r="L48" s="6">
        <v>0.22</v>
      </c>
      <c r="M48" s="35" t="s">
        <v>40</v>
      </c>
      <c r="N48" s="7">
        <v>0.2273</v>
      </c>
      <c r="O48" s="32">
        <v>0.47</v>
      </c>
      <c r="P48" s="7">
        <v>0.16420000000000001</v>
      </c>
      <c r="Q48" s="8">
        <v>0</v>
      </c>
      <c r="R48" s="8">
        <v>8</v>
      </c>
      <c r="S48" s="8">
        <f>SUM(Dataset_AFinal[[#This Row],[Casual_user]:[Registered_user]])</f>
        <v>8</v>
      </c>
    </row>
    <row r="49" spans="1:19" x14ac:dyDescent="0.3">
      <c r="A49" s="4">
        <v>48</v>
      </c>
      <c r="B49" s="7" t="s">
        <v>81</v>
      </c>
      <c r="C49" s="6" t="s">
        <v>78</v>
      </c>
      <c r="D49" s="6" t="s">
        <v>79</v>
      </c>
      <c r="E49" s="6" t="s">
        <v>31</v>
      </c>
      <c r="F49" s="35">
        <v>0</v>
      </c>
      <c r="G49" s="15" t="str">
        <f t="shared" si="0"/>
        <v>Night</v>
      </c>
      <c r="H49" s="6" t="b">
        <v>0</v>
      </c>
      <c r="I49" s="6" t="s">
        <v>54</v>
      </c>
      <c r="J49" s="6" t="str">
        <f>IF(OR(Dataset_AFinal[[#This Row],[Weekday]]="Sat",Dataset_AFinal[[#This Row],[Weekday]]="Sun"),"Weekend", "Weekday")</f>
        <v>Weekday</v>
      </c>
      <c r="K49" s="6" t="s">
        <v>32</v>
      </c>
      <c r="L49" s="6">
        <v>0.22</v>
      </c>
      <c r="M49" s="35" t="s">
        <v>40</v>
      </c>
      <c r="N49" s="7">
        <v>0.19700000000000001</v>
      </c>
      <c r="O49" s="32">
        <v>0.44</v>
      </c>
      <c r="P49" s="7">
        <v>0.35820000000000002</v>
      </c>
      <c r="Q49" s="8">
        <v>0</v>
      </c>
      <c r="R49" s="8">
        <v>5</v>
      </c>
      <c r="S49" s="8">
        <f>SUM(Dataset_AFinal[[#This Row],[Casual_user]:[Registered_user]])</f>
        <v>5</v>
      </c>
    </row>
    <row r="50" spans="1:19" x14ac:dyDescent="0.3">
      <c r="A50" s="4">
        <v>49</v>
      </c>
      <c r="B50" s="7" t="s">
        <v>81</v>
      </c>
      <c r="C50" s="6" t="s">
        <v>78</v>
      </c>
      <c r="D50" s="6" t="s">
        <v>79</v>
      </c>
      <c r="E50" s="6" t="s">
        <v>31</v>
      </c>
      <c r="F50" s="35">
        <v>1</v>
      </c>
      <c r="G50" s="15" t="str">
        <f t="shared" si="0"/>
        <v>Night</v>
      </c>
      <c r="H50" s="6" t="b">
        <v>0</v>
      </c>
      <c r="I50" s="6" t="s">
        <v>54</v>
      </c>
      <c r="J50" s="6" t="str">
        <f>IF(OR(Dataset_AFinal[[#This Row],[Weekday]]="Sat",Dataset_AFinal[[#This Row],[Weekday]]="Sun"),"Weekend", "Weekday")</f>
        <v>Weekday</v>
      </c>
      <c r="K50" s="6" t="s">
        <v>32</v>
      </c>
      <c r="L50" s="6">
        <v>0.2</v>
      </c>
      <c r="M50" s="35" t="s">
        <v>40</v>
      </c>
      <c r="N50" s="7">
        <f>0.2</f>
        <v>0.2</v>
      </c>
      <c r="O50" s="32">
        <v>0.44</v>
      </c>
      <c r="P50" s="7">
        <v>0.41789999999999999</v>
      </c>
      <c r="Q50" s="8">
        <v>0</v>
      </c>
      <c r="R50" s="8">
        <v>2</v>
      </c>
      <c r="S50" s="8">
        <f>SUM(Dataset_AFinal[[#This Row],[Casual_user]:[Registered_user]])</f>
        <v>2</v>
      </c>
    </row>
    <row r="51" spans="1:19" x14ac:dyDescent="0.3">
      <c r="A51" s="4">
        <v>50</v>
      </c>
      <c r="B51" s="7" t="s">
        <v>81</v>
      </c>
      <c r="C51" s="6" t="s">
        <v>78</v>
      </c>
      <c r="D51" s="6" t="s">
        <v>79</v>
      </c>
      <c r="E51" s="6" t="s">
        <v>31</v>
      </c>
      <c r="F51" s="35">
        <v>4</v>
      </c>
      <c r="G51" s="15" t="str">
        <f t="shared" si="0"/>
        <v>Night</v>
      </c>
      <c r="H51" s="6" t="b">
        <v>0</v>
      </c>
      <c r="I51" s="6" t="s">
        <v>54</v>
      </c>
      <c r="J51" s="6" t="str">
        <f>IF(OR(Dataset_AFinal[[#This Row],[Weekday]]="Sat",Dataset_AFinal[[#This Row],[Weekday]]="Sun"),"Weekend", "Weekday")</f>
        <v>Weekday</v>
      </c>
      <c r="K51" s="6" t="s">
        <v>32</v>
      </c>
      <c r="L51" s="6">
        <v>0.16</v>
      </c>
      <c r="M51" s="35" t="s">
        <v>40</v>
      </c>
      <c r="N51" s="7">
        <v>0.13639999999999999</v>
      </c>
      <c r="O51" s="32">
        <v>0.47</v>
      </c>
      <c r="P51" s="7">
        <v>0.3881</v>
      </c>
      <c r="Q51" s="8">
        <v>0</v>
      </c>
      <c r="R51" s="8">
        <v>1</v>
      </c>
      <c r="S51" s="8">
        <f>SUM(Dataset_AFinal[[#This Row],[Casual_user]:[Registered_user]])</f>
        <v>1</v>
      </c>
    </row>
    <row r="52" spans="1:19" x14ac:dyDescent="0.3">
      <c r="A52" s="4">
        <v>51</v>
      </c>
      <c r="B52" s="7" t="s">
        <v>81</v>
      </c>
      <c r="C52" s="6" t="s">
        <v>78</v>
      </c>
      <c r="D52" s="6" t="s">
        <v>79</v>
      </c>
      <c r="E52" s="6" t="s">
        <v>31</v>
      </c>
      <c r="F52" s="35">
        <v>5</v>
      </c>
      <c r="G52" s="15" t="str">
        <f t="shared" si="0"/>
        <v>Night</v>
      </c>
      <c r="H52" s="6" t="b">
        <v>0</v>
      </c>
      <c r="I52" s="6" t="s">
        <v>54</v>
      </c>
      <c r="J52" s="6" t="str">
        <f>IF(OR(Dataset_AFinal[[#This Row],[Weekday]]="Sat",Dataset_AFinal[[#This Row],[Weekday]]="Sun"),"Weekend", "Weekday")</f>
        <v>Weekday</v>
      </c>
      <c r="K52" s="6" t="s">
        <v>32</v>
      </c>
      <c r="L52" s="6">
        <v>0.16</v>
      </c>
      <c r="M52" s="35" t="s">
        <v>40</v>
      </c>
      <c r="N52" s="7">
        <v>0.13639999999999999</v>
      </c>
      <c r="O52" s="32">
        <v>0.47</v>
      </c>
      <c r="P52" s="7">
        <v>0.28360000000000002</v>
      </c>
      <c r="Q52" s="8">
        <v>0</v>
      </c>
      <c r="R52" s="8">
        <v>3</v>
      </c>
      <c r="S52" s="8">
        <f>SUM(Dataset_AFinal[[#This Row],[Casual_user]:[Registered_user]])</f>
        <v>3</v>
      </c>
    </row>
    <row r="53" spans="1:19" x14ac:dyDescent="0.3">
      <c r="A53" s="4">
        <v>52</v>
      </c>
      <c r="B53" s="7" t="s">
        <v>81</v>
      </c>
      <c r="C53" s="6" t="s">
        <v>78</v>
      </c>
      <c r="D53" s="6" t="s">
        <v>79</v>
      </c>
      <c r="E53" s="6" t="s">
        <v>31</v>
      </c>
      <c r="F53" s="35">
        <v>6</v>
      </c>
      <c r="G53" s="15" t="str">
        <f t="shared" si="0"/>
        <v>Morning</v>
      </c>
      <c r="H53" s="6" t="b">
        <v>0</v>
      </c>
      <c r="I53" s="6" t="s">
        <v>54</v>
      </c>
      <c r="J53" s="6" t="str">
        <f>IF(OR(Dataset_AFinal[[#This Row],[Weekday]]="Sat",Dataset_AFinal[[#This Row],[Weekday]]="Sun"),"Weekend", "Weekday")</f>
        <v>Weekday</v>
      </c>
      <c r="K53" s="6" t="s">
        <v>32</v>
      </c>
      <c r="L53" s="6">
        <v>0.14000000000000001</v>
      </c>
      <c r="M53" s="35" t="s">
        <v>44</v>
      </c>
      <c r="N53" s="7">
        <v>0.1061</v>
      </c>
      <c r="O53" s="32">
        <v>0.5</v>
      </c>
      <c r="P53" s="7">
        <v>0.3881</v>
      </c>
      <c r="Q53" s="8">
        <v>0</v>
      </c>
      <c r="R53" s="8">
        <v>30</v>
      </c>
      <c r="S53" s="8">
        <f>SUM(Dataset_AFinal[[#This Row],[Casual_user]:[Registered_user]])</f>
        <v>30</v>
      </c>
    </row>
    <row r="54" spans="1:19" x14ac:dyDescent="0.3">
      <c r="A54" s="4">
        <v>53</v>
      </c>
      <c r="B54" s="7" t="s">
        <v>81</v>
      </c>
      <c r="C54" s="6" t="s">
        <v>78</v>
      </c>
      <c r="D54" s="6" t="s">
        <v>79</v>
      </c>
      <c r="E54" s="6" t="s">
        <v>31</v>
      </c>
      <c r="F54" s="35">
        <v>7</v>
      </c>
      <c r="G54" s="15" t="str">
        <f t="shared" si="0"/>
        <v>Morning</v>
      </c>
      <c r="H54" s="6" t="b">
        <v>0</v>
      </c>
      <c r="I54" s="6" t="s">
        <v>54</v>
      </c>
      <c r="J54" s="6" t="str">
        <f>IF(OR(Dataset_AFinal[[#This Row],[Weekday]]="Sat",Dataset_AFinal[[#This Row],[Weekday]]="Sun"),"Weekend", "Weekday")</f>
        <v>Weekday</v>
      </c>
      <c r="K54" s="6" t="s">
        <v>32</v>
      </c>
      <c r="L54" s="6">
        <v>0.14000000000000001</v>
      </c>
      <c r="M54" s="35" t="s">
        <v>44</v>
      </c>
      <c r="N54" s="7">
        <v>0.13639999999999999</v>
      </c>
      <c r="O54" s="32">
        <v>0.5</v>
      </c>
      <c r="P54" s="7">
        <v>0.19400000000000001</v>
      </c>
      <c r="Q54" s="8">
        <v>1</v>
      </c>
      <c r="R54" s="8">
        <v>63</v>
      </c>
      <c r="S54" s="8">
        <f>SUM(Dataset_AFinal[[#This Row],[Casual_user]:[Registered_user]])</f>
        <v>64</v>
      </c>
    </row>
    <row r="55" spans="1:19" x14ac:dyDescent="0.3">
      <c r="A55" s="4">
        <v>54</v>
      </c>
      <c r="B55" s="7" t="s">
        <v>81</v>
      </c>
      <c r="C55" s="6" t="s">
        <v>78</v>
      </c>
      <c r="D55" s="6" t="s">
        <v>79</v>
      </c>
      <c r="E55" s="6" t="s">
        <v>31</v>
      </c>
      <c r="F55" s="35">
        <v>8</v>
      </c>
      <c r="G55" s="15" t="str">
        <f t="shared" si="0"/>
        <v>Morning</v>
      </c>
      <c r="H55" s="6" t="b">
        <v>0</v>
      </c>
      <c r="I55" s="6" t="s">
        <v>54</v>
      </c>
      <c r="J55" s="6" t="str">
        <f>IF(OR(Dataset_AFinal[[#This Row],[Weekday]]="Sat",Dataset_AFinal[[#This Row],[Weekday]]="Sun"),"Weekend", "Weekday")</f>
        <v>Weekday</v>
      </c>
      <c r="K55" s="6" t="s">
        <v>32</v>
      </c>
      <c r="L55" s="6">
        <v>0.14000000000000001</v>
      </c>
      <c r="M55" s="35" t="s">
        <v>44</v>
      </c>
      <c r="N55" s="7">
        <v>0.1212</v>
      </c>
      <c r="O55" s="32">
        <v>0.5</v>
      </c>
      <c r="P55" s="7">
        <v>0.28360000000000002</v>
      </c>
      <c r="Q55" s="8">
        <v>1</v>
      </c>
      <c r="R55" s="8">
        <v>153</v>
      </c>
      <c r="S55" s="8">
        <f>SUM(Dataset_AFinal[[#This Row],[Casual_user]:[Registered_user]])</f>
        <v>154</v>
      </c>
    </row>
    <row r="56" spans="1:19" x14ac:dyDescent="0.3">
      <c r="A56" s="4">
        <v>55</v>
      </c>
      <c r="B56" s="7" t="s">
        <v>81</v>
      </c>
      <c r="C56" s="6" t="s">
        <v>78</v>
      </c>
      <c r="D56" s="6" t="s">
        <v>79</v>
      </c>
      <c r="E56" s="6" t="s">
        <v>31</v>
      </c>
      <c r="F56" s="35">
        <v>9</v>
      </c>
      <c r="G56" s="15" t="str">
        <f t="shared" si="0"/>
        <v>Morning</v>
      </c>
      <c r="H56" s="6" t="b">
        <v>0</v>
      </c>
      <c r="I56" s="6" t="s">
        <v>54</v>
      </c>
      <c r="J56" s="6" t="str">
        <f>IF(OR(Dataset_AFinal[[#This Row],[Weekday]]="Sat",Dataset_AFinal[[#This Row],[Weekday]]="Sun"),"Weekend", "Weekday")</f>
        <v>Weekday</v>
      </c>
      <c r="K56" s="6" t="s">
        <v>32</v>
      </c>
      <c r="L56" s="6">
        <v>0.16</v>
      </c>
      <c r="M56" s="35" t="s">
        <v>40</v>
      </c>
      <c r="N56" s="7">
        <v>0.13639999999999999</v>
      </c>
      <c r="O56" s="32">
        <v>0.43</v>
      </c>
      <c r="P56" s="7">
        <v>0.3881</v>
      </c>
      <c r="Q56" s="8">
        <v>7</v>
      </c>
      <c r="R56" s="8">
        <v>81</v>
      </c>
      <c r="S56" s="8">
        <f>SUM(Dataset_AFinal[[#This Row],[Casual_user]:[Registered_user]])</f>
        <v>88</v>
      </c>
    </row>
    <row r="57" spans="1:19" x14ac:dyDescent="0.3">
      <c r="A57" s="4">
        <v>56</v>
      </c>
      <c r="B57" s="7" t="s">
        <v>81</v>
      </c>
      <c r="C57" s="6" t="s">
        <v>78</v>
      </c>
      <c r="D57" s="6" t="s">
        <v>79</v>
      </c>
      <c r="E57" s="6" t="s">
        <v>31</v>
      </c>
      <c r="F57" s="35">
        <v>10</v>
      </c>
      <c r="G57" s="15" t="str">
        <f t="shared" si="0"/>
        <v>Morning</v>
      </c>
      <c r="H57" s="6" t="b">
        <v>0</v>
      </c>
      <c r="I57" s="6" t="s">
        <v>54</v>
      </c>
      <c r="J57" s="6" t="str">
        <f>IF(OR(Dataset_AFinal[[#This Row],[Weekday]]="Sat",Dataset_AFinal[[#This Row],[Weekday]]="Sun"),"Weekend", "Weekday")</f>
        <v>Weekday</v>
      </c>
      <c r="K57" s="6" t="s">
        <v>32</v>
      </c>
      <c r="L57" s="6">
        <v>0.18</v>
      </c>
      <c r="M57" s="35" t="s">
        <v>40</v>
      </c>
      <c r="N57" s="7">
        <v>0.16669999999999999</v>
      </c>
      <c r="O57" s="32">
        <v>0.43</v>
      </c>
      <c r="P57" s="7">
        <v>0.25369999999999998</v>
      </c>
      <c r="Q57" s="8">
        <v>11</v>
      </c>
      <c r="R57" s="8">
        <v>33</v>
      </c>
      <c r="S57" s="8">
        <f>SUM(Dataset_AFinal[[#This Row],[Casual_user]:[Registered_user]])</f>
        <v>44</v>
      </c>
    </row>
    <row r="58" spans="1:19" x14ac:dyDescent="0.3">
      <c r="A58" s="4">
        <v>57</v>
      </c>
      <c r="B58" s="7" t="s">
        <v>81</v>
      </c>
      <c r="C58" s="6" t="s">
        <v>78</v>
      </c>
      <c r="D58" s="6" t="s">
        <v>79</v>
      </c>
      <c r="E58" s="6" t="s">
        <v>31</v>
      </c>
      <c r="F58" s="35">
        <v>11</v>
      </c>
      <c r="G58" s="15" t="str">
        <f t="shared" si="0"/>
        <v>Morning</v>
      </c>
      <c r="H58" s="6" t="b">
        <v>0</v>
      </c>
      <c r="I58" s="6" t="s">
        <v>54</v>
      </c>
      <c r="J58" s="6" t="str">
        <f>IF(OR(Dataset_AFinal[[#This Row],[Weekday]]="Sat",Dataset_AFinal[[#This Row],[Weekday]]="Sun"),"Weekend", "Weekday")</f>
        <v>Weekday</v>
      </c>
      <c r="K58" s="6" t="s">
        <v>32</v>
      </c>
      <c r="L58" s="6">
        <v>0.2</v>
      </c>
      <c r="M58" s="35" t="s">
        <v>40</v>
      </c>
      <c r="N58" s="7">
        <v>0.18179999999999999</v>
      </c>
      <c r="O58" s="32">
        <v>0.4</v>
      </c>
      <c r="P58" s="7">
        <v>0.32840000000000003</v>
      </c>
      <c r="Q58" s="8">
        <v>10</v>
      </c>
      <c r="R58" s="8">
        <v>41</v>
      </c>
      <c r="S58" s="8">
        <f>SUM(Dataset_AFinal[[#This Row],[Casual_user]:[Registered_user]])</f>
        <v>51</v>
      </c>
    </row>
    <row r="59" spans="1:19" x14ac:dyDescent="0.3">
      <c r="A59" s="4">
        <v>58</v>
      </c>
      <c r="B59" s="7" t="s">
        <v>81</v>
      </c>
      <c r="C59" s="6" t="s">
        <v>78</v>
      </c>
      <c r="D59" s="6" t="s">
        <v>79</v>
      </c>
      <c r="E59" s="6" t="s">
        <v>31</v>
      </c>
      <c r="F59" s="35">
        <v>12</v>
      </c>
      <c r="G59" s="15" t="str">
        <f t="shared" si="0"/>
        <v>Afternoon</v>
      </c>
      <c r="H59" s="6" t="b">
        <v>0</v>
      </c>
      <c r="I59" s="6" t="s">
        <v>54</v>
      </c>
      <c r="J59" s="6" t="str">
        <f>IF(OR(Dataset_AFinal[[#This Row],[Weekday]]="Sat",Dataset_AFinal[[#This Row],[Weekday]]="Sun"),"Weekend", "Weekday")</f>
        <v>Weekday</v>
      </c>
      <c r="K59" s="6" t="s">
        <v>32</v>
      </c>
      <c r="L59" s="6">
        <v>0.22</v>
      </c>
      <c r="M59" s="35" t="s">
        <v>40</v>
      </c>
      <c r="N59" s="7">
        <v>0.21210000000000001</v>
      </c>
      <c r="O59" s="32">
        <v>0.35</v>
      </c>
      <c r="P59" s="7">
        <v>0.29849999999999999</v>
      </c>
      <c r="Q59" s="8">
        <v>13</v>
      </c>
      <c r="R59" s="8">
        <v>48</v>
      </c>
      <c r="S59" s="8">
        <f>SUM(Dataset_AFinal[[#This Row],[Casual_user]:[Registered_user]])</f>
        <v>61</v>
      </c>
    </row>
    <row r="60" spans="1:19" x14ac:dyDescent="0.3">
      <c r="A60" s="4">
        <v>59</v>
      </c>
      <c r="B60" s="7" t="s">
        <v>81</v>
      </c>
      <c r="C60" s="6" t="s">
        <v>78</v>
      </c>
      <c r="D60" s="6" t="s">
        <v>79</v>
      </c>
      <c r="E60" s="6" t="s">
        <v>31</v>
      </c>
      <c r="F60" s="35">
        <v>13</v>
      </c>
      <c r="G60" s="15" t="str">
        <f t="shared" si="0"/>
        <v>Afternoon</v>
      </c>
      <c r="H60" s="6" t="b">
        <v>0</v>
      </c>
      <c r="I60" s="6" t="s">
        <v>54</v>
      </c>
      <c r="J60" s="6" t="str">
        <f>IF(OR(Dataset_AFinal[[#This Row],[Weekday]]="Sat",Dataset_AFinal[[#This Row],[Weekday]]="Sun"),"Weekend", "Weekday")</f>
        <v>Weekday</v>
      </c>
      <c r="K60" s="6" t="s">
        <v>32</v>
      </c>
      <c r="L60" s="6">
        <v>0.24</v>
      </c>
      <c r="M60" s="35" t="s">
        <v>40</v>
      </c>
      <c r="N60" s="7">
        <f>0.2</f>
        <v>0.2</v>
      </c>
      <c r="O60" s="32">
        <v>0.35</v>
      </c>
      <c r="P60" s="7">
        <v>0.28360000000000002</v>
      </c>
      <c r="Q60" s="8">
        <v>8</v>
      </c>
      <c r="R60" s="8">
        <v>53</v>
      </c>
      <c r="S60" s="8">
        <f>SUM(Dataset_AFinal[[#This Row],[Casual_user]:[Registered_user]])</f>
        <v>61</v>
      </c>
    </row>
    <row r="61" spans="1:19" x14ac:dyDescent="0.3">
      <c r="A61" s="4">
        <v>60</v>
      </c>
      <c r="B61" s="7" t="s">
        <v>81</v>
      </c>
      <c r="C61" s="6" t="s">
        <v>78</v>
      </c>
      <c r="D61" s="6" t="s">
        <v>79</v>
      </c>
      <c r="E61" s="6" t="s">
        <v>31</v>
      </c>
      <c r="F61" s="35">
        <v>14</v>
      </c>
      <c r="G61" s="15" t="str">
        <f t="shared" si="0"/>
        <v>Afternoon</v>
      </c>
      <c r="H61" s="6" t="b">
        <v>0</v>
      </c>
      <c r="I61" s="6" t="s">
        <v>54</v>
      </c>
      <c r="J61" s="6" t="str">
        <f>IF(OR(Dataset_AFinal[[#This Row],[Weekday]]="Sat",Dataset_AFinal[[#This Row],[Weekday]]="Sun"),"Weekend", "Weekday")</f>
        <v>Weekday</v>
      </c>
      <c r="K61" s="6" t="s">
        <v>32</v>
      </c>
      <c r="L61" s="6">
        <v>0.26</v>
      </c>
      <c r="M61" s="35" t="s">
        <v>41</v>
      </c>
      <c r="N61" s="7">
        <v>0.2424</v>
      </c>
      <c r="O61" s="32">
        <v>0.3</v>
      </c>
      <c r="P61" s="7">
        <v>0.28360000000000002</v>
      </c>
      <c r="Q61" s="8">
        <v>11</v>
      </c>
      <c r="R61" s="8">
        <v>66</v>
      </c>
      <c r="S61" s="8">
        <f>SUM(Dataset_AFinal[[#This Row],[Casual_user]:[Registered_user]])</f>
        <v>77</v>
      </c>
    </row>
    <row r="62" spans="1:19" x14ac:dyDescent="0.3">
      <c r="A62" s="4">
        <v>61</v>
      </c>
      <c r="B62" s="7" t="s">
        <v>81</v>
      </c>
      <c r="C62" s="6" t="s">
        <v>78</v>
      </c>
      <c r="D62" s="6" t="s">
        <v>79</v>
      </c>
      <c r="E62" s="6" t="s">
        <v>31</v>
      </c>
      <c r="F62" s="35">
        <v>15</v>
      </c>
      <c r="G62" s="15" t="str">
        <f t="shared" si="0"/>
        <v>Afternoon</v>
      </c>
      <c r="H62" s="6" t="b">
        <v>0</v>
      </c>
      <c r="I62" s="6" t="s">
        <v>54</v>
      </c>
      <c r="J62" s="6" t="str">
        <f>IF(OR(Dataset_AFinal[[#This Row],[Weekday]]="Sat",Dataset_AFinal[[#This Row],[Weekday]]="Sun"),"Weekend", "Weekday")</f>
        <v>Weekday</v>
      </c>
      <c r="K62" s="6" t="s">
        <v>32</v>
      </c>
      <c r="L62" s="6">
        <v>0.26</v>
      </c>
      <c r="M62" s="35" t="s">
        <v>41</v>
      </c>
      <c r="N62" s="7">
        <v>0.2424</v>
      </c>
      <c r="O62" s="32">
        <v>0.3</v>
      </c>
      <c r="P62" s="7">
        <v>0.25369999999999998</v>
      </c>
      <c r="Q62" s="8">
        <v>14</v>
      </c>
      <c r="R62" s="8">
        <v>58</v>
      </c>
      <c r="S62" s="8">
        <f>SUM(Dataset_AFinal[[#This Row],[Casual_user]:[Registered_user]])</f>
        <v>72</v>
      </c>
    </row>
    <row r="63" spans="1:19" x14ac:dyDescent="0.3">
      <c r="A63" s="4">
        <v>62</v>
      </c>
      <c r="B63" s="7" t="s">
        <v>81</v>
      </c>
      <c r="C63" s="6" t="s">
        <v>78</v>
      </c>
      <c r="D63" s="6" t="s">
        <v>79</v>
      </c>
      <c r="E63" s="6" t="s">
        <v>31</v>
      </c>
      <c r="F63" s="35">
        <v>16</v>
      </c>
      <c r="G63" s="15" t="str">
        <f t="shared" si="0"/>
        <v>Afternoon</v>
      </c>
      <c r="H63" s="6" t="b">
        <v>0</v>
      </c>
      <c r="I63" s="6" t="s">
        <v>54</v>
      </c>
      <c r="J63" s="6" t="str">
        <f>IF(OR(Dataset_AFinal[[#This Row],[Weekday]]="Sat",Dataset_AFinal[[#This Row],[Weekday]]="Sun"),"Weekend", "Weekday")</f>
        <v>Weekday</v>
      </c>
      <c r="K63" s="6" t="s">
        <v>32</v>
      </c>
      <c r="L63" s="6">
        <v>0.26</v>
      </c>
      <c r="M63" s="35" t="s">
        <v>41</v>
      </c>
      <c r="N63" s="7">
        <v>0.2424</v>
      </c>
      <c r="O63" s="32">
        <v>0.3</v>
      </c>
      <c r="P63" s="7">
        <v>0.25369999999999998</v>
      </c>
      <c r="Q63" s="8">
        <v>9</v>
      </c>
      <c r="R63" s="8">
        <v>67</v>
      </c>
      <c r="S63" s="8">
        <f>SUM(Dataset_AFinal[[#This Row],[Casual_user]:[Registered_user]])</f>
        <v>76</v>
      </c>
    </row>
    <row r="64" spans="1:19" x14ac:dyDescent="0.3">
      <c r="A64" s="4">
        <v>63</v>
      </c>
      <c r="B64" s="7" t="s">
        <v>81</v>
      </c>
      <c r="C64" s="6" t="s">
        <v>78</v>
      </c>
      <c r="D64" s="6" t="s">
        <v>79</v>
      </c>
      <c r="E64" s="6" t="s">
        <v>31</v>
      </c>
      <c r="F64" s="35">
        <v>17</v>
      </c>
      <c r="G64" s="15" t="str">
        <f t="shared" si="0"/>
        <v>Afternoon</v>
      </c>
      <c r="H64" s="6" t="b">
        <v>0</v>
      </c>
      <c r="I64" s="6" t="s">
        <v>54</v>
      </c>
      <c r="J64" s="6" t="str">
        <f>IF(OR(Dataset_AFinal[[#This Row],[Weekday]]="Sat",Dataset_AFinal[[#This Row],[Weekday]]="Sun"),"Weekend", "Weekday")</f>
        <v>Weekday</v>
      </c>
      <c r="K64" s="6" t="s">
        <v>32</v>
      </c>
      <c r="L64" s="6">
        <v>0.24</v>
      </c>
      <c r="M64" s="35" t="s">
        <v>40</v>
      </c>
      <c r="N64" s="7">
        <v>0.2273</v>
      </c>
      <c r="O64" s="32">
        <v>0.3</v>
      </c>
      <c r="P64" s="7">
        <v>0.22389999999999999</v>
      </c>
      <c r="Q64" s="8">
        <v>11</v>
      </c>
      <c r="R64" s="8">
        <v>146</v>
      </c>
      <c r="S64" s="8">
        <f>SUM(Dataset_AFinal[[#This Row],[Casual_user]:[Registered_user]])</f>
        <v>157</v>
      </c>
    </row>
    <row r="65" spans="1:19" x14ac:dyDescent="0.3">
      <c r="A65" s="4">
        <v>64</v>
      </c>
      <c r="B65" s="7" t="s">
        <v>81</v>
      </c>
      <c r="C65" s="6" t="s">
        <v>78</v>
      </c>
      <c r="D65" s="6" t="s">
        <v>79</v>
      </c>
      <c r="E65" s="6" t="s">
        <v>31</v>
      </c>
      <c r="F65" s="35">
        <v>18</v>
      </c>
      <c r="G65" s="15" t="str">
        <f t="shared" si="0"/>
        <v>Evening</v>
      </c>
      <c r="H65" s="6" t="b">
        <v>0</v>
      </c>
      <c r="I65" s="6" t="s">
        <v>54</v>
      </c>
      <c r="J65" s="6" t="str">
        <f>IF(OR(Dataset_AFinal[[#This Row],[Weekday]]="Sat",Dataset_AFinal[[#This Row],[Weekday]]="Sun"),"Weekend", "Weekday")</f>
        <v>Weekday</v>
      </c>
      <c r="K65" s="6" t="s">
        <v>32</v>
      </c>
      <c r="L65" s="6">
        <v>0.24</v>
      </c>
      <c r="M65" s="35" t="s">
        <v>40</v>
      </c>
      <c r="N65" s="7">
        <v>0.2576</v>
      </c>
      <c r="O65" s="32">
        <v>0.32</v>
      </c>
      <c r="P65" s="7">
        <v>0.1045</v>
      </c>
      <c r="Q65" s="8">
        <v>9</v>
      </c>
      <c r="R65" s="8">
        <v>148</v>
      </c>
      <c r="S65" s="8">
        <f>SUM(Dataset_AFinal[[#This Row],[Casual_user]:[Registered_user]])</f>
        <v>157</v>
      </c>
    </row>
    <row r="66" spans="1:19" x14ac:dyDescent="0.3">
      <c r="A66" s="4">
        <v>65</v>
      </c>
      <c r="B66" s="7" t="s">
        <v>81</v>
      </c>
      <c r="C66" s="6" t="s">
        <v>78</v>
      </c>
      <c r="D66" s="6" t="s">
        <v>79</v>
      </c>
      <c r="E66" s="6" t="s">
        <v>31</v>
      </c>
      <c r="F66" s="35">
        <v>19</v>
      </c>
      <c r="G66" s="15" t="str">
        <f t="shared" ref="G66:G129" si="1">IF(F66&lt;6,"Night",IF(F66&lt;12,"Morning",IF(F66&lt;18,"Afternoon","Evening")))</f>
        <v>Evening</v>
      </c>
      <c r="H66" s="6" t="b">
        <v>0</v>
      </c>
      <c r="I66" s="6" t="s">
        <v>54</v>
      </c>
      <c r="J66" s="6" t="str">
        <f>IF(OR(Dataset_AFinal[[#This Row],[Weekday]]="Sat",Dataset_AFinal[[#This Row],[Weekday]]="Sun"),"Weekend", "Weekday")</f>
        <v>Weekday</v>
      </c>
      <c r="K66" s="6" t="s">
        <v>32</v>
      </c>
      <c r="L66" s="6">
        <v>0.2</v>
      </c>
      <c r="M66" s="35" t="s">
        <v>40</v>
      </c>
      <c r="N66" s="7">
        <v>0.2576</v>
      </c>
      <c r="O66" s="32">
        <v>0.47</v>
      </c>
      <c r="P66" s="7">
        <v>0</v>
      </c>
      <c r="Q66" s="8">
        <v>8</v>
      </c>
      <c r="R66" s="8">
        <v>102</v>
      </c>
      <c r="S66" s="8">
        <f>SUM(Dataset_AFinal[[#This Row],[Casual_user]:[Registered_user]])</f>
        <v>110</v>
      </c>
    </row>
    <row r="67" spans="1:19" x14ac:dyDescent="0.3">
      <c r="A67" s="4">
        <v>66</v>
      </c>
      <c r="B67" s="7" t="s">
        <v>81</v>
      </c>
      <c r="C67" s="6" t="s">
        <v>78</v>
      </c>
      <c r="D67" s="6" t="s">
        <v>79</v>
      </c>
      <c r="E67" s="6" t="s">
        <v>31</v>
      </c>
      <c r="F67" s="35">
        <v>20</v>
      </c>
      <c r="G67" s="15" t="str">
        <f t="shared" si="1"/>
        <v>Evening</v>
      </c>
      <c r="H67" s="6" t="b">
        <v>0</v>
      </c>
      <c r="I67" s="6" t="s">
        <v>54</v>
      </c>
      <c r="J67" s="6" t="str">
        <f>IF(OR(Dataset_AFinal[[#This Row],[Weekday]]="Sat",Dataset_AFinal[[#This Row],[Weekday]]="Sun"),"Weekend", "Weekday")</f>
        <v>Weekday</v>
      </c>
      <c r="K67" s="6" t="s">
        <v>32</v>
      </c>
      <c r="L67" s="6">
        <v>0.2</v>
      </c>
      <c r="M67" s="35" t="s">
        <v>40</v>
      </c>
      <c r="N67" s="7">
        <f>0.2</f>
        <v>0.2</v>
      </c>
      <c r="O67" s="32">
        <v>0.47</v>
      </c>
      <c r="P67" s="7">
        <v>0.1045</v>
      </c>
      <c r="Q67" s="8">
        <v>3</v>
      </c>
      <c r="R67" s="8">
        <v>49</v>
      </c>
      <c r="S67" s="8">
        <f>SUM(Dataset_AFinal[[#This Row],[Casual_user]:[Registered_user]])</f>
        <v>52</v>
      </c>
    </row>
    <row r="68" spans="1:19" x14ac:dyDescent="0.3">
      <c r="A68" s="4">
        <v>67</v>
      </c>
      <c r="B68" s="7" t="s">
        <v>81</v>
      </c>
      <c r="C68" s="6" t="s">
        <v>78</v>
      </c>
      <c r="D68" s="6" t="s">
        <v>79</v>
      </c>
      <c r="E68" s="6" t="s">
        <v>31</v>
      </c>
      <c r="F68" s="35">
        <v>21</v>
      </c>
      <c r="G68" s="15" t="str">
        <f t="shared" si="1"/>
        <v>Evening</v>
      </c>
      <c r="H68" s="6" t="b">
        <v>0</v>
      </c>
      <c r="I68" s="6" t="s">
        <v>54</v>
      </c>
      <c r="J68" s="6" t="str">
        <f>IF(OR(Dataset_AFinal[[#This Row],[Weekday]]="Sat",Dataset_AFinal[[#This Row],[Weekday]]="Sun"),"Weekend", "Weekday")</f>
        <v>Weekday</v>
      </c>
      <c r="K68" s="6" t="s">
        <v>32</v>
      </c>
      <c r="L68" s="6">
        <v>0.18</v>
      </c>
      <c r="M68" s="35" t="s">
        <v>40</v>
      </c>
      <c r="N68" s="7">
        <v>0.19700000000000001</v>
      </c>
      <c r="O68" s="32">
        <v>0.64</v>
      </c>
      <c r="P68" s="7">
        <v>0.1343</v>
      </c>
      <c r="Q68" s="8">
        <v>3</v>
      </c>
      <c r="R68" s="8">
        <v>49</v>
      </c>
      <c r="S68" s="8">
        <f>SUM(Dataset_AFinal[[#This Row],[Casual_user]:[Registered_user]])</f>
        <v>52</v>
      </c>
    </row>
    <row r="69" spans="1:19" x14ac:dyDescent="0.3">
      <c r="A69" s="4">
        <v>68</v>
      </c>
      <c r="B69" s="7" t="s">
        <v>81</v>
      </c>
      <c r="C69" s="6" t="s">
        <v>78</v>
      </c>
      <c r="D69" s="6" t="s">
        <v>79</v>
      </c>
      <c r="E69" s="6" t="s">
        <v>31</v>
      </c>
      <c r="F69" s="35">
        <v>22</v>
      </c>
      <c r="G69" s="15" t="str">
        <f t="shared" si="1"/>
        <v>Evening</v>
      </c>
      <c r="H69" s="6" t="b">
        <v>0</v>
      </c>
      <c r="I69" s="6" t="s">
        <v>54</v>
      </c>
      <c r="J69" s="6" t="str">
        <f>IF(OR(Dataset_AFinal[[#This Row],[Weekday]]="Sat",Dataset_AFinal[[#This Row],[Weekday]]="Sun"),"Weekend", "Weekday")</f>
        <v>Weekday</v>
      </c>
      <c r="K69" s="6" t="s">
        <v>32</v>
      </c>
      <c r="L69" s="6">
        <v>0.14000000000000001</v>
      </c>
      <c r="M69" s="35" t="s">
        <v>44</v>
      </c>
      <c r="N69" s="7">
        <v>0.1515</v>
      </c>
      <c r="O69" s="32">
        <v>0.69</v>
      </c>
      <c r="P69" s="7">
        <v>0.1343</v>
      </c>
      <c r="Q69" s="8">
        <v>0</v>
      </c>
      <c r="R69" s="8">
        <v>20</v>
      </c>
      <c r="S69" s="8">
        <f>SUM(Dataset_AFinal[[#This Row],[Casual_user]:[Registered_user]])</f>
        <v>20</v>
      </c>
    </row>
    <row r="70" spans="1:19" x14ac:dyDescent="0.3">
      <c r="A70" s="4">
        <v>69</v>
      </c>
      <c r="B70" s="7" t="s">
        <v>81</v>
      </c>
      <c r="C70" s="6" t="s">
        <v>78</v>
      </c>
      <c r="D70" s="6" t="s">
        <v>79</v>
      </c>
      <c r="E70" s="6" t="s">
        <v>31</v>
      </c>
      <c r="F70" s="35">
        <v>23</v>
      </c>
      <c r="G70" s="15" t="str">
        <f t="shared" si="1"/>
        <v>Evening</v>
      </c>
      <c r="H70" s="6" t="b">
        <v>0</v>
      </c>
      <c r="I70" s="6" t="s">
        <v>54</v>
      </c>
      <c r="J70" s="6" t="str">
        <f>IF(OR(Dataset_AFinal[[#This Row],[Weekday]]="Sat",Dataset_AFinal[[#This Row],[Weekday]]="Sun"),"Weekend", "Weekday")</f>
        <v>Weekday</v>
      </c>
      <c r="K70" s="6" t="s">
        <v>32</v>
      </c>
      <c r="L70" s="6">
        <v>0.18</v>
      </c>
      <c r="M70" s="35" t="s">
        <v>40</v>
      </c>
      <c r="N70" s="7">
        <v>0.21210000000000001</v>
      </c>
      <c r="O70" s="32">
        <v>0.55000000000000004</v>
      </c>
      <c r="P70" s="7">
        <v>0.1045</v>
      </c>
      <c r="Q70" s="8">
        <v>1</v>
      </c>
      <c r="R70" s="8">
        <v>11</v>
      </c>
      <c r="S70" s="8">
        <f>SUM(Dataset_AFinal[[#This Row],[Casual_user]:[Registered_user]])</f>
        <v>12</v>
      </c>
    </row>
    <row r="71" spans="1:19" x14ac:dyDescent="0.3">
      <c r="A71" s="4">
        <v>70</v>
      </c>
      <c r="B71" s="7" t="s">
        <v>82</v>
      </c>
      <c r="C71" s="6" t="s">
        <v>78</v>
      </c>
      <c r="D71" s="6" t="s">
        <v>79</v>
      </c>
      <c r="E71" s="6" t="s">
        <v>31</v>
      </c>
      <c r="F71" s="35">
        <v>0</v>
      </c>
      <c r="G71" s="15" t="str">
        <f t="shared" si="1"/>
        <v>Night</v>
      </c>
      <c r="H71" s="6" t="b">
        <v>0</v>
      </c>
      <c r="I71" s="6" t="s">
        <v>55</v>
      </c>
      <c r="J71" s="6" t="str">
        <f>IF(OR(Dataset_AFinal[[#This Row],[Weekday]]="Sat",Dataset_AFinal[[#This Row],[Weekday]]="Sun"),"Weekend", "Weekday")</f>
        <v>Weekday</v>
      </c>
      <c r="K71" s="6" t="s">
        <v>32</v>
      </c>
      <c r="L71" s="6">
        <v>0.16</v>
      </c>
      <c r="M71" s="35" t="s">
        <v>40</v>
      </c>
      <c r="N71" s="7">
        <f>0.2</f>
        <v>0.2</v>
      </c>
      <c r="O71" s="32">
        <v>0.55000000000000004</v>
      </c>
      <c r="P71" s="7">
        <v>0.1045</v>
      </c>
      <c r="Q71" s="8">
        <v>0</v>
      </c>
      <c r="R71" s="8">
        <v>5</v>
      </c>
      <c r="S71" s="8">
        <f>SUM(Dataset_AFinal[[#This Row],[Casual_user]:[Registered_user]])</f>
        <v>5</v>
      </c>
    </row>
    <row r="72" spans="1:19" x14ac:dyDescent="0.3">
      <c r="A72" s="4">
        <v>71</v>
      </c>
      <c r="B72" s="7" t="s">
        <v>82</v>
      </c>
      <c r="C72" s="6" t="s">
        <v>78</v>
      </c>
      <c r="D72" s="6" t="s">
        <v>79</v>
      </c>
      <c r="E72" s="6" t="s">
        <v>31</v>
      </c>
      <c r="F72" s="35">
        <v>1</v>
      </c>
      <c r="G72" s="15" t="str">
        <f t="shared" si="1"/>
        <v>Night</v>
      </c>
      <c r="H72" s="6" t="b">
        <v>0</v>
      </c>
      <c r="I72" s="6" t="s">
        <v>55</v>
      </c>
      <c r="J72" s="6" t="str">
        <f>IF(OR(Dataset_AFinal[[#This Row],[Weekday]]="Sat",Dataset_AFinal[[#This Row],[Weekday]]="Sun"),"Weekend", "Weekday")</f>
        <v>Weekday</v>
      </c>
      <c r="K72" s="6" t="s">
        <v>32</v>
      </c>
      <c r="L72" s="6">
        <v>0.16</v>
      </c>
      <c r="M72" s="35" t="s">
        <v>40</v>
      </c>
      <c r="N72" s="7">
        <v>0.18179999999999999</v>
      </c>
      <c r="O72" s="32">
        <v>0.59</v>
      </c>
      <c r="P72" s="7">
        <v>0.1045</v>
      </c>
      <c r="Q72" s="8">
        <v>0</v>
      </c>
      <c r="R72" s="8">
        <v>2</v>
      </c>
      <c r="S72" s="8">
        <f>SUM(Dataset_AFinal[[#This Row],[Casual_user]:[Registered_user]])</f>
        <v>2</v>
      </c>
    </row>
    <row r="73" spans="1:19" x14ac:dyDescent="0.3">
      <c r="A73" s="4">
        <v>72</v>
      </c>
      <c r="B73" s="7" t="s">
        <v>82</v>
      </c>
      <c r="C73" s="6" t="s">
        <v>78</v>
      </c>
      <c r="D73" s="6" t="s">
        <v>79</v>
      </c>
      <c r="E73" s="6" t="s">
        <v>31</v>
      </c>
      <c r="F73" s="35">
        <v>2</v>
      </c>
      <c r="G73" s="15" t="str">
        <f t="shared" si="1"/>
        <v>Night</v>
      </c>
      <c r="H73" s="6" t="b">
        <v>0</v>
      </c>
      <c r="I73" s="6" t="s">
        <v>55</v>
      </c>
      <c r="J73" s="6" t="str">
        <f>IF(OR(Dataset_AFinal[[#This Row],[Weekday]]="Sat",Dataset_AFinal[[#This Row],[Weekday]]="Sun"),"Weekend", "Weekday")</f>
        <v>Weekday</v>
      </c>
      <c r="K73" s="6" t="s">
        <v>32</v>
      </c>
      <c r="L73" s="6">
        <v>0.14000000000000001</v>
      </c>
      <c r="M73" s="35" t="s">
        <v>44</v>
      </c>
      <c r="N73" s="7">
        <v>0.1515</v>
      </c>
      <c r="O73" s="32">
        <v>0.63</v>
      </c>
      <c r="P73" s="7">
        <v>0.1343</v>
      </c>
      <c r="Q73" s="8">
        <v>0</v>
      </c>
      <c r="R73" s="8">
        <v>1</v>
      </c>
      <c r="S73" s="8">
        <f>SUM(Dataset_AFinal[[#This Row],[Casual_user]:[Registered_user]])</f>
        <v>1</v>
      </c>
    </row>
    <row r="74" spans="1:19" x14ac:dyDescent="0.3">
      <c r="A74" s="4">
        <v>73</v>
      </c>
      <c r="B74" s="7" t="s">
        <v>82</v>
      </c>
      <c r="C74" s="6" t="s">
        <v>78</v>
      </c>
      <c r="D74" s="6" t="s">
        <v>79</v>
      </c>
      <c r="E74" s="6" t="s">
        <v>31</v>
      </c>
      <c r="F74" s="35">
        <v>4</v>
      </c>
      <c r="G74" s="15" t="str">
        <f t="shared" si="1"/>
        <v>Night</v>
      </c>
      <c r="H74" s="6" t="b">
        <v>0</v>
      </c>
      <c r="I74" s="6" t="s">
        <v>55</v>
      </c>
      <c r="J74" s="6" t="str">
        <f>IF(OR(Dataset_AFinal[[#This Row],[Weekday]]="Sat",Dataset_AFinal[[#This Row],[Weekday]]="Sun"),"Weekend", "Weekday")</f>
        <v>Weekday</v>
      </c>
      <c r="K74" s="6" t="s">
        <v>32</v>
      </c>
      <c r="L74" s="6">
        <v>0.14000000000000001</v>
      </c>
      <c r="M74" s="35" t="s">
        <v>44</v>
      </c>
      <c r="N74" s="7">
        <v>0.18179999999999999</v>
      </c>
      <c r="O74" s="32">
        <v>0.63</v>
      </c>
      <c r="P74" s="7">
        <v>8.9599999999999999E-2</v>
      </c>
      <c r="Q74" s="8">
        <v>0</v>
      </c>
      <c r="R74" s="8">
        <v>2</v>
      </c>
      <c r="S74" s="8">
        <f>SUM(Dataset_AFinal[[#This Row],[Casual_user]:[Registered_user]])</f>
        <v>2</v>
      </c>
    </row>
    <row r="75" spans="1:19" x14ac:dyDescent="0.3">
      <c r="A75" s="4">
        <v>74</v>
      </c>
      <c r="B75" s="7" t="s">
        <v>82</v>
      </c>
      <c r="C75" s="6" t="s">
        <v>78</v>
      </c>
      <c r="D75" s="6" t="s">
        <v>79</v>
      </c>
      <c r="E75" s="6" t="s">
        <v>31</v>
      </c>
      <c r="F75" s="35">
        <v>5</v>
      </c>
      <c r="G75" s="15" t="str">
        <f t="shared" si="1"/>
        <v>Night</v>
      </c>
      <c r="H75" s="6" t="b">
        <v>0</v>
      </c>
      <c r="I75" s="6" t="s">
        <v>55</v>
      </c>
      <c r="J75" s="6" t="str">
        <f>IF(OR(Dataset_AFinal[[#This Row],[Weekday]]="Sat",Dataset_AFinal[[#This Row],[Weekday]]="Sun"),"Weekend", "Weekday")</f>
        <v>Weekday</v>
      </c>
      <c r="K75" s="6" t="s">
        <v>32</v>
      </c>
      <c r="L75" s="6">
        <v>0.12</v>
      </c>
      <c r="M75" s="35" t="s">
        <v>44</v>
      </c>
      <c r="N75" s="7">
        <v>0.1515</v>
      </c>
      <c r="O75" s="32">
        <v>0.68</v>
      </c>
      <c r="P75" s="7">
        <v>0.1045</v>
      </c>
      <c r="Q75" s="8">
        <v>0</v>
      </c>
      <c r="R75" s="8">
        <v>4</v>
      </c>
      <c r="S75" s="8">
        <f>SUM(Dataset_AFinal[[#This Row],[Casual_user]:[Registered_user]])</f>
        <v>4</v>
      </c>
    </row>
    <row r="76" spans="1:19" x14ac:dyDescent="0.3">
      <c r="A76" s="4">
        <v>75</v>
      </c>
      <c r="B76" s="7" t="s">
        <v>82</v>
      </c>
      <c r="C76" s="6" t="s">
        <v>78</v>
      </c>
      <c r="D76" s="6" t="s">
        <v>79</v>
      </c>
      <c r="E76" s="6" t="s">
        <v>31</v>
      </c>
      <c r="F76" s="35">
        <v>6</v>
      </c>
      <c r="G76" s="15" t="str">
        <f t="shared" si="1"/>
        <v>Morning</v>
      </c>
      <c r="H76" s="6" t="b">
        <v>0</v>
      </c>
      <c r="I76" s="6" t="s">
        <v>55</v>
      </c>
      <c r="J76" s="6" t="str">
        <f>IF(OR(Dataset_AFinal[[#This Row],[Weekday]]="Sat",Dataset_AFinal[[#This Row],[Weekday]]="Sun"),"Weekend", "Weekday")</f>
        <v>Weekday</v>
      </c>
      <c r="K76" s="6" t="s">
        <v>32</v>
      </c>
      <c r="L76" s="6">
        <v>0.12</v>
      </c>
      <c r="M76" s="35" t="s">
        <v>44</v>
      </c>
      <c r="N76" s="7">
        <v>0.1515</v>
      </c>
      <c r="O76" s="32">
        <v>0.74</v>
      </c>
      <c r="P76" s="7">
        <v>0.1045</v>
      </c>
      <c r="Q76" s="8">
        <v>0</v>
      </c>
      <c r="R76" s="8">
        <v>36</v>
      </c>
      <c r="S76" s="8">
        <f>SUM(Dataset_AFinal[[#This Row],[Casual_user]:[Registered_user]])</f>
        <v>36</v>
      </c>
    </row>
    <row r="77" spans="1:19" x14ac:dyDescent="0.3">
      <c r="A77" s="4">
        <v>76</v>
      </c>
      <c r="B77" s="7" t="s">
        <v>82</v>
      </c>
      <c r="C77" s="6" t="s">
        <v>78</v>
      </c>
      <c r="D77" s="6" t="s">
        <v>79</v>
      </c>
      <c r="E77" s="6" t="s">
        <v>31</v>
      </c>
      <c r="F77" s="35">
        <v>7</v>
      </c>
      <c r="G77" s="15" t="str">
        <f t="shared" si="1"/>
        <v>Morning</v>
      </c>
      <c r="H77" s="6" t="b">
        <v>0</v>
      </c>
      <c r="I77" s="6" t="s">
        <v>55</v>
      </c>
      <c r="J77" s="6" t="str">
        <f>IF(OR(Dataset_AFinal[[#This Row],[Weekday]]="Sat",Dataset_AFinal[[#This Row],[Weekday]]="Sun"),"Weekend", "Weekday")</f>
        <v>Weekday</v>
      </c>
      <c r="K77" s="6" t="s">
        <v>32</v>
      </c>
      <c r="L77" s="6">
        <v>0.12</v>
      </c>
      <c r="M77" s="35" t="s">
        <v>44</v>
      </c>
      <c r="N77" s="7">
        <v>0.1515</v>
      </c>
      <c r="O77" s="32">
        <v>0.74</v>
      </c>
      <c r="P77" s="7">
        <v>0.1343</v>
      </c>
      <c r="Q77" s="8">
        <v>2</v>
      </c>
      <c r="R77" s="8">
        <v>92</v>
      </c>
      <c r="S77" s="8">
        <f>SUM(Dataset_AFinal[[#This Row],[Casual_user]:[Registered_user]])</f>
        <v>94</v>
      </c>
    </row>
    <row r="78" spans="1:19" x14ac:dyDescent="0.3">
      <c r="A78" s="4">
        <v>77</v>
      </c>
      <c r="B78" s="7" t="s">
        <v>82</v>
      </c>
      <c r="C78" s="6" t="s">
        <v>78</v>
      </c>
      <c r="D78" s="6" t="s">
        <v>79</v>
      </c>
      <c r="E78" s="6" t="s">
        <v>31</v>
      </c>
      <c r="F78" s="35">
        <v>8</v>
      </c>
      <c r="G78" s="15" t="str">
        <f t="shared" si="1"/>
        <v>Morning</v>
      </c>
      <c r="H78" s="6" t="b">
        <v>0</v>
      </c>
      <c r="I78" s="6" t="s">
        <v>55</v>
      </c>
      <c r="J78" s="6" t="str">
        <f>IF(OR(Dataset_AFinal[[#This Row],[Weekday]]="Sat",Dataset_AFinal[[#This Row],[Weekday]]="Sun"),"Weekend", "Weekday")</f>
        <v>Weekday</v>
      </c>
      <c r="K78" s="6" t="s">
        <v>32</v>
      </c>
      <c r="L78" s="6">
        <v>0.14000000000000001</v>
      </c>
      <c r="M78" s="35" t="s">
        <v>44</v>
      </c>
      <c r="N78" s="7">
        <v>0.1515</v>
      </c>
      <c r="O78" s="32">
        <v>0.69</v>
      </c>
      <c r="P78" s="7">
        <v>0.16420000000000001</v>
      </c>
      <c r="Q78" s="8">
        <v>2</v>
      </c>
      <c r="R78" s="8">
        <v>177</v>
      </c>
      <c r="S78" s="8">
        <f>SUM(Dataset_AFinal[[#This Row],[Casual_user]:[Registered_user]])</f>
        <v>179</v>
      </c>
    </row>
    <row r="79" spans="1:19" x14ac:dyDescent="0.3">
      <c r="A79" s="4">
        <v>78</v>
      </c>
      <c r="B79" s="7" t="s">
        <v>82</v>
      </c>
      <c r="C79" s="6" t="s">
        <v>78</v>
      </c>
      <c r="D79" s="6" t="s">
        <v>79</v>
      </c>
      <c r="E79" s="6" t="s">
        <v>31</v>
      </c>
      <c r="F79" s="35">
        <v>9</v>
      </c>
      <c r="G79" s="15" t="str">
        <f t="shared" si="1"/>
        <v>Morning</v>
      </c>
      <c r="H79" s="6" t="b">
        <v>0</v>
      </c>
      <c r="I79" s="6" t="s">
        <v>55</v>
      </c>
      <c r="J79" s="6" t="str">
        <f>IF(OR(Dataset_AFinal[[#This Row],[Weekday]]="Sat",Dataset_AFinal[[#This Row],[Weekday]]="Sun"),"Weekend", "Weekday")</f>
        <v>Weekday</v>
      </c>
      <c r="K79" s="6" t="s">
        <v>32</v>
      </c>
      <c r="L79" s="6">
        <v>0.16</v>
      </c>
      <c r="M79" s="35" t="s">
        <v>40</v>
      </c>
      <c r="N79" s="7">
        <v>0.1515</v>
      </c>
      <c r="O79" s="32">
        <v>0.64</v>
      </c>
      <c r="P79" s="7">
        <v>0.22389999999999999</v>
      </c>
      <c r="Q79" s="8">
        <v>2</v>
      </c>
      <c r="R79" s="8">
        <v>98</v>
      </c>
      <c r="S79" s="8">
        <f>SUM(Dataset_AFinal[[#This Row],[Casual_user]:[Registered_user]])</f>
        <v>100</v>
      </c>
    </row>
    <row r="80" spans="1:19" x14ac:dyDescent="0.3">
      <c r="A80" s="4">
        <v>79</v>
      </c>
      <c r="B80" s="7" t="s">
        <v>82</v>
      </c>
      <c r="C80" s="6" t="s">
        <v>78</v>
      </c>
      <c r="D80" s="6" t="s">
        <v>79</v>
      </c>
      <c r="E80" s="6" t="s">
        <v>31</v>
      </c>
      <c r="F80" s="35">
        <v>10</v>
      </c>
      <c r="G80" s="15" t="str">
        <f t="shared" si="1"/>
        <v>Morning</v>
      </c>
      <c r="H80" s="6" t="b">
        <v>0</v>
      </c>
      <c r="I80" s="6" t="s">
        <v>55</v>
      </c>
      <c r="J80" s="6" t="str">
        <f>IF(OR(Dataset_AFinal[[#This Row],[Weekday]]="Sat",Dataset_AFinal[[#This Row],[Weekday]]="Sun"),"Weekend", "Weekday")</f>
        <v>Weekday</v>
      </c>
      <c r="K80" s="6" t="s">
        <v>33</v>
      </c>
      <c r="L80" s="6">
        <v>0.16</v>
      </c>
      <c r="M80" s="35" t="s">
        <v>40</v>
      </c>
      <c r="N80" s="7">
        <v>0.13639999999999999</v>
      </c>
      <c r="O80" s="32">
        <v>0.69</v>
      </c>
      <c r="P80" s="7">
        <v>0.32840000000000003</v>
      </c>
      <c r="Q80" s="8">
        <v>5</v>
      </c>
      <c r="R80" s="8">
        <v>37</v>
      </c>
      <c r="S80" s="8">
        <f>SUM(Dataset_AFinal[[#This Row],[Casual_user]:[Registered_user]])</f>
        <v>42</v>
      </c>
    </row>
    <row r="81" spans="1:19" x14ac:dyDescent="0.3">
      <c r="A81" s="4">
        <v>80</v>
      </c>
      <c r="B81" s="7" t="s">
        <v>82</v>
      </c>
      <c r="C81" s="6" t="s">
        <v>78</v>
      </c>
      <c r="D81" s="6" t="s">
        <v>79</v>
      </c>
      <c r="E81" s="6" t="s">
        <v>31</v>
      </c>
      <c r="F81" s="35">
        <v>11</v>
      </c>
      <c r="G81" s="15" t="str">
        <f t="shared" si="1"/>
        <v>Morning</v>
      </c>
      <c r="H81" s="6" t="b">
        <v>0</v>
      </c>
      <c r="I81" s="6" t="s">
        <v>55</v>
      </c>
      <c r="J81" s="6" t="str">
        <f>IF(OR(Dataset_AFinal[[#This Row],[Weekday]]="Sat",Dataset_AFinal[[#This Row],[Weekday]]="Sun"),"Weekend", "Weekday")</f>
        <v>Weekday</v>
      </c>
      <c r="K81" s="6" t="s">
        <v>32</v>
      </c>
      <c r="L81" s="6">
        <v>0.22</v>
      </c>
      <c r="M81" s="35" t="s">
        <v>40</v>
      </c>
      <c r="N81" s="7">
        <v>0.21210000000000001</v>
      </c>
      <c r="O81" s="32">
        <v>0.51</v>
      </c>
      <c r="P81" s="7">
        <v>0.29849999999999999</v>
      </c>
      <c r="Q81" s="8">
        <v>7</v>
      </c>
      <c r="R81" s="8">
        <v>50</v>
      </c>
      <c r="S81" s="8">
        <f>SUM(Dataset_AFinal[[#This Row],[Casual_user]:[Registered_user]])</f>
        <v>57</v>
      </c>
    </row>
    <row r="82" spans="1:19" x14ac:dyDescent="0.3">
      <c r="A82" s="4">
        <v>81</v>
      </c>
      <c r="B82" s="7" t="s">
        <v>82</v>
      </c>
      <c r="C82" s="6" t="s">
        <v>78</v>
      </c>
      <c r="D82" s="6" t="s">
        <v>79</v>
      </c>
      <c r="E82" s="6" t="s">
        <v>31</v>
      </c>
      <c r="F82" s="35">
        <v>12</v>
      </c>
      <c r="G82" s="15" t="str">
        <f t="shared" si="1"/>
        <v>Afternoon</v>
      </c>
      <c r="H82" s="6" t="b">
        <v>0</v>
      </c>
      <c r="I82" s="6" t="s">
        <v>55</v>
      </c>
      <c r="J82" s="6" t="str">
        <f>IF(OR(Dataset_AFinal[[#This Row],[Weekday]]="Sat",Dataset_AFinal[[#This Row],[Weekday]]="Sun"),"Weekend", "Weekday")</f>
        <v>Weekday</v>
      </c>
      <c r="K82" s="6" t="s">
        <v>32</v>
      </c>
      <c r="L82" s="6">
        <v>0.22</v>
      </c>
      <c r="M82" s="35" t="s">
        <v>40</v>
      </c>
      <c r="N82" s="7">
        <v>0.2273</v>
      </c>
      <c r="O82" s="32">
        <v>0.51</v>
      </c>
      <c r="P82" s="7">
        <v>0.16420000000000001</v>
      </c>
      <c r="Q82" s="8">
        <v>12</v>
      </c>
      <c r="R82" s="8">
        <v>66</v>
      </c>
      <c r="S82" s="8">
        <f>SUM(Dataset_AFinal[[#This Row],[Casual_user]:[Registered_user]])</f>
        <v>78</v>
      </c>
    </row>
    <row r="83" spans="1:19" x14ac:dyDescent="0.3">
      <c r="A83" s="4">
        <v>82</v>
      </c>
      <c r="B83" s="7" t="s">
        <v>82</v>
      </c>
      <c r="C83" s="6" t="s">
        <v>78</v>
      </c>
      <c r="D83" s="6" t="s">
        <v>79</v>
      </c>
      <c r="E83" s="6" t="s">
        <v>31</v>
      </c>
      <c r="F83" s="35">
        <v>13</v>
      </c>
      <c r="G83" s="15" t="str">
        <f t="shared" si="1"/>
        <v>Afternoon</v>
      </c>
      <c r="H83" s="6" t="b">
        <v>0</v>
      </c>
      <c r="I83" s="6" t="s">
        <v>55</v>
      </c>
      <c r="J83" s="6" t="str">
        <f>IF(OR(Dataset_AFinal[[#This Row],[Weekday]]="Sat",Dataset_AFinal[[#This Row],[Weekday]]="Sun"),"Weekend", "Weekday")</f>
        <v>Weekday</v>
      </c>
      <c r="K83" s="6" t="s">
        <v>32</v>
      </c>
      <c r="L83" s="6">
        <v>0.24</v>
      </c>
      <c r="M83" s="35" t="s">
        <v>40</v>
      </c>
      <c r="N83" s="7">
        <v>0.2273</v>
      </c>
      <c r="O83" s="32">
        <v>0.56000000000000005</v>
      </c>
      <c r="P83" s="7">
        <v>0.19400000000000001</v>
      </c>
      <c r="Q83" s="8">
        <v>18</v>
      </c>
      <c r="R83" s="8">
        <v>79</v>
      </c>
      <c r="S83" s="8">
        <f>SUM(Dataset_AFinal[[#This Row],[Casual_user]:[Registered_user]])</f>
        <v>97</v>
      </c>
    </row>
    <row r="84" spans="1:19" x14ac:dyDescent="0.3">
      <c r="A84" s="4">
        <v>83</v>
      </c>
      <c r="B84" s="7" t="s">
        <v>82</v>
      </c>
      <c r="C84" s="6" t="s">
        <v>78</v>
      </c>
      <c r="D84" s="6" t="s">
        <v>79</v>
      </c>
      <c r="E84" s="6" t="s">
        <v>31</v>
      </c>
      <c r="F84" s="35">
        <v>14</v>
      </c>
      <c r="G84" s="15" t="str">
        <f t="shared" si="1"/>
        <v>Afternoon</v>
      </c>
      <c r="H84" s="6" t="b">
        <v>0</v>
      </c>
      <c r="I84" s="6" t="s">
        <v>55</v>
      </c>
      <c r="J84" s="6" t="str">
        <f>IF(OR(Dataset_AFinal[[#This Row],[Weekday]]="Sat",Dataset_AFinal[[#This Row],[Weekday]]="Sun"),"Weekend", "Weekday")</f>
        <v>Weekday</v>
      </c>
      <c r="K84" s="6" t="s">
        <v>32</v>
      </c>
      <c r="L84" s="6">
        <v>0.26</v>
      </c>
      <c r="M84" s="35" t="s">
        <v>41</v>
      </c>
      <c r="N84" s="7">
        <v>0.2576</v>
      </c>
      <c r="O84" s="32">
        <v>0.52</v>
      </c>
      <c r="P84" s="7">
        <v>0.22389999999999999</v>
      </c>
      <c r="Q84" s="8">
        <v>9</v>
      </c>
      <c r="R84" s="8">
        <v>54</v>
      </c>
      <c r="S84" s="8">
        <f>SUM(Dataset_AFinal[[#This Row],[Casual_user]:[Registered_user]])</f>
        <v>63</v>
      </c>
    </row>
    <row r="85" spans="1:19" x14ac:dyDescent="0.3">
      <c r="A85" s="4">
        <v>84</v>
      </c>
      <c r="B85" s="7" t="s">
        <v>82</v>
      </c>
      <c r="C85" s="6" t="s">
        <v>78</v>
      </c>
      <c r="D85" s="6" t="s">
        <v>79</v>
      </c>
      <c r="E85" s="6" t="s">
        <v>31</v>
      </c>
      <c r="F85" s="35">
        <v>15</v>
      </c>
      <c r="G85" s="15" t="str">
        <f t="shared" si="1"/>
        <v>Afternoon</v>
      </c>
      <c r="H85" s="6" t="b">
        <v>0</v>
      </c>
      <c r="I85" s="6" t="s">
        <v>55</v>
      </c>
      <c r="J85" s="6" t="str">
        <f>IF(OR(Dataset_AFinal[[#This Row],[Weekday]]="Sat",Dataset_AFinal[[#This Row],[Weekday]]="Sun"),"Weekend", "Weekday")</f>
        <v>Weekday</v>
      </c>
      <c r="K85" s="6" t="s">
        <v>32</v>
      </c>
      <c r="L85" s="6">
        <v>0.28000000000000003</v>
      </c>
      <c r="M85" s="35" t="s">
        <v>41</v>
      </c>
      <c r="N85" s="7">
        <v>0.2727</v>
      </c>
      <c r="O85" s="32">
        <v>0.52</v>
      </c>
      <c r="P85" s="7">
        <v>0.25369999999999998</v>
      </c>
      <c r="Q85" s="8">
        <v>17</v>
      </c>
      <c r="R85" s="8">
        <v>48</v>
      </c>
      <c r="S85" s="8">
        <f>SUM(Dataset_AFinal[[#This Row],[Casual_user]:[Registered_user]])</f>
        <v>65</v>
      </c>
    </row>
    <row r="86" spans="1:19" x14ac:dyDescent="0.3">
      <c r="A86" s="4">
        <v>85</v>
      </c>
      <c r="B86" s="7" t="s">
        <v>82</v>
      </c>
      <c r="C86" s="6" t="s">
        <v>78</v>
      </c>
      <c r="D86" s="6" t="s">
        <v>79</v>
      </c>
      <c r="E86" s="6" t="s">
        <v>31</v>
      </c>
      <c r="F86" s="35">
        <v>16</v>
      </c>
      <c r="G86" s="15" t="str">
        <f t="shared" si="1"/>
        <v>Afternoon</v>
      </c>
      <c r="H86" s="6" t="b">
        <v>0</v>
      </c>
      <c r="I86" s="6" t="s">
        <v>55</v>
      </c>
      <c r="J86" s="6" t="str">
        <f>IF(OR(Dataset_AFinal[[#This Row],[Weekday]]="Sat",Dataset_AFinal[[#This Row],[Weekday]]="Sun"),"Weekend", "Weekday")</f>
        <v>Weekday</v>
      </c>
      <c r="K86" s="6" t="s">
        <v>32</v>
      </c>
      <c r="L86" s="6">
        <v>0.3</v>
      </c>
      <c r="M86" s="35" t="s">
        <v>41</v>
      </c>
      <c r="N86" s="7">
        <v>0.28789999999999999</v>
      </c>
      <c r="O86" s="32">
        <v>0.49</v>
      </c>
      <c r="P86" s="7">
        <v>0.25369999999999998</v>
      </c>
      <c r="Q86" s="8">
        <v>15</v>
      </c>
      <c r="R86" s="8">
        <v>68</v>
      </c>
      <c r="S86" s="8">
        <f>SUM(Dataset_AFinal[[#This Row],[Casual_user]:[Registered_user]])</f>
        <v>83</v>
      </c>
    </row>
    <row r="87" spans="1:19" x14ac:dyDescent="0.3">
      <c r="A87" s="4">
        <v>86</v>
      </c>
      <c r="B87" s="7" t="s">
        <v>82</v>
      </c>
      <c r="C87" s="6" t="s">
        <v>78</v>
      </c>
      <c r="D87" s="6" t="s">
        <v>79</v>
      </c>
      <c r="E87" s="6" t="s">
        <v>31</v>
      </c>
      <c r="F87" s="35">
        <v>17</v>
      </c>
      <c r="G87" s="15" t="str">
        <f t="shared" si="1"/>
        <v>Afternoon</v>
      </c>
      <c r="H87" s="6" t="b">
        <v>0</v>
      </c>
      <c r="I87" s="6" t="s">
        <v>55</v>
      </c>
      <c r="J87" s="6" t="str">
        <f>IF(OR(Dataset_AFinal[[#This Row],[Weekday]]="Sat",Dataset_AFinal[[#This Row],[Weekday]]="Sun"),"Weekend", "Weekday")</f>
        <v>Weekday</v>
      </c>
      <c r="K87" s="6" t="s">
        <v>32</v>
      </c>
      <c r="L87" s="6">
        <v>0.28000000000000003</v>
      </c>
      <c r="M87" s="35" t="s">
        <v>41</v>
      </c>
      <c r="N87" s="7">
        <v>0.2727</v>
      </c>
      <c r="O87" s="32">
        <v>0.48</v>
      </c>
      <c r="P87" s="7">
        <v>0.22389999999999999</v>
      </c>
      <c r="Q87" s="8">
        <v>10</v>
      </c>
      <c r="R87" s="8">
        <v>202</v>
      </c>
      <c r="S87" s="8">
        <f>SUM(Dataset_AFinal[[#This Row],[Casual_user]:[Registered_user]])</f>
        <v>212</v>
      </c>
    </row>
    <row r="88" spans="1:19" x14ac:dyDescent="0.3">
      <c r="A88" s="4">
        <v>87</v>
      </c>
      <c r="B88" s="7" t="s">
        <v>82</v>
      </c>
      <c r="C88" s="6" t="s">
        <v>78</v>
      </c>
      <c r="D88" s="6" t="s">
        <v>79</v>
      </c>
      <c r="E88" s="6" t="s">
        <v>31</v>
      </c>
      <c r="F88" s="35">
        <v>18</v>
      </c>
      <c r="G88" s="15" t="str">
        <f t="shared" si="1"/>
        <v>Evening</v>
      </c>
      <c r="H88" s="6" t="b">
        <v>0</v>
      </c>
      <c r="I88" s="6" t="s">
        <v>55</v>
      </c>
      <c r="J88" s="6" t="str">
        <f>IF(OR(Dataset_AFinal[[#This Row],[Weekday]]="Sat",Dataset_AFinal[[#This Row],[Weekday]]="Sun"),"Weekend", "Weekday")</f>
        <v>Weekday</v>
      </c>
      <c r="K88" s="6" t="s">
        <v>32</v>
      </c>
      <c r="L88" s="6">
        <v>0.26</v>
      </c>
      <c r="M88" s="35" t="s">
        <v>41</v>
      </c>
      <c r="N88" s="7">
        <v>0.2576</v>
      </c>
      <c r="O88" s="32">
        <v>0.48</v>
      </c>
      <c r="P88" s="7">
        <v>0.19400000000000001</v>
      </c>
      <c r="Q88" s="8">
        <v>3</v>
      </c>
      <c r="R88" s="8">
        <v>179</v>
      </c>
      <c r="S88" s="8">
        <f>SUM(Dataset_AFinal[[#This Row],[Casual_user]:[Registered_user]])</f>
        <v>182</v>
      </c>
    </row>
    <row r="89" spans="1:19" x14ac:dyDescent="0.3">
      <c r="A89" s="4">
        <v>88</v>
      </c>
      <c r="B89" s="7" t="s">
        <v>82</v>
      </c>
      <c r="C89" s="6" t="s">
        <v>78</v>
      </c>
      <c r="D89" s="6" t="s">
        <v>79</v>
      </c>
      <c r="E89" s="6" t="s">
        <v>31</v>
      </c>
      <c r="F89" s="35">
        <v>19</v>
      </c>
      <c r="G89" s="15" t="str">
        <f t="shared" si="1"/>
        <v>Evening</v>
      </c>
      <c r="H89" s="6" t="b">
        <v>0</v>
      </c>
      <c r="I89" s="6" t="s">
        <v>55</v>
      </c>
      <c r="J89" s="6" t="str">
        <f>IF(OR(Dataset_AFinal[[#This Row],[Weekday]]="Sat",Dataset_AFinal[[#This Row],[Weekday]]="Sun"),"Weekend", "Weekday")</f>
        <v>Weekday</v>
      </c>
      <c r="K89" s="6" t="s">
        <v>32</v>
      </c>
      <c r="L89" s="6">
        <v>0.24</v>
      </c>
      <c r="M89" s="35" t="s">
        <v>40</v>
      </c>
      <c r="N89" s="7">
        <v>0.2576</v>
      </c>
      <c r="O89" s="32">
        <v>0.48</v>
      </c>
      <c r="P89" s="7">
        <v>0.1045</v>
      </c>
      <c r="Q89" s="8">
        <v>2</v>
      </c>
      <c r="R89" s="8">
        <v>110</v>
      </c>
      <c r="S89" s="8">
        <f>SUM(Dataset_AFinal[[#This Row],[Casual_user]:[Registered_user]])</f>
        <v>112</v>
      </c>
    </row>
    <row r="90" spans="1:19" x14ac:dyDescent="0.3">
      <c r="A90" s="4">
        <v>89</v>
      </c>
      <c r="B90" s="7" t="s">
        <v>82</v>
      </c>
      <c r="C90" s="6" t="s">
        <v>78</v>
      </c>
      <c r="D90" s="6" t="s">
        <v>79</v>
      </c>
      <c r="E90" s="6" t="s">
        <v>31</v>
      </c>
      <c r="F90" s="35">
        <v>20</v>
      </c>
      <c r="G90" s="15" t="str">
        <f t="shared" si="1"/>
        <v>Evening</v>
      </c>
      <c r="H90" s="6" t="b">
        <v>0</v>
      </c>
      <c r="I90" s="6" t="s">
        <v>55</v>
      </c>
      <c r="J90" s="6" t="str">
        <f>IF(OR(Dataset_AFinal[[#This Row],[Weekday]]="Sat",Dataset_AFinal[[#This Row],[Weekday]]="Sun"),"Weekend", "Weekday")</f>
        <v>Weekday</v>
      </c>
      <c r="K90" s="6" t="s">
        <v>32</v>
      </c>
      <c r="L90" s="6">
        <v>0.24</v>
      </c>
      <c r="M90" s="35" t="s">
        <v>40</v>
      </c>
      <c r="N90" s="7">
        <v>0.2576</v>
      </c>
      <c r="O90" s="32">
        <v>0.48</v>
      </c>
      <c r="P90" s="7">
        <v>0.1045</v>
      </c>
      <c r="Q90" s="8">
        <v>1</v>
      </c>
      <c r="R90" s="8">
        <v>53</v>
      </c>
      <c r="S90" s="8">
        <f>SUM(Dataset_AFinal[[#This Row],[Casual_user]:[Registered_user]])</f>
        <v>54</v>
      </c>
    </row>
    <row r="91" spans="1:19" x14ac:dyDescent="0.3">
      <c r="A91" s="4">
        <v>90</v>
      </c>
      <c r="B91" s="7" t="s">
        <v>82</v>
      </c>
      <c r="C91" s="6" t="s">
        <v>78</v>
      </c>
      <c r="D91" s="6" t="s">
        <v>79</v>
      </c>
      <c r="E91" s="6" t="s">
        <v>31</v>
      </c>
      <c r="F91" s="35">
        <v>21</v>
      </c>
      <c r="G91" s="15" t="str">
        <f t="shared" si="1"/>
        <v>Evening</v>
      </c>
      <c r="H91" s="6" t="b">
        <v>0</v>
      </c>
      <c r="I91" s="6" t="s">
        <v>55</v>
      </c>
      <c r="J91" s="6" t="str">
        <f>IF(OR(Dataset_AFinal[[#This Row],[Weekday]]="Sat",Dataset_AFinal[[#This Row],[Weekday]]="Sun"),"Weekend", "Weekday")</f>
        <v>Weekday</v>
      </c>
      <c r="K91" s="6" t="s">
        <v>32</v>
      </c>
      <c r="L91" s="6">
        <v>0.22</v>
      </c>
      <c r="M91" s="35" t="s">
        <v>40</v>
      </c>
      <c r="N91" s="7">
        <v>0.2727</v>
      </c>
      <c r="O91" s="32">
        <v>0.64</v>
      </c>
      <c r="P91" s="7">
        <v>0</v>
      </c>
      <c r="Q91" s="8">
        <v>0</v>
      </c>
      <c r="R91" s="8">
        <v>48</v>
      </c>
      <c r="S91" s="8">
        <f>SUM(Dataset_AFinal[[#This Row],[Casual_user]:[Registered_user]])</f>
        <v>48</v>
      </c>
    </row>
    <row r="92" spans="1:19" x14ac:dyDescent="0.3">
      <c r="A92" s="4">
        <v>91</v>
      </c>
      <c r="B92" s="7" t="s">
        <v>82</v>
      </c>
      <c r="C92" s="6" t="s">
        <v>78</v>
      </c>
      <c r="D92" s="6" t="s">
        <v>79</v>
      </c>
      <c r="E92" s="6" t="s">
        <v>31</v>
      </c>
      <c r="F92" s="35">
        <v>22</v>
      </c>
      <c r="G92" s="15" t="str">
        <f t="shared" si="1"/>
        <v>Evening</v>
      </c>
      <c r="H92" s="6" t="b">
        <v>0</v>
      </c>
      <c r="I92" s="6" t="s">
        <v>55</v>
      </c>
      <c r="J92" s="6" t="str">
        <f>IF(OR(Dataset_AFinal[[#This Row],[Weekday]]="Sat",Dataset_AFinal[[#This Row],[Weekday]]="Sun"),"Weekend", "Weekday")</f>
        <v>Weekday</v>
      </c>
      <c r="K92" s="6" t="s">
        <v>32</v>
      </c>
      <c r="L92" s="6">
        <v>0.22</v>
      </c>
      <c r="M92" s="35" t="s">
        <v>40</v>
      </c>
      <c r="N92" s="7">
        <v>0.2576</v>
      </c>
      <c r="O92" s="32">
        <v>0.64</v>
      </c>
      <c r="P92" s="7">
        <v>8.9599999999999999E-2</v>
      </c>
      <c r="Q92" s="8">
        <v>1</v>
      </c>
      <c r="R92" s="8">
        <v>34</v>
      </c>
      <c r="S92" s="8">
        <f>SUM(Dataset_AFinal[[#This Row],[Casual_user]:[Registered_user]])</f>
        <v>35</v>
      </c>
    </row>
    <row r="93" spans="1:19" x14ac:dyDescent="0.3">
      <c r="A93" s="4">
        <v>92</v>
      </c>
      <c r="B93" s="7" t="s">
        <v>82</v>
      </c>
      <c r="C93" s="6" t="s">
        <v>78</v>
      </c>
      <c r="D93" s="6" t="s">
        <v>79</v>
      </c>
      <c r="E93" s="6" t="s">
        <v>31</v>
      </c>
      <c r="F93" s="35">
        <v>23</v>
      </c>
      <c r="G93" s="15" t="str">
        <f t="shared" si="1"/>
        <v>Evening</v>
      </c>
      <c r="H93" s="6" t="b">
        <v>0</v>
      </c>
      <c r="I93" s="6" t="s">
        <v>55</v>
      </c>
      <c r="J93" s="6" t="str">
        <f>IF(OR(Dataset_AFinal[[#This Row],[Weekday]]="Sat",Dataset_AFinal[[#This Row],[Weekday]]="Sun"),"Weekend", "Weekday")</f>
        <v>Weekday</v>
      </c>
      <c r="K93" s="6" t="s">
        <v>32</v>
      </c>
      <c r="L93" s="6">
        <v>0.2</v>
      </c>
      <c r="M93" s="35" t="s">
        <v>40</v>
      </c>
      <c r="N93" s="7">
        <v>0.2273</v>
      </c>
      <c r="O93" s="32">
        <v>0.69</v>
      </c>
      <c r="P93" s="7">
        <v>8.9599999999999999E-2</v>
      </c>
      <c r="Q93" s="8">
        <v>2</v>
      </c>
      <c r="R93" s="8">
        <v>9</v>
      </c>
      <c r="S93" s="8">
        <f>SUM(Dataset_AFinal[[#This Row],[Casual_user]:[Registered_user]])</f>
        <v>11</v>
      </c>
    </row>
    <row r="94" spans="1:19" x14ac:dyDescent="0.3">
      <c r="A94" s="4">
        <v>93</v>
      </c>
      <c r="B94" s="7" t="s">
        <v>83</v>
      </c>
      <c r="C94" s="6" t="s">
        <v>78</v>
      </c>
      <c r="D94" s="6" t="s">
        <v>79</v>
      </c>
      <c r="E94" s="6" t="s">
        <v>31</v>
      </c>
      <c r="F94" s="35">
        <v>0</v>
      </c>
      <c r="G94" s="15" t="str">
        <f t="shared" si="1"/>
        <v>Night</v>
      </c>
      <c r="H94" s="6" t="b">
        <v>0</v>
      </c>
      <c r="I94" s="6" t="s">
        <v>56</v>
      </c>
      <c r="J94" s="6" t="str">
        <f>IF(OR(Dataset_AFinal[[#This Row],[Weekday]]="Sat",Dataset_AFinal[[#This Row],[Weekday]]="Sun"),"Weekend", "Weekday")</f>
        <v>Weekday</v>
      </c>
      <c r="K94" s="6" t="s">
        <v>32</v>
      </c>
      <c r="L94" s="6">
        <v>0.2</v>
      </c>
      <c r="M94" s="35" t="s">
        <v>40</v>
      </c>
      <c r="N94" s="7">
        <v>0.2576</v>
      </c>
      <c r="O94" s="32">
        <v>0.64</v>
      </c>
      <c r="P94" s="7">
        <v>0</v>
      </c>
      <c r="Q94" s="8">
        <v>0</v>
      </c>
      <c r="R94" s="8">
        <v>6</v>
      </c>
      <c r="S94" s="8">
        <f>SUM(Dataset_AFinal[[#This Row],[Casual_user]:[Registered_user]])</f>
        <v>6</v>
      </c>
    </row>
    <row r="95" spans="1:19" x14ac:dyDescent="0.3">
      <c r="A95" s="4">
        <v>94</v>
      </c>
      <c r="B95" s="7" t="s">
        <v>83</v>
      </c>
      <c r="C95" s="6" t="s">
        <v>78</v>
      </c>
      <c r="D95" s="6" t="s">
        <v>79</v>
      </c>
      <c r="E95" s="6" t="s">
        <v>31</v>
      </c>
      <c r="F95" s="35">
        <v>1</v>
      </c>
      <c r="G95" s="15" t="str">
        <f t="shared" si="1"/>
        <v>Night</v>
      </c>
      <c r="H95" s="6" t="b">
        <v>0</v>
      </c>
      <c r="I95" s="6" t="s">
        <v>56</v>
      </c>
      <c r="J95" s="6" t="str">
        <f>IF(OR(Dataset_AFinal[[#This Row],[Weekday]]="Sat",Dataset_AFinal[[#This Row],[Weekday]]="Sun"),"Weekend", "Weekday")</f>
        <v>Weekday</v>
      </c>
      <c r="K95" s="6" t="s">
        <v>32</v>
      </c>
      <c r="L95" s="6">
        <v>0.16</v>
      </c>
      <c r="M95" s="35" t="s">
        <v>40</v>
      </c>
      <c r="N95" s="7">
        <v>0.19700000000000001</v>
      </c>
      <c r="O95" s="32">
        <v>0.74</v>
      </c>
      <c r="P95" s="7">
        <v>8.9599999999999999E-2</v>
      </c>
      <c r="Q95" s="8">
        <v>0</v>
      </c>
      <c r="R95" s="8">
        <v>6</v>
      </c>
      <c r="S95" s="8">
        <f>SUM(Dataset_AFinal[[#This Row],[Casual_user]:[Registered_user]])</f>
        <v>6</v>
      </c>
    </row>
    <row r="96" spans="1:19" x14ac:dyDescent="0.3">
      <c r="A96" s="4">
        <v>95</v>
      </c>
      <c r="B96" s="7" t="s">
        <v>83</v>
      </c>
      <c r="C96" s="6" t="s">
        <v>78</v>
      </c>
      <c r="D96" s="6" t="s">
        <v>79</v>
      </c>
      <c r="E96" s="6" t="s">
        <v>31</v>
      </c>
      <c r="F96" s="35">
        <v>2</v>
      </c>
      <c r="G96" s="15" t="str">
        <f t="shared" si="1"/>
        <v>Night</v>
      </c>
      <c r="H96" s="6" t="b">
        <v>0</v>
      </c>
      <c r="I96" s="6" t="s">
        <v>56</v>
      </c>
      <c r="J96" s="6" t="str">
        <f>IF(OR(Dataset_AFinal[[#This Row],[Weekday]]="Sat",Dataset_AFinal[[#This Row],[Weekday]]="Sun"),"Weekend", "Weekday")</f>
        <v>Weekday</v>
      </c>
      <c r="K96" s="6" t="s">
        <v>32</v>
      </c>
      <c r="L96" s="6">
        <v>0.16</v>
      </c>
      <c r="M96" s="35" t="s">
        <v>40</v>
      </c>
      <c r="N96" s="7">
        <v>0.19700000000000001</v>
      </c>
      <c r="O96" s="32">
        <v>0.74</v>
      </c>
      <c r="P96" s="7">
        <v>8.9599999999999999E-2</v>
      </c>
      <c r="Q96" s="8">
        <v>0</v>
      </c>
      <c r="R96" s="8">
        <v>2</v>
      </c>
      <c r="S96" s="8">
        <f>SUM(Dataset_AFinal[[#This Row],[Casual_user]:[Registered_user]])</f>
        <v>2</v>
      </c>
    </row>
    <row r="97" spans="1:19" x14ac:dyDescent="0.3">
      <c r="A97" s="4">
        <v>96</v>
      </c>
      <c r="B97" s="7" t="s">
        <v>83</v>
      </c>
      <c r="C97" s="6" t="s">
        <v>78</v>
      </c>
      <c r="D97" s="6" t="s">
        <v>79</v>
      </c>
      <c r="E97" s="6" t="s">
        <v>31</v>
      </c>
      <c r="F97" s="35">
        <v>4</v>
      </c>
      <c r="G97" s="15" t="str">
        <f t="shared" si="1"/>
        <v>Night</v>
      </c>
      <c r="H97" s="6" t="b">
        <v>0</v>
      </c>
      <c r="I97" s="6" t="s">
        <v>56</v>
      </c>
      <c r="J97" s="6" t="str">
        <f>IF(OR(Dataset_AFinal[[#This Row],[Weekday]]="Sat",Dataset_AFinal[[#This Row],[Weekday]]="Sun"),"Weekend", "Weekday")</f>
        <v>Weekday</v>
      </c>
      <c r="K97" s="6" t="s">
        <v>32</v>
      </c>
      <c r="L97" s="6">
        <v>0.24</v>
      </c>
      <c r="M97" s="35" t="s">
        <v>40</v>
      </c>
      <c r="N97" s="7">
        <v>0.2273</v>
      </c>
      <c r="O97" s="32">
        <v>0.48</v>
      </c>
      <c r="P97" s="7">
        <v>0.22389999999999999</v>
      </c>
      <c r="Q97" s="8">
        <v>0</v>
      </c>
      <c r="R97" s="8">
        <v>2</v>
      </c>
      <c r="S97" s="8">
        <f>SUM(Dataset_AFinal[[#This Row],[Casual_user]:[Registered_user]])</f>
        <v>2</v>
      </c>
    </row>
    <row r="98" spans="1:19" x14ac:dyDescent="0.3">
      <c r="A98" s="4">
        <v>97</v>
      </c>
      <c r="B98" s="7" t="s">
        <v>83</v>
      </c>
      <c r="C98" s="6" t="s">
        <v>78</v>
      </c>
      <c r="D98" s="6" t="s">
        <v>79</v>
      </c>
      <c r="E98" s="6" t="s">
        <v>31</v>
      </c>
      <c r="F98" s="35">
        <v>5</v>
      </c>
      <c r="G98" s="15" t="str">
        <f t="shared" si="1"/>
        <v>Night</v>
      </c>
      <c r="H98" s="6" t="b">
        <v>0</v>
      </c>
      <c r="I98" s="6" t="s">
        <v>56</v>
      </c>
      <c r="J98" s="6" t="str">
        <f>IF(OR(Dataset_AFinal[[#This Row],[Weekday]]="Sat",Dataset_AFinal[[#This Row],[Weekday]]="Sun"),"Weekend", "Weekday")</f>
        <v>Weekday</v>
      </c>
      <c r="K98" s="6" t="s">
        <v>32</v>
      </c>
      <c r="L98" s="6">
        <v>0.22</v>
      </c>
      <c r="M98" s="35" t="s">
        <v>40</v>
      </c>
      <c r="N98" s="7">
        <v>0.2273</v>
      </c>
      <c r="O98" s="32">
        <v>0.47</v>
      </c>
      <c r="P98" s="7">
        <v>0.16420000000000001</v>
      </c>
      <c r="Q98" s="8">
        <v>0</v>
      </c>
      <c r="R98" s="8">
        <v>3</v>
      </c>
      <c r="S98" s="8">
        <f>SUM(Dataset_AFinal[[#This Row],[Casual_user]:[Registered_user]])</f>
        <v>3</v>
      </c>
    </row>
    <row r="99" spans="1:19" x14ac:dyDescent="0.3">
      <c r="A99" s="4">
        <v>98</v>
      </c>
      <c r="B99" s="7" t="s">
        <v>83</v>
      </c>
      <c r="C99" s="6" t="s">
        <v>78</v>
      </c>
      <c r="D99" s="6" t="s">
        <v>79</v>
      </c>
      <c r="E99" s="6" t="s">
        <v>31</v>
      </c>
      <c r="F99" s="35">
        <v>6</v>
      </c>
      <c r="G99" s="15" t="str">
        <f t="shared" si="1"/>
        <v>Morning</v>
      </c>
      <c r="H99" s="6" t="b">
        <v>0</v>
      </c>
      <c r="I99" s="6" t="s">
        <v>56</v>
      </c>
      <c r="J99" s="6" t="str">
        <f>IF(OR(Dataset_AFinal[[#This Row],[Weekday]]="Sat",Dataset_AFinal[[#This Row],[Weekday]]="Sun"),"Weekend", "Weekday")</f>
        <v>Weekday</v>
      </c>
      <c r="K99" s="6" t="s">
        <v>32</v>
      </c>
      <c r="L99" s="6">
        <v>0.2</v>
      </c>
      <c r="M99" s="35" t="s">
        <v>40</v>
      </c>
      <c r="N99" s="7">
        <v>0.19700000000000001</v>
      </c>
      <c r="O99" s="32">
        <v>0.47</v>
      </c>
      <c r="P99" s="7">
        <v>0.22389999999999999</v>
      </c>
      <c r="Q99" s="8">
        <v>0</v>
      </c>
      <c r="R99" s="8">
        <v>33</v>
      </c>
      <c r="S99" s="8">
        <f>SUM(Dataset_AFinal[[#This Row],[Casual_user]:[Registered_user]])</f>
        <v>33</v>
      </c>
    </row>
    <row r="100" spans="1:19" x14ac:dyDescent="0.3">
      <c r="A100" s="4">
        <v>99</v>
      </c>
      <c r="B100" s="7" t="s">
        <v>83</v>
      </c>
      <c r="C100" s="6" t="s">
        <v>78</v>
      </c>
      <c r="D100" s="6" t="s">
        <v>79</v>
      </c>
      <c r="E100" s="6" t="s">
        <v>31</v>
      </c>
      <c r="F100" s="35">
        <v>7</v>
      </c>
      <c r="G100" s="15" t="str">
        <f t="shared" si="1"/>
        <v>Morning</v>
      </c>
      <c r="H100" s="6" t="b">
        <v>0</v>
      </c>
      <c r="I100" s="6" t="s">
        <v>56</v>
      </c>
      <c r="J100" s="6" t="str">
        <f>IF(OR(Dataset_AFinal[[#This Row],[Weekday]]="Sat",Dataset_AFinal[[#This Row],[Weekday]]="Sun"),"Weekend", "Weekday")</f>
        <v>Weekday</v>
      </c>
      <c r="K100" s="6" t="s">
        <v>32</v>
      </c>
      <c r="L100" s="6">
        <v>0.18</v>
      </c>
      <c r="M100" s="35" t="s">
        <v>40</v>
      </c>
      <c r="N100" s="7">
        <v>0.18179999999999999</v>
      </c>
      <c r="O100" s="32">
        <v>0.43</v>
      </c>
      <c r="P100" s="7">
        <v>0.19400000000000001</v>
      </c>
      <c r="Q100" s="8">
        <v>1</v>
      </c>
      <c r="R100" s="8">
        <v>87</v>
      </c>
      <c r="S100" s="8">
        <f>SUM(Dataset_AFinal[[#This Row],[Casual_user]:[Registered_user]])</f>
        <v>88</v>
      </c>
    </row>
    <row r="101" spans="1:19" x14ac:dyDescent="0.3">
      <c r="A101" s="4">
        <v>100</v>
      </c>
      <c r="B101" s="7" t="s">
        <v>83</v>
      </c>
      <c r="C101" s="6" t="s">
        <v>78</v>
      </c>
      <c r="D101" s="6" t="s">
        <v>79</v>
      </c>
      <c r="E101" s="6" t="s">
        <v>31</v>
      </c>
      <c r="F101" s="35">
        <v>8</v>
      </c>
      <c r="G101" s="15" t="str">
        <f t="shared" si="1"/>
        <v>Morning</v>
      </c>
      <c r="H101" s="6" t="b">
        <v>0</v>
      </c>
      <c r="I101" s="6" t="s">
        <v>56</v>
      </c>
      <c r="J101" s="6" t="str">
        <f>IF(OR(Dataset_AFinal[[#This Row],[Weekday]]="Sat",Dataset_AFinal[[#This Row],[Weekday]]="Sun"),"Weekend", "Weekday")</f>
        <v>Weekday</v>
      </c>
      <c r="K101" s="6" t="s">
        <v>32</v>
      </c>
      <c r="L101" s="6">
        <v>0.2</v>
      </c>
      <c r="M101" s="35" t="s">
        <v>40</v>
      </c>
      <c r="N101" s="7">
        <v>0.18179999999999999</v>
      </c>
      <c r="O101" s="32">
        <v>0.4</v>
      </c>
      <c r="P101" s="7">
        <v>0.29849999999999999</v>
      </c>
      <c r="Q101" s="8">
        <v>3</v>
      </c>
      <c r="R101" s="8">
        <v>192</v>
      </c>
      <c r="S101" s="8">
        <f>SUM(Dataset_AFinal[[#This Row],[Casual_user]:[Registered_user]])</f>
        <v>195</v>
      </c>
    </row>
    <row r="102" spans="1:19" x14ac:dyDescent="0.3">
      <c r="A102" s="4">
        <v>101</v>
      </c>
      <c r="B102" s="7" t="s">
        <v>83</v>
      </c>
      <c r="C102" s="6" t="s">
        <v>78</v>
      </c>
      <c r="D102" s="6" t="s">
        <v>79</v>
      </c>
      <c r="E102" s="6" t="s">
        <v>31</v>
      </c>
      <c r="F102" s="35">
        <v>9</v>
      </c>
      <c r="G102" s="15" t="str">
        <f t="shared" si="1"/>
        <v>Morning</v>
      </c>
      <c r="H102" s="6" t="b">
        <v>0</v>
      </c>
      <c r="I102" s="6" t="s">
        <v>56</v>
      </c>
      <c r="J102" s="6" t="str">
        <f>IF(OR(Dataset_AFinal[[#This Row],[Weekday]]="Sat",Dataset_AFinal[[#This Row],[Weekday]]="Sun"),"Weekend", "Weekday")</f>
        <v>Weekday</v>
      </c>
      <c r="K102" s="6" t="s">
        <v>32</v>
      </c>
      <c r="L102" s="6">
        <v>0.22</v>
      </c>
      <c r="M102" s="35" t="s">
        <v>40</v>
      </c>
      <c r="N102" s="7">
        <v>0.19700000000000001</v>
      </c>
      <c r="O102" s="32">
        <v>0.37</v>
      </c>
      <c r="P102" s="7">
        <v>0.32840000000000003</v>
      </c>
      <c r="Q102" s="8">
        <v>6</v>
      </c>
      <c r="R102" s="8">
        <v>109</v>
      </c>
      <c r="S102" s="8">
        <f>SUM(Dataset_AFinal[[#This Row],[Casual_user]:[Registered_user]])</f>
        <v>115</v>
      </c>
    </row>
    <row r="103" spans="1:19" x14ac:dyDescent="0.3">
      <c r="A103" s="4">
        <v>102</v>
      </c>
      <c r="B103" s="7" t="s">
        <v>83</v>
      </c>
      <c r="C103" s="6" t="s">
        <v>78</v>
      </c>
      <c r="D103" s="6" t="s">
        <v>79</v>
      </c>
      <c r="E103" s="6" t="s">
        <v>31</v>
      </c>
      <c r="F103" s="35">
        <v>10</v>
      </c>
      <c r="G103" s="15" t="str">
        <f t="shared" si="1"/>
        <v>Morning</v>
      </c>
      <c r="H103" s="6" t="b">
        <v>0</v>
      </c>
      <c r="I103" s="6" t="s">
        <v>56</v>
      </c>
      <c r="J103" s="6" t="str">
        <f>IF(OR(Dataset_AFinal[[#This Row],[Weekday]]="Sat",Dataset_AFinal[[#This Row],[Weekday]]="Sun"),"Weekend", "Weekday")</f>
        <v>Weekday</v>
      </c>
      <c r="K103" s="6" t="s">
        <v>32</v>
      </c>
      <c r="L103" s="6">
        <v>0.22</v>
      </c>
      <c r="M103" s="35" t="s">
        <v>40</v>
      </c>
      <c r="N103" s="7">
        <v>0.19700000000000001</v>
      </c>
      <c r="O103" s="32">
        <v>0.37</v>
      </c>
      <c r="P103" s="7">
        <v>0.32840000000000003</v>
      </c>
      <c r="Q103" s="8">
        <v>4</v>
      </c>
      <c r="R103" s="8">
        <v>53</v>
      </c>
      <c r="S103" s="8">
        <f>SUM(Dataset_AFinal[[#This Row],[Casual_user]:[Registered_user]])</f>
        <v>57</v>
      </c>
    </row>
    <row r="104" spans="1:19" x14ac:dyDescent="0.3">
      <c r="A104" s="4">
        <v>103</v>
      </c>
      <c r="B104" s="7" t="s">
        <v>83</v>
      </c>
      <c r="C104" s="6" t="s">
        <v>78</v>
      </c>
      <c r="D104" s="6" t="s">
        <v>79</v>
      </c>
      <c r="E104" s="6" t="s">
        <v>31</v>
      </c>
      <c r="F104" s="35">
        <v>11</v>
      </c>
      <c r="G104" s="15" t="str">
        <f t="shared" si="1"/>
        <v>Morning</v>
      </c>
      <c r="H104" s="6" t="b">
        <v>0</v>
      </c>
      <c r="I104" s="6" t="s">
        <v>56</v>
      </c>
      <c r="J104" s="6" t="str">
        <f>IF(OR(Dataset_AFinal[[#This Row],[Weekday]]="Sat",Dataset_AFinal[[#This Row],[Weekday]]="Sun"),"Weekend", "Weekday")</f>
        <v>Weekday</v>
      </c>
      <c r="K104" s="6" t="s">
        <v>32</v>
      </c>
      <c r="L104" s="6">
        <v>0.26</v>
      </c>
      <c r="M104" s="35" t="s">
        <v>41</v>
      </c>
      <c r="N104" s="7">
        <v>0.2273</v>
      </c>
      <c r="O104" s="32">
        <v>0.33</v>
      </c>
      <c r="P104" s="7">
        <v>0.32840000000000003</v>
      </c>
      <c r="Q104" s="8">
        <v>12</v>
      </c>
      <c r="R104" s="8">
        <v>34</v>
      </c>
      <c r="S104" s="8">
        <f>SUM(Dataset_AFinal[[#This Row],[Casual_user]:[Registered_user]])</f>
        <v>46</v>
      </c>
    </row>
    <row r="105" spans="1:19" x14ac:dyDescent="0.3">
      <c r="A105" s="4">
        <v>104</v>
      </c>
      <c r="B105" s="7" t="s">
        <v>83</v>
      </c>
      <c r="C105" s="6" t="s">
        <v>78</v>
      </c>
      <c r="D105" s="6" t="s">
        <v>79</v>
      </c>
      <c r="E105" s="6" t="s">
        <v>31</v>
      </c>
      <c r="F105" s="35">
        <v>12</v>
      </c>
      <c r="G105" s="15" t="str">
        <f t="shared" si="1"/>
        <v>Afternoon</v>
      </c>
      <c r="H105" s="6" t="b">
        <v>0</v>
      </c>
      <c r="I105" s="6" t="s">
        <v>56</v>
      </c>
      <c r="J105" s="6" t="str">
        <f>IF(OR(Dataset_AFinal[[#This Row],[Weekday]]="Sat",Dataset_AFinal[[#This Row],[Weekday]]="Sun"),"Weekend", "Weekday")</f>
        <v>Weekday</v>
      </c>
      <c r="K105" s="6" t="s">
        <v>32</v>
      </c>
      <c r="L105" s="6">
        <v>0.26</v>
      </c>
      <c r="M105" s="35" t="s">
        <v>41</v>
      </c>
      <c r="N105" s="7">
        <v>0.2273</v>
      </c>
      <c r="O105" s="32">
        <v>0.33</v>
      </c>
      <c r="P105" s="7">
        <v>0.32840000000000003</v>
      </c>
      <c r="Q105" s="8">
        <v>5</v>
      </c>
      <c r="R105" s="8">
        <v>74</v>
      </c>
      <c r="S105" s="8">
        <f>SUM(Dataset_AFinal[[#This Row],[Casual_user]:[Registered_user]])</f>
        <v>79</v>
      </c>
    </row>
    <row r="106" spans="1:19" x14ac:dyDescent="0.3">
      <c r="A106" s="4">
        <v>105</v>
      </c>
      <c r="B106" s="7" t="s">
        <v>83</v>
      </c>
      <c r="C106" s="6" t="s">
        <v>78</v>
      </c>
      <c r="D106" s="6" t="s">
        <v>79</v>
      </c>
      <c r="E106" s="6" t="s">
        <v>31</v>
      </c>
      <c r="F106" s="35">
        <v>13</v>
      </c>
      <c r="G106" s="15" t="str">
        <f t="shared" si="1"/>
        <v>Afternoon</v>
      </c>
      <c r="H106" s="6" t="b">
        <v>0</v>
      </c>
      <c r="I106" s="6" t="s">
        <v>56</v>
      </c>
      <c r="J106" s="6" t="str">
        <f>IF(OR(Dataset_AFinal[[#This Row],[Weekday]]="Sat",Dataset_AFinal[[#This Row],[Weekday]]="Sun"),"Weekend", "Weekday")</f>
        <v>Weekday</v>
      </c>
      <c r="K106" s="6" t="s">
        <v>32</v>
      </c>
      <c r="L106" s="6">
        <v>0.28000000000000003</v>
      </c>
      <c r="M106" s="35" t="s">
        <v>41</v>
      </c>
      <c r="N106" s="7">
        <v>0.2576</v>
      </c>
      <c r="O106" s="32">
        <v>0.3</v>
      </c>
      <c r="P106" s="7">
        <v>0.29849999999999999</v>
      </c>
      <c r="Q106" s="8">
        <v>6</v>
      </c>
      <c r="R106" s="8">
        <v>65</v>
      </c>
      <c r="S106" s="8">
        <f>SUM(Dataset_AFinal[[#This Row],[Casual_user]:[Registered_user]])</f>
        <v>71</v>
      </c>
    </row>
    <row r="107" spans="1:19" x14ac:dyDescent="0.3">
      <c r="A107" s="4">
        <v>106</v>
      </c>
      <c r="B107" s="7" t="s">
        <v>83</v>
      </c>
      <c r="C107" s="6" t="s">
        <v>78</v>
      </c>
      <c r="D107" s="6" t="s">
        <v>79</v>
      </c>
      <c r="E107" s="6" t="s">
        <v>31</v>
      </c>
      <c r="F107" s="35">
        <v>14</v>
      </c>
      <c r="G107" s="15" t="str">
        <f t="shared" si="1"/>
        <v>Afternoon</v>
      </c>
      <c r="H107" s="6" t="b">
        <v>0</v>
      </c>
      <c r="I107" s="6" t="s">
        <v>56</v>
      </c>
      <c r="J107" s="6" t="str">
        <f>IF(OR(Dataset_AFinal[[#This Row],[Weekday]]="Sat",Dataset_AFinal[[#This Row],[Weekday]]="Sun"),"Weekend", "Weekday")</f>
        <v>Weekday</v>
      </c>
      <c r="K107" s="6" t="s">
        <v>32</v>
      </c>
      <c r="L107" s="6">
        <v>0.3</v>
      </c>
      <c r="M107" s="35" t="s">
        <v>41</v>
      </c>
      <c r="N107" s="7">
        <v>0.28789999999999999</v>
      </c>
      <c r="O107" s="32">
        <v>0.28000000000000003</v>
      </c>
      <c r="P107" s="7">
        <v>0.19400000000000001</v>
      </c>
      <c r="Q107" s="8">
        <v>10</v>
      </c>
      <c r="R107" s="8">
        <v>52</v>
      </c>
      <c r="S107" s="8">
        <f>SUM(Dataset_AFinal[[#This Row],[Casual_user]:[Registered_user]])</f>
        <v>62</v>
      </c>
    </row>
    <row r="108" spans="1:19" x14ac:dyDescent="0.3">
      <c r="A108" s="4">
        <v>107</v>
      </c>
      <c r="B108" s="7" t="s">
        <v>83</v>
      </c>
      <c r="C108" s="6" t="s">
        <v>78</v>
      </c>
      <c r="D108" s="6" t="s">
        <v>79</v>
      </c>
      <c r="E108" s="6" t="s">
        <v>31</v>
      </c>
      <c r="F108" s="35">
        <v>15</v>
      </c>
      <c r="G108" s="15" t="str">
        <f t="shared" si="1"/>
        <v>Afternoon</v>
      </c>
      <c r="H108" s="6" t="b">
        <v>0</v>
      </c>
      <c r="I108" s="6" t="s">
        <v>56</v>
      </c>
      <c r="J108" s="6" t="str">
        <f>IF(OR(Dataset_AFinal[[#This Row],[Weekday]]="Sat",Dataset_AFinal[[#This Row],[Weekday]]="Sun"),"Weekend", "Weekday")</f>
        <v>Weekday</v>
      </c>
      <c r="K108" s="6" t="s">
        <v>32</v>
      </c>
      <c r="L108" s="6">
        <v>0.3</v>
      </c>
      <c r="M108" s="35" t="s">
        <v>41</v>
      </c>
      <c r="N108" s="7">
        <v>0.28789999999999999</v>
      </c>
      <c r="O108" s="32">
        <v>0.28000000000000003</v>
      </c>
      <c r="P108" s="7">
        <v>0.19400000000000001</v>
      </c>
      <c r="Q108" s="8">
        <v>7</v>
      </c>
      <c r="R108" s="8">
        <v>55</v>
      </c>
      <c r="S108" s="8">
        <f>SUM(Dataset_AFinal[[#This Row],[Casual_user]:[Registered_user]])</f>
        <v>62</v>
      </c>
    </row>
    <row r="109" spans="1:19" x14ac:dyDescent="0.3">
      <c r="A109" s="4">
        <v>108</v>
      </c>
      <c r="B109" s="7" t="s">
        <v>83</v>
      </c>
      <c r="C109" s="6" t="s">
        <v>78</v>
      </c>
      <c r="D109" s="6" t="s">
        <v>79</v>
      </c>
      <c r="E109" s="6" t="s">
        <v>31</v>
      </c>
      <c r="F109" s="35">
        <v>16</v>
      </c>
      <c r="G109" s="15" t="str">
        <f t="shared" si="1"/>
        <v>Afternoon</v>
      </c>
      <c r="H109" s="6" t="b">
        <v>0</v>
      </c>
      <c r="I109" s="6" t="s">
        <v>56</v>
      </c>
      <c r="J109" s="6" t="str">
        <f>IF(OR(Dataset_AFinal[[#This Row],[Weekday]]="Sat",Dataset_AFinal[[#This Row],[Weekday]]="Sun"),"Weekend", "Weekday")</f>
        <v>Weekday</v>
      </c>
      <c r="K109" s="6" t="s">
        <v>32</v>
      </c>
      <c r="L109" s="6">
        <v>0.3</v>
      </c>
      <c r="M109" s="35" t="s">
        <v>41</v>
      </c>
      <c r="N109" s="7">
        <v>0.31819999999999998</v>
      </c>
      <c r="O109" s="32">
        <v>0.28000000000000003</v>
      </c>
      <c r="P109" s="7">
        <v>8.9599999999999999E-2</v>
      </c>
      <c r="Q109" s="8">
        <v>4</v>
      </c>
      <c r="R109" s="8">
        <v>85</v>
      </c>
      <c r="S109" s="8">
        <f>SUM(Dataset_AFinal[[#This Row],[Casual_user]:[Registered_user]])</f>
        <v>89</v>
      </c>
    </row>
    <row r="110" spans="1:19" x14ac:dyDescent="0.3">
      <c r="A110" s="4">
        <v>109</v>
      </c>
      <c r="B110" s="7" t="s">
        <v>83</v>
      </c>
      <c r="C110" s="6" t="s">
        <v>78</v>
      </c>
      <c r="D110" s="6" t="s">
        <v>79</v>
      </c>
      <c r="E110" s="6" t="s">
        <v>31</v>
      </c>
      <c r="F110" s="35">
        <v>17</v>
      </c>
      <c r="G110" s="15" t="str">
        <f t="shared" si="1"/>
        <v>Afternoon</v>
      </c>
      <c r="H110" s="6" t="b">
        <v>0</v>
      </c>
      <c r="I110" s="6" t="s">
        <v>56</v>
      </c>
      <c r="J110" s="6" t="str">
        <f>IF(OR(Dataset_AFinal[[#This Row],[Weekday]]="Sat",Dataset_AFinal[[#This Row],[Weekday]]="Sun"),"Weekend", "Weekday")</f>
        <v>Weekday</v>
      </c>
      <c r="K110" s="6" t="s">
        <v>32</v>
      </c>
      <c r="L110" s="6">
        <v>0.24</v>
      </c>
      <c r="M110" s="35" t="s">
        <v>40</v>
      </c>
      <c r="N110" s="7">
        <v>0.2273</v>
      </c>
      <c r="O110" s="32">
        <v>0.38</v>
      </c>
      <c r="P110" s="7">
        <v>0.19400000000000001</v>
      </c>
      <c r="Q110" s="8">
        <v>4</v>
      </c>
      <c r="R110" s="8">
        <v>186</v>
      </c>
      <c r="S110" s="8">
        <f>SUM(Dataset_AFinal[[#This Row],[Casual_user]:[Registered_user]])</f>
        <v>190</v>
      </c>
    </row>
    <row r="111" spans="1:19" x14ac:dyDescent="0.3">
      <c r="A111" s="4">
        <v>110</v>
      </c>
      <c r="B111" s="7" t="s">
        <v>83</v>
      </c>
      <c r="C111" s="6" t="s">
        <v>78</v>
      </c>
      <c r="D111" s="6" t="s">
        <v>79</v>
      </c>
      <c r="E111" s="6" t="s">
        <v>31</v>
      </c>
      <c r="F111" s="35">
        <v>18</v>
      </c>
      <c r="G111" s="15" t="str">
        <f t="shared" si="1"/>
        <v>Evening</v>
      </c>
      <c r="H111" s="6" t="b">
        <v>0</v>
      </c>
      <c r="I111" s="6" t="s">
        <v>56</v>
      </c>
      <c r="J111" s="6" t="str">
        <f>IF(OR(Dataset_AFinal[[#This Row],[Weekday]]="Sat",Dataset_AFinal[[#This Row],[Weekday]]="Sun"),"Weekend", "Weekday")</f>
        <v>Weekday</v>
      </c>
      <c r="K111" s="6" t="s">
        <v>32</v>
      </c>
      <c r="L111" s="6">
        <v>0.24</v>
      </c>
      <c r="M111" s="35" t="s">
        <v>40</v>
      </c>
      <c r="N111" s="7">
        <v>0.2424</v>
      </c>
      <c r="O111" s="32">
        <v>0.38</v>
      </c>
      <c r="P111" s="7">
        <v>0.1343</v>
      </c>
      <c r="Q111" s="8">
        <v>3</v>
      </c>
      <c r="R111" s="8">
        <v>166</v>
      </c>
      <c r="S111" s="8">
        <f>SUM(Dataset_AFinal[[#This Row],[Casual_user]:[Registered_user]])</f>
        <v>169</v>
      </c>
    </row>
    <row r="112" spans="1:19" x14ac:dyDescent="0.3">
      <c r="A112" s="4">
        <v>111</v>
      </c>
      <c r="B112" s="7" t="s">
        <v>83</v>
      </c>
      <c r="C112" s="6" t="s">
        <v>78</v>
      </c>
      <c r="D112" s="6" t="s">
        <v>79</v>
      </c>
      <c r="E112" s="6" t="s">
        <v>31</v>
      </c>
      <c r="F112" s="35">
        <v>19</v>
      </c>
      <c r="G112" s="15" t="str">
        <f t="shared" si="1"/>
        <v>Evening</v>
      </c>
      <c r="H112" s="6" t="b">
        <v>0</v>
      </c>
      <c r="I112" s="6" t="s">
        <v>56</v>
      </c>
      <c r="J112" s="6" t="str">
        <f>IF(OR(Dataset_AFinal[[#This Row],[Weekday]]="Sat",Dataset_AFinal[[#This Row],[Weekday]]="Sun"),"Weekend", "Weekday")</f>
        <v>Weekday</v>
      </c>
      <c r="K112" s="6" t="s">
        <v>32</v>
      </c>
      <c r="L112" s="6">
        <v>0.24</v>
      </c>
      <c r="M112" s="35" t="s">
        <v>40</v>
      </c>
      <c r="N112" s="7">
        <v>0.2576</v>
      </c>
      <c r="O112" s="32">
        <v>0.38</v>
      </c>
      <c r="P112" s="7">
        <v>0.1045</v>
      </c>
      <c r="Q112" s="8">
        <v>5</v>
      </c>
      <c r="R112" s="8">
        <v>127</v>
      </c>
      <c r="S112" s="8">
        <f>SUM(Dataset_AFinal[[#This Row],[Casual_user]:[Registered_user]])</f>
        <v>132</v>
      </c>
    </row>
    <row r="113" spans="1:19" x14ac:dyDescent="0.3">
      <c r="A113" s="4">
        <v>112</v>
      </c>
      <c r="B113" s="7" t="s">
        <v>83</v>
      </c>
      <c r="C113" s="6" t="s">
        <v>78</v>
      </c>
      <c r="D113" s="6" t="s">
        <v>79</v>
      </c>
      <c r="E113" s="6" t="s">
        <v>31</v>
      </c>
      <c r="F113" s="35">
        <v>20</v>
      </c>
      <c r="G113" s="15" t="str">
        <f t="shared" si="1"/>
        <v>Evening</v>
      </c>
      <c r="H113" s="6" t="b">
        <v>0</v>
      </c>
      <c r="I113" s="6" t="s">
        <v>56</v>
      </c>
      <c r="J113" s="6" t="str">
        <f>IF(OR(Dataset_AFinal[[#This Row],[Weekday]]="Sat",Dataset_AFinal[[#This Row],[Weekday]]="Sun"),"Weekend", "Weekday")</f>
        <v>Weekday</v>
      </c>
      <c r="K113" s="6" t="s">
        <v>32</v>
      </c>
      <c r="L113" s="6">
        <v>0.22</v>
      </c>
      <c r="M113" s="35" t="s">
        <v>40</v>
      </c>
      <c r="N113" s="7">
        <v>0.2273</v>
      </c>
      <c r="O113" s="32">
        <v>0.47</v>
      </c>
      <c r="P113" s="7">
        <v>0.16420000000000001</v>
      </c>
      <c r="Q113" s="8">
        <v>7</v>
      </c>
      <c r="R113" s="8">
        <v>82</v>
      </c>
      <c r="S113" s="8">
        <f>SUM(Dataset_AFinal[[#This Row],[Casual_user]:[Registered_user]])</f>
        <v>89</v>
      </c>
    </row>
    <row r="114" spans="1:19" x14ac:dyDescent="0.3">
      <c r="A114" s="4">
        <v>113</v>
      </c>
      <c r="B114" s="7" t="s">
        <v>83</v>
      </c>
      <c r="C114" s="6" t="s">
        <v>78</v>
      </c>
      <c r="D114" s="6" t="s">
        <v>79</v>
      </c>
      <c r="E114" s="6" t="s">
        <v>31</v>
      </c>
      <c r="F114" s="35">
        <v>21</v>
      </c>
      <c r="G114" s="15" t="str">
        <f t="shared" si="1"/>
        <v>Evening</v>
      </c>
      <c r="H114" s="6" t="b">
        <v>0</v>
      </c>
      <c r="I114" s="6" t="s">
        <v>56</v>
      </c>
      <c r="J114" s="6" t="str">
        <f>IF(OR(Dataset_AFinal[[#This Row],[Weekday]]="Sat",Dataset_AFinal[[#This Row],[Weekday]]="Sun"),"Weekend", "Weekday")</f>
        <v>Weekday</v>
      </c>
      <c r="K114" s="6" t="s">
        <v>32</v>
      </c>
      <c r="L114" s="6">
        <v>0.2</v>
      </c>
      <c r="M114" s="35" t="s">
        <v>40</v>
      </c>
      <c r="N114" s="7">
        <v>0.19700000000000001</v>
      </c>
      <c r="O114" s="32">
        <v>0.51</v>
      </c>
      <c r="P114" s="7">
        <v>0.19400000000000001</v>
      </c>
      <c r="Q114" s="8">
        <v>3</v>
      </c>
      <c r="R114" s="8">
        <v>40</v>
      </c>
      <c r="S114" s="8">
        <f>SUM(Dataset_AFinal[[#This Row],[Casual_user]:[Registered_user]])</f>
        <v>43</v>
      </c>
    </row>
    <row r="115" spans="1:19" x14ac:dyDescent="0.3">
      <c r="A115" s="4">
        <v>114</v>
      </c>
      <c r="B115" s="7" t="s">
        <v>83</v>
      </c>
      <c r="C115" s="6" t="s">
        <v>78</v>
      </c>
      <c r="D115" s="6" t="s">
        <v>79</v>
      </c>
      <c r="E115" s="6" t="s">
        <v>31</v>
      </c>
      <c r="F115" s="35">
        <v>22</v>
      </c>
      <c r="G115" s="15" t="str">
        <f t="shared" si="1"/>
        <v>Evening</v>
      </c>
      <c r="H115" s="6" t="b">
        <v>0</v>
      </c>
      <c r="I115" s="6" t="s">
        <v>56</v>
      </c>
      <c r="J115" s="6" t="str">
        <f>IF(OR(Dataset_AFinal[[#This Row],[Weekday]]="Sat",Dataset_AFinal[[#This Row],[Weekday]]="Sun"),"Weekend", "Weekday")</f>
        <v>Weekday</v>
      </c>
      <c r="K115" s="6" t="s">
        <v>32</v>
      </c>
      <c r="L115" s="6">
        <v>0.18</v>
      </c>
      <c r="M115" s="35" t="s">
        <v>40</v>
      </c>
      <c r="N115" s="7">
        <v>0.19700000000000001</v>
      </c>
      <c r="O115" s="32">
        <v>0.55000000000000004</v>
      </c>
      <c r="P115" s="7">
        <v>0.1343</v>
      </c>
      <c r="Q115" s="8">
        <v>1</v>
      </c>
      <c r="R115" s="8">
        <v>41</v>
      </c>
      <c r="S115" s="8">
        <f>SUM(Dataset_AFinal[[#This Row],[Casual_user]:[Registered_user]])</f>
        <v>42</v>
      </c>
    </row>
    <row r="116" spans="1:19" x14ac:dyDescent="0.3">
      <c r="A116" s="4">
        <v>115</v>
      </c>
      <c r="B116" s="7" t="s">
        <v>83</v>
      </c>
      <c r="C116" s="6" t="s">
        <v>78</v>
      </c>
      <c r="D116" s="6" t="s">
        <v>79</v>
      </c>
      <c r="E116" s="6" t="s">
        <v>31</v>
      </c>
      <c r="F116" s="35">
        <v>23</v>
      </c>
      <c r="G116" s="15" t="str">
        <f t="shared" si="1"/>
        <v>Evening</v>
      </c>
      <c r="H116" s="6" t="b">
        <v>0</v>
      </c>
      <c r="I116" s="6" t="s">
        <v>56</v>
      </c>
      <c r="J116" s="6" t="str">
        <f>IF(OR(Dataset_AFinal[[#This Row],[Weekday]]="Sat",Dataset_AFinal[[#This Row],[Weekday]]="Sun"),"Weekend", "Weekday")</f>
        <v>Weekday</v>
      </c>
      <c r="K116" s="6" t="s">
        <v>32</v>
      </c>
      <c r="L116" s="6">
        <v>0.2</v>
      </c>
      <c r="M116" s="35" t="s">
        <v>40</v>
      </c>
      <c r="N116" s="7">
        <v>0.2576</v>
      </c>
      <c r="O116" s="32">
        <v>0.47</v>
      </c>
      <c r="P116" s="7">
        <v>0</v>
      </c>
      <c r="Q116" s="8">
        <v>1</v>
      </c>
      <c r="R116" s="8">
        <v>18</v>
      </c>
      <c r="S116" s="8">
        <f>SUM(Dataset_AFinal[[#This Row],[Casual_user]:[Registered_user]])</f>
        <v>19</v>
      </c>
    </row>
    <row r="117" spans="1:19" x14ac:dyDescent="0.3">
      <c r="A117" s="4">
        <v>116</v>
      </c>
      <c r="B117" s="7" t="s">
        <v>84</v>
      </c>
      <c r="C117" s="6" t="s">
        <v>78</v>
      </c>
      <c r="D117" s="6" t="s">
        <v>79</v>
      </c>
      <c r="E117" s="6" t="s">
        <v>31</v>
      </c>
      <c r="F117" s="35">
        <v>0</v>
      </c>
      <c r="G117" s="15" t="str">
        <f t="shared" si="1"/>
        <v>Night</v>
      </c>
      <c r="H117" s="6" t="b">
        <v>0</v>
      </c>
      <c r="I117" s="6" t="s">
        <v>57</v>
      </c>
      <c r="J117" s="6" t="str">
        <f>IF(OR(Dataset_AFinal[[#This Row],[Weekday]]="Sat",Dataset_AFinal[[#This Row],[Weekday]]="Sun"),"Weekend", "Weekday")</f>
        <v>Weekday</v>
      </c>
      <c r="K117" s="6" t="s">
        <v>32</v>
      </c>
      <c r="L117" s="6">
        <v>0.18</v>
      </c>
      <c r="M117" s="35" t="s">
        <v>40</v>
      </c>
      <c r="N117" s="7">
        <v>0.2424</v>
      </c>
      <c r="O117" s="32">
        <v>0.55000000000000004</v>
      </c>
      <c r="P117" s="7">
        <v>0</v>
      </c>
      <c r="Q117" s="8">
        <v>0</v>
      </c>
      <c r="R117" s="8">
        <v>11</v>
      </c>
      <c r="S117" s="8">
        <f>SUM(Dataset_AFinal[[#This Row],[Casual_user]:[Registered_user]])</f>
        <v>11</v>
      </c>
    </row>
    <row r="118" spans="1:19" x14ac:dyDescent="0.3">
      <c r="A118" s="4">
        <v>117</v>
      </c>
      <c r="B118" s="7" t="s">
        <v>84</v>
      </c>
      <c r="C118" s="6" t="s">
        <v>78</v>
      </c>
      <c r="D118" s="6" t="s">
        <v>79</v>
      </c>
      <c r="E118" s="6" t="s">
        <v>31</v>
      </c>
      <c r="F118" s="35">
        <v>1</v>
      </c>
      <c r="G118" s="15" t="str">
        <f t="shared" si="1"/>
        <v>Night</v>
      </c>
      <c r="H118" s="6" t="b">
        <v>0</v>
      </c>
      <c r="I118" s="6" t="s">
        <v>57</v>
      </c>
      <c r="J118" s="6" t="str">
        <f>IF(OR(Dataset_AFinal[[#This Row],[Weekday]]="Sat",Dataset_AFinal[[#This Row],[Weekday]]="Sun"),"Weekend", "Weekday")</f>
        <v>Weekday</v>
      </c>
      <c r="K118" s="6" t="s">
        <v>32</v>
      </c>
      <c r="L118" s="6">
        <v>0.16</v>
      </c>
      <c r="M118" s="35" t="s">
        <v>40</v>
      </c>
      <c r="N118" s="7">
        <v>0.2273</v>
      </c>
      <c r="O118" s="32">
        <v>0.64</v>
      </c>
      <c r="P118" s="7">
        <v>0</v>
      </c>
      <c r="Q118" s="8">
        <v>0</v>
      </c>
      <c r="R118" s="8">
        <v>4</v>
      </c>
      <c r="S118" s="8">
        <f>SUM(Dataset_AFinal[[#This Row],[Casual_user]:[Registered_user]])</f>
        <v>4</v>
      </c>
    </row>
    <row r="119" spans="1:19" x14ac:dyDescent="0.3">
      <c r="A119" s="4">
        <v>118</v>
      </c>
      <c r="B119" s="7" t="s">
        <v>84</v>
      </c>
      <c r="C119" s="6" t="s">
        <v>78</v>
      </c>
      <c r="D119" s="6" t="s">
        <v>79</v>
      </c>
      <c r="E119" s="6" t="s">
        <v>31</v>
      </c>
      <c r="F119" s="35">
        <v>2</v>
      </c>
      <c r="G119" s="15" t="str">
        <f t="shared" si="1"/>
        <v>Night</v>
      </c>
      <c r="H119" s="6" t="b">
        <v>0</v>
      </c>
      <c r="I119" s="6" t="s">
        <v>57</v>
      </c>
      <c r="J119" s="6" t="str">
        <f>IF(OR(Dataset_AFinal[[#This Row],[Weekday]]="Sat",Dataset_AFinal[[#This Row],[Weekday]]="Sun"),"Weekend", "Weekday")</f>
        <v>Weekday</v>
      </c>
      <c r="K119" s="6" t="s">
        <v>32</v>
      </c>
      <c r="L119" s="6">
        <v>0.16</v>
      </c>
      <c r="M119" s="35" t="s">
        <v>40</v>
      </c>
      <c r="N119" s="7">
        <v>0.2273</v>
      </c>
      <c r="O119" s="32">
        <v>0.64</v>
      </c>
      <c r="P119" s="7">
        <v>0</v>
      </c>
      <c r="Q119" s="8">
        <v>0</v>
      </c>
      <c r="R119" s="8">
        <v>2</v>
      </c>
      <c r="S119" s="8">
        <f>SUM(Dataset_AFinal[[#This Row],[Casual_user]:[Registered_user]])</f>
        <v>2</v>
      </c>
    </row>
    <row r="120" spans="1:19" x14ac:dyDescent="0.3">
      <c r="A120" s="4">
        <v>119</v>
      </c>
      <c r="B120" s="7" t="s">
        <v>84</v>
      </c>
      <c r="C120" s="6" t="s">
        <v>78</v>
      </c>
      <c r="D120" s="6" t="s">
        <v>79</v>
      </c>
      <c r="E120" s="6" t="s">
        <v>31</v>
      </c>
      <c r="F120" s="35">
        <v>4</v>
      </c>
      <c r="G120" s="15" t="str">
        <f t="shared" si="1"/>
        <v>Night</v>
      </c>
      <c r="H120" s="6" t="b">
        <v>0</v>
      </c>
      <c r="I120" s="6" t="s">
        <v>57</v>
      </c>
      <c r="J120" s="6" t="str">
        <f>IF(OR(Dataset_AFinal[[#This Row],[Weekday]]="Sat",Dataset_AFinal[[#This Row],[Weekday]]="Sun"),"Weekend", "Weekday")</f>
        <v>Weekday</v>
      </c>
      <c r="K120" s="6" t="s">
        <v>33</v>
      </c>
      <c r="L120" s="6">
        <v>0.16</v>
      </c>
      <c r="M120" s="35" t="s">
        <v>40</v>
      </c>
      <c r="N120" s="7">
        <v>0.19700000000000001</v>
      </c>
      <c r="O120" s="32">
        <v>0.64</v>
      </c>
      <c r="P120" s="7">
        <v>8.9599999999999999E-2</v>
      </c>
      <c r="Q120" s="8">
        <v>0</v>
      </c>
      <c r="R120" s="8">
        <v>1</v>
      </c>
      <c r="S120" s="8">
        <f>SUM(Dataset_AFinal[[#This Row],[Casual_user]:[Registered_user]])</f>
        <v>1</v>
      </c>
    </row>
    <row r="121" spans="1:19" x14ac:dyDescent="0.3">
      <c r="A121" s="4">
        <v>120</v>
      </c>
      <c r="B121" s="7" t="s">
        <v>84</v>
      </c>
      <c r="C121" s="6" t="s">
        <v>78</v>
      </c>
      <c r="D121" s="6" t="s">
        <v>79</v>
      </c>
      <c r="E121" s="6" t="s">
        <v>31</v>
      </c>
      <c r="F121" s="35">
        <v>5</v>
      </c>
      <c r="G121" s="15" t="str">
        <f t="shared" si="1"/>
        <v>Night</v>
      </c>
      <c r="H121" s="6" t="b">
        <v>0</v>
      </c>
      <c r="I121" s="6" t="s">
        <v>57</v>
      </c>
      <c r="J121" s="6" t="str">
        <f>IF(OR(Dataset_AFinal[[#This Row],[Weekday]]="Sat",Dataset_AFinal[[#This Row],[Weekday]]="Sun"),"Weekend", "Weekday")</f>
        <v>Weekday</v>
      </c>
      <c r="K121" s="6" t="s">
        <v>33</v>
      </c>
      <c r="L121" s="6">
        <v>0.14000000000000001</v>
      </c>
      <c r="M121" s="35" t="s">
        <v>44</v>
      </c>
      <c r="N121" s="7">
        <v>0.18179999999999999</v>
      </c>
      <c r="O121" s="32">
        <v>0.69</v>
      </c>
      <c r="P121" s="7">
        <v>8.9599999999999999E-2</v>
      </c>
      <c r="Q121" s="8">
        <v>0</v>
      </c>
      <c r="R121" s="8">
        <v>4</v>
      </c>
      <c r="S121" s="8">
        <f>SUM(Dataset_AFinal[[#This Row],[Casual_user]:[Registered_user]])</f>
        <v>4</v>
      </c>
    </row>
    <row r="122" spans="1:19" x14ac:dyDescent="0.3">
      <c r="A122" s="4">
        <v>121</v>
      </c>
      <c r="B122" s="7" t="s">
        <v>84</v>
      </c>
      <c r="C122" s="6" t="s">
        <v>78</v>
      </c>
      <c r="D122" s="6" t="s">
        <v>79</v>
      </c>
      <c r="E122" s="6" t="s">
        <v>31</v>
      </c>
      <c r="F122" s="35">
        <v>6</v>
      </c>
      <c r="G122" s="15" t="str">
        <f t="shared" si="1"/>
        <v>Morning</v>
      </c>
      <c r="H122" s="6" t="b">
        <v>0</v>
      </c>
      <c r="I122" s="6" t="s">
        <v>57</v>
      </c>
      <c r="J122" s="6" t="str">
        <f>IF(OR(Dataset_AFinal[[#This Row],[Weekday]]="Sat",Dataset_AFinal[[#This Row],[Weekday]]="Sun"),"Weekend", "Weekday")</f>
        <v>Weekday</v>
      </c>
      <c r="K122" s="6" t="s">
        <v>33</v>
      </c>
      <c r="L122" s="6">
        <v>0.14000000000000001</v>
      </c>
      <c r="M122" s="35" t="s">
        <v>44</v>
      </c>
      <c r="N122" s="7">
        <v>0.16669999999999999</v>
      </c>
      <c r="O122" s="32">
        <v>0.63</v>
      </c>
      <c r="P122" s="7">
        <v>0.1045</v>
      </c>
      <c r="Q122" s="8">
        <v>0</v>
      </c>
      <c r="R122" s="8">
        <v>36</v>
      </c>
      <c r="S122" s="8">
        <f>SUM(Dataset_AFinal[[#This Row],[Casual_user]:[Registered_user]])</f>
        <v>36</v>
      </c>
    </row>
    <row r="123" spans="1:19" x14ac:dyDescent="0.3">
      <c r="A123" s="4">
        <v>122</v>
      </c>
      <c r="B123" s="7" t="s">
        <v>84</v>
      </c>
      <c r="C123" s="6" t="s">
        <v>78</v>
      </c>
      <c r="D123" s="6" t="s">
        <v>79</v>
      </c>
      <c r="E123" s="6" t="s">
        <v>31</v>
      </c>
      <c r="F123" s="35">
        <v>7</v>
      </c>
      <c r="G123" s="15" t="str">
        <f t="shared" si="1"/>
        <v>Morning</v>
      </c>
      <c r="H123" s="6" t="b">
        <v>0</v>
      </c>
      <c r="I123" s="6" t="s">
        <v>57</v>
      </c>
      <c r="J123" s="6" t="str">
        <f>IF(OR(Dataset_AFinal[[#This Row],[Weekday]]="Sat",Dataset_AFinal[[#This Row],[Weekday]]="Sun"),"Weekend", "Weekday")</f>
        <v>Weekday</v>
      </c>
      <c r="K123" s="6" t="s">
        <v>33</v>
      </c>
      <c r="L123" s="6">
        <v>0.16</v>
      </c>
      <c r="M123" s="35" t="s">
        <v>40</v>
      </c>
      <c r="N123" s="7">
        <v>0.2273</v>
      </c>
      <c r="O123" s="32">
        <v>0.59</v>
      </c>
      <c r="P123" s="7">
        <v>0</v>
      </c>
      <c r="Q123" s="8">
        <v>0</v>
      </c>
      <c r="R123" s="8">
        <v>95</v>
      </c>
      <c r="S123" s="8">
        <f>SUM(Dataset_AFinal[[#This Row],[Casual_user]:[Registered_user]])</f>
        <v>95</v>
      </c>
    </row>
    <row r="124" spans="1:19" x14ac:dyDescent="0.3">
      <c r="A124" s="4">
        <v>123</v>
      </c>
      <c r="B124" s="7" t="s">
        <v>84</v>
      </c>
      <c r="C124" s="6" t="s">
        <v>78</v>
      </c>
      <c r="D124" s="6" t="s">
        <v>79</v>
      </c>
      <c r="E124" s="6" t="s">
        <v>31</v>
      </c>
      <c r="F124" s="35">
        <v>8</v>
      </c>
      <c r="G124" s="15" t="str">
        <f t="shared" si="1"/>
        <v>Morning</v>
      </c>
      <c r="H124" s="6" t="b">
        <v>0</v>
      </c>
      <c r="I124" s="6" t="s">
        <v>57</v>
      </c>
      <c r="J124" s="6" t="str">
        <f>IF(OR(Dataset_AFinal[[#This Row],[Weekday]]="Sat",Dataset_AFinal[[#This Row],[Weekday]]="Sun"),"Weekend", "Weekday")</f>
        <v>Weekday</v>
      </c>
      <c r="K124" s="6" t="s">
        <v>32</v>
      </c>
      <c r="L124" s="6">
        <v>0.16</v>
      </c>
      <c r="M124" s="35" t="s">
        <v>40</v>
      </c>
      <c r="N124" s="7">
        <v>0.2273</v>
      </c>
      <c r="O124" s="32">
        <v>0.59</v>
      </c>
      <c r="P124" s="7">
        <v>0</v>
      </c>
      <c r="Q124" s="8">
        <v>3</v>
      </c>
      <c r="R124" s="8">
        <v>216</v>
      </c>
      <c r="S124" s="8">
        <f>SUM(Dataset_AFinal[[#This Row],[Casual_user]:[Registered_user]])</f>
        <v>219</v>
      </c>
    </row>
    <row r="125" spans="1:19" x14ac:dyDescent="0.3">
      <c r="A125" s="4">
        <v>124</v>
      </c>
      <c r="B125" s="7" t="s">
        <v>84</v>
      </c>
      <c r="C125" s="6" t="s">
        <v>78</v>
      </c>
      <c r="D125" s="6" t="s">
        <v>79</v>
      </c>
      <c r="E125" s="6" t="s">
        <v>31</v>
      </c>
      <c r="F125" s="35">
        <v>9</v>
      </c>
      <c r="G125" s="15" t="str">
        <f t="shared" si="1"/>
        <v>Morning</v>
      </c>
      <c r="H125" s="6" t="b">
        <v>0</v>
      </c>
      <c r="I125" s="6" t="s">
        <v>57</v>
      </c>
      <c r="J125" s="6" t="str">
        <f>IF(OR(Dataset_AFinal[[#This Row],[Weekday]]="Sat",Dataset_AFinal[[#This Row],[Weekday]]="Sun"),"Weekend", "Weekday")</f>
        <v>Weekday</v>
      </c>
      <c r="K125" s="6" t="s">
        <v>33</v>
      </c>
      <c r="L125" s="6">
        <v>0.18</v>
      </c>
      <c r="M125" s="35" t="s">
        <v>40</v>
      </c>
      <c r="N125" s="7">
        <v>0.2424</v>
      </c>
      <c r="O125" s="32">
        <v>0.51</v>
      </c>
      <c r="P125" s="7">
        <v>0</v>
      </c>
      <c r="Q125" s="8">
        <v>6</v>
      </c>
      <c r="R125" s="8">
        <v>116</v>
      </c>
      <c r="S125" s="8">
        <f>SUM(Dataset_AFinal[[#This Row],[Casual_user]:[Registered_user]])</f>
        <v>122</v>
      </c>
    </row>
    <row r="126" spans="1:19" x14ac:dyDescent="0.3">
      <c r="A126" s="4">
        <v>125</v>
      </c>
      <c r="B126" s="7" t="s">
        <v>84</v>
      </c>
      <c r="C126" s="6" t="s">
        <v>78</v>
      </c>
      <c r="D126" s="6" t="s">
        <v>79</v>
      </c>
      <c r="E126" s="6" t="s">
        <v>31</v>
      </c>
      <c r="F126" s="35">
        <v>10</v>
      </c>
      <c r="G126" s="15" t="str">
        <f t="shared" si="1"/>
        <v>Morning</v>
      </c>
      <c r="H126" s="6" t="b">
        <v>0</v>
      </c>
      <c r="I126" s="6" t="s">
        <v>57</v>
      </c>
      <c r="J126" s="6" t="str">
        <f>IF(OR(Dataset_AFinal[[#This Row],[Weekday]]="Sat",Dataset_AFinal[[#This Row],[Weekday]]="Sun"),"Weekend", "Weekday")</f>
        <v>Weekday</v>
      </c>
      <c r="K126" s="6" t="s">
        <v>32</v>
      </c>
      <c r="L126" s="6">
        <v>0.2</v>
      </c>
      <c r="M126" s="35" t="s">
        <v>40</v>
      </c>
      <c r="N126" s="7">
        <v>0.2576</v>
      </c>
      <c r="O126" s="32">
        <v>0.47</v>
      </c>
      <c r="P126" s="7">
        <v>0</v>
      </c>
      <c r="Q126" s="8">
        <v>3</v>
      </c>
      <c r="R126" s="8">
        <v>42</v>
      </c>
      <c r="S126" s="8">
        <f>SUM(Dataset_AFinal[[#This Row],[Casual_user]:[Registered_user]])</f>
        <v>45</v>
      </c>
    </row>
    <row r="127" spans="1:19" x14ac:dyDescent="0.3">
      <c r="A127" s="4">
        <v>126</v>
      </c>
      <c r="B127" s="7" t="s">
        <v>84</v>
      </c>
      <c r="C127" s="6" t="s">
        <v>78</v>
      </c>
      <c r="D127" s="6" t="s">
        <v>79</v>
      </c>
      <c r="E127" s="6" t="s">
        <v>31</v>
      </c>
      <c r="F127" s="35">
        <v>11</v>
      </c>
      <c r="G127" s="15" t="str">
        <f t="shared" si="1"/>
        <v>Morning</v>
      </c>
      <c r="H127" s="6" t="b">
        <v>0</v>
      </c>
      <c r="I127" s="6" t="s">
        <v>57</v>
      </c>
      <c r="J127" s="6" t="str">
        <f>IF(OR(Dataset_AFinal[[#This Row],[Weekday]]="Sat",Dataset_AFinal[[#This Row],[Weekday]]="Sun"),"Weekend", "Weekday")</f>
        <v>Weekday</v>
      </c>
      <c r="K127" s="6" t="s">
        <v>32</v>
      </c>
      <c r="L127" s="6">
        <v>0.22</v>
      </c>
      <c r="M127" s="35" t="s">
        <v>40</v>
      </c>
      <c r="N127" s="7">
        <v>0.2576</v>
      </c>
      <c r="O127" s="32">
        <v>0.44</v>
      </c>
      <c r="P127" s="7">
        <v>8.9599999999999999E-2</v>
      </c>
      <c r="Q127" s="8">
        <v>2</v>
      </c>
      <c r="R127" s="8">
        <v>57</v>
      </c>
      <c r="S127" s="8">
        <f>SUM(Dataset_AFinal[[#This Row],[Casual_user]:[Registered_user]])</f>
        <v>59</v>
      </c>
    </row>
    <row r="128" spans="1:19" x14ac:dyDescent="0.3">
      <c r="A128" s="4">
        <v>127</v>
      </c>
      <c r="B128" s="7" t="s">
        <v>84</v>
      </c>
      <c r="C128" s="6" t="s">
        <v>78</v>
      </c>
      <c r="D128" s="6" t="s">
        <v>79</v>
      </c>
      <c r="E128" s="6" t="s">
        <v>31</v>
      </c>
      <c r="F128" s="35">
        <v>12</v>
      </c>
      <c r="G128" s="15" t="str">
        <f t="shared" si="1"/>
        <v>Afternoon</v>
      </c>
      <c r="H128" s="6" t="b">
        <v>0</v>
      </c>
      <c r="I128" s="6" t="s">
        <v>57</v>
      </c>
      <c r="J128" s="6" t="str">
        <f>IF(OR(Dataset_AFinal[[#This Row],[Weekday]]="Sat",Dataset_AFinal[[#This Row],[Weekday]]="Sun"),"Weekend", "Weekday")</f>
        <v>Weekday</v>
      </c>
      <c r="K128" s="6" t="s">
        <v>32</v>
      </c>
      <c r="L128" s="6">
        <v>0.26</v>
      </c>
      <c r="M128" s="35" t="s">
        <v>41</v>
      </c>
      <c r="N128" s="7">
        <v>0.28789999999999999</v>
      </c>
      <c r="O128" s="32">
        <v>0.35</v>
      </c>
      <c r="P128" s="7">
        <v>0</v>
      </c>
      <c r="Q128" s="8">
        <v>6</v>
      </c>
      <c r="R128" s="8">
        <v>78</v>
      </c>
      <c r="S128" s="8">
        <f>SUM(Dataset_AFinal[[#This Row],[Casual_user]:[Registered_user]])</f>
        <v>84</v>
      </c>
    </row>
    <row r="129" spans="1:19" x14ac:dyDescent="0.3">
      <c r="A129" s="4">
        <v>128</v>
      </c>
      <c r="B129" s="7" t="s">
        <v>84</v>
      </c>
      <c r="C129" s="6" t="s">
        <v>78</v>
      </c>
      <c r="D129" s="6" t="s">
        <v>79</v>
      </c>
      <c r="E129" s="6" t="s">
        <v>31</v>
      </c>
      <c r="F129" s="35">
        <v>13</v>
      </c>
      <c r="G129" s="15" t="str">
        <f t="shared" si="1"/>
        <v>Afternoon</v>
      </c>
      <c r="H129" s="6" t="b">
        <v>0</v>
      </c>
      <c r="I129" s="6" t="s">
        <v>57</v>
      </c>
      <c r="J129" s="6" t="str">
        <f>IF(OR(Dataset_AFinal[[#This Row],[Weekday]]="Sat",Dataset_AFinal[[#This Row],[Weekday]]="Sun"),"Weekend", "Weekday")</f>
        <v>Weekday</v>
      </c>
      <c r="K129" s="6" t="s">
        <v>32</v>
      </c>
      <c r="L129" s="6">
        <v>0.26</v>
      </c>
      <c r="M129" s="35" t="s">
        <v>41</v>
      </c>
      <c r="N129" s="7">
        <v>0.2727</v>
      </c>
      <c r="O129" s="32">
        <v>0.35</v>
      </c>
      <c r="P129" s="7">
        <v>0.1045</v>
      </c>
      <c r="Q129" s="8">
        <v>12</v>
      </c>
      <c r="R129" s="8">
        <v>55</v>
      </c>
      <c r="S129" s="8">
        <f>SUM(Dataset_AFinal[[#This Row],[Casual_user]:[Registered_user]])</f>
        <v>67</v>
      </c>
    </row>
    <row r="130" spans="1:19" x14ac:dyDescent="0.3">
      <c r="A130" s="4">
        <v>129</v>
      </c>
      <c r="B130" s="7" t="s">
        <v>84</v>
      </c>
      <c r="C130" s="6" t="s">
        <v>78</v>
      </c>
      <c r="D130" s="6" t="s">
        <v>79</v>
      </c>
      <c r="E130" s="6" t="s">
        <v>31</v>
      </c>
      <c r="F130" s="35">
        <v>14</v>
      </c>
      <c r="G130" s="15" t="str">
        <f t="shared" ref="G130:G193" si="2">IF(F130&lt;6,"Night",IF(F130&lt;12,"Morning",IF(F130&lt;18,"Afternoon","Evening")))</f>
        <v>Afternoon</v>
      </c>
      <c r="H130" s="6" t="b">
        <v>0</v>
      </c>
      <c r="I130" s="6" t="s">
        <v>57</v>
      </c>
      <c r="J130" s="6" t="str">
        <f>IF(OR(Dataset_AFinal[[#This Row],[Weekday]]="Sat",Dataset_AFinal[[#This Row],[Weekday]]="Sun"),"Weekend", "Weekday")</f>
        <v>Weekday</v>
      </c>
      <c r="K130" s="6" t="s">
        <v>32</v>
      </c>
      <c r="L130" s="6">
        <v>0.28000000000000003</v>
      </c>
      <c r="M130" s="35" t="s">
        <v>41</v>
      </c>
      <c r="N130" s="7">
        <v>0.2727</v>
      </c>
      <c r="O130" s="32">
        <v>0.36</v>
      </c>
      <c r="P130" s="7">
        <v>0.16420000000000001</v>
      </c>
      <c r="Q130" s="8">
        <v>11</v>
      </c>
      <c r="R130" s="8">
        <v>59</v>
      </c>
      <c r="S130" s="8">
        <f>SUM(Dataset_AFinal[[#This Row],[Casual_user]:[Registered_user]])</f>
        <v>70</v>
      </c>
    </row>
    <row r="131" spans="1:19" x14ac:dyDescent="0.3">
      <c r="A131" s="4">
        <v>130</v>
      </c>
      <c r="B131" s="7" t="s">
        <v>84</v>
      </c>
      <c r="C131" s="6" t="s">
        <v>78</v>
      </c>
      <c r="D131" s="6" t="s">
        <v>79</v>
      </c>
      <c r="E131" s="6" t="s">
        <v>31</v>
      </c>
      <c r="F131" s="35">
        <v>15</v>
      </c>
      <c r="G131" s="15" t="str">
        <f t="shared" si="2"/>
        <v>Afternoon</v>
      </c>
      <c r="H131" s="6" t="b">
        <v>0</v>
      </c>
      <c r="I131" s="6" t="s">
        <v>57</v>
      </c>
      <c r="J131" s="6" t="str">
        <f>IF(OR(Dataset_AFinal[[#This Row],[Weekday]]="Sat",Dataset_AFinal[[#This Row],[Weekday]]="Sun"),"Weekend", "Weekday")</f>
        <v>Weekday</v>
      </c>
      <c r="K131" s="6" t="s">
        <v>32</v>
      </c>
      <c r="L131" s="6">
        <v>0.28000000000000003</v>
      </c>
      <c r="M131" s="35" t="s">
        <v>41</v>
      </c>
      <c r="N131" s="7">
        <v>0.2727</v>
      </c>
      <c r="O131" s="32">
        <v>0.36</v>
      </c>
      <c r="P131" s="7">
        <v>0</v>
      </c>
      <c r="Q131" s="8">
        <v>8</v>
      </c>
      <c r="R131" s="8">
        <v>54</v>
      </c>
      <c r="S131" s="8">
        <f>SUM(Dataset_AFinal[[#This Row],[Casual_user]:[Registered_user]])</f>
        <v>62</v>
      </c>
    </row>
    <row r="132" spans="1:19" x14ac:dyDescent="0.3">
      <c r="A132" s="4">
        <v>131</v>
      </c>
      <c r="B132" s="7" t="s">
        <v>84</v>
      </c>
      <c r="C132" s="6" t="s">
        <v>78</v>
      </c>
      <c r="D132" s="6" t="s">
        <v>79</v>
      </c>
      <c r="E132" s="6" t="s">
        <v>31</v>
      </c>
      <c r="F132" s="35">
        <v>16</v>
      </c>
      <c r="G132" s="15" t="str">
        <f t="shared" si="2"/>
        <v>Afternoon</v>
      </c>
      <c r="H132" s="6" t="b">
        <v>0</v>
      </c>
      <c r="I132" s="6" t="s">
        <v>57</v>
      </c>
      <c r="J132" s="6" t="str">
        <f>IF(OR(Dataset_AFinal[[#This Row],[Weekday]]="Sat",Dataset_AFinal[[#This Row],[Weekday]]="Sun"),"Weekend", "Weekday")</f>
        <v>Weekday</v>
      </c>
      <c r="K132" s="6" t="s">
        <v>32</v>
      </c>
      <c r="L132" s="6">
        <v>0.26</v>
      </c>
      <c r="M132" s="35" t="s">
        <v>41</v>
      </c>
      <c r="N132" s="7">
        <v>0.2576</v>
      </c>
      <c r="O132" s="32">
        <v>0.38</v>
      </c>
      <c r="P132" s="7">
        <v>0.16420000000000001</v>
      </c>
      <c r="Q132" s="8">
        <v>12</v>
      </c>
      <c r="R132" s="8">
        <v>74</v>
      </c>
      <c r="S132" s="8">
        <f>SUM(Dataset_AFinal[[#This Row],[Casual_user]:[Registered_user]])</f>
        <v>86</v>
      </c>
    </row>
    <row r="133" spans="1:19" x14ac:dyDescent="0.3">
      <c r="A133" s="4">
        <v>132</v>
      </c>
      <c r="B133" s="7" t="s">
        <v>84</v>
      </c>
      <c r="C133" s="6" t="s">
        <v>78</v>
      </c>
      <c r="D133" s="6" t="s">
        <v>79</v>
      </c>
      <c r="E133" s="6" t="s">
        <v>31</v>
      </c>
      <c r="F133" s="35">
        <v>17</v>
      </c>
      <c r="G133" s="15" t="str">
        <f t="shared" si="2"/>
        <v>Afternoon</v>
      </c>
      <c r="H133" s="6" t="b">
        <v>0</v>
      </c>
      <c r="I133" s="6" t="s">
        <v>57</v>
      </c>
      <c r="J133" s="6" t="str">
        <f>IF(OR(Dataset_AFinal[[#This Row],[Weekday]]="Sat",Dataset_AFinal[[#This Row],[Weekday]]="Sun"),"Weekend", "Weekday")</f>
        <v>Weekday</v>
      </c>
      <c r="K133" s="6" t="s">
        <v>32</v>
      </c>
      <c r="L133" s="6">
        <v>0.22</v>
      </c>
      <c r="M133" s="35" t="s">
        <v>40</v>
      </c>
      <c r="N133" s="7">
        <v>0.2273</v>
      </c>
      <c r="O133" s="32">
        <v>0.51</v>
      </c>
      <c r="P133" s="7">
        <v>0.16420000000000001</v>
      </c>
      <c r="Q133" s="8">
        <v>9</v>
      </c>
      <c r="R133" s="8">
        <v>163</v>
      </c>
      <c r="S133" s="8">
        <f>SUM(Dataset_AFinal[[#This Row],[Casual_user]:[Registered_user]])</f>
        <v>172</v>
      </c>
    </row>
    <row r="134" spans="1:19" x14ac:dyDescent="0.3">
      <c r="A134" s="4">
        <v>133</v>
      </c>
      <c r="B134" s="7" t="s">
        <v>84</v>
      </c>
      <c r="C134" s="6" t="s">
        <v>78</v>
      </c>
      <c r="D134" s="6" t="s">
        <v>79</v>
      </c>
      <c r="E134" s="6" t="s">
        <v>31</v>
      </c>
      <c r="F134" s="35">
        <v>18</v>
      </c>
      <c r="G134" s="15" t="str">
        <f t="shared" si="2"/>
        <v>Evening</v>
      </c>
      <c r="H134" s="6" t="b">
        <v>0</v>
      </c>
      <c r="I134" s="6" t="s">
        <v>57</v>
      </c>
      <c r="J134" s="6" t="str">
        <f>IF(OR(Dataset_AFinal[[#This Row],[Weekday]]="Sat",Dataset_AFinal[[#This Row],[Weekday]]="Sun"),"Weekend", "Weekday")</f>
        <v>Weekday</v>
      </c>
      <c r="K134" s="6" t="s">
        <v>32</v>
      </c>
      <c r="L134" s="6">
        <v>0.22</v>
      </c>
      <c r="M134" s="35" t="s">
        <v>40</v>
      </c>
      <c r="N134" s="7">
        <v>0.2273</v>
      </c>
      <c r="O134" s="32">
        <v>0.51</v>
      </c>
      <c r="P134" s="7">
        <v>0.1343</v>
      </c>
      <c r="Q134" s="8">
        <v>5</v>
      </c>
      <c r="R134" s="8">
        <v>158</v>
      </c>
      <c r="S134" s="8">
        <f>SUM(Dataset_AFinal[[#This Row],[Casual_user]:[Registered_user]])</f>
        <v>163</v>
      </c>
    </row>
    <row r="135" spans="1:19" x14ac:dyDescent="0.3">
      <c r="A135" s="4">
        <v>134</v>
      </c>
      <c r="B135" s="7" t="s">
        <v>84</v>
      </c>
      <c r="C135" s="6" t="s">
        <v>78</v>
      </c>
      <c r="D135" s="6" t="s">
        <v>79</v>
      </c>
      <c r="E135" s="6" t="s">
        <v>31</v>
      </c>
      <c r="F135" s="35">
        <v>19</v>
      </c>
      <c r="G135" s="15" t="str">
        <f t="shared" si="2"/>
        <v>Evening</v>
      </c>
      <c r="H135" s="6" t="b">
        <v>0</v>
      </c>
      <c r="I135" s="6" t="s">
        <v>57</v>
      </c>
      <c r="J135" s="6" t="str">
        <f>IF(OR(Dataset_AFinal[[#This Row],[Weekday]]="Sat",Dataset_AFinal[[#This Row],[Weekday]]="Sun"),"Weekend", "Weekday")</f>
        <v>Weekday</v>
      </c>
      <c r="K135" s="6" t="s">
        <v>32</v>
      </c>
      <c r="L135" s="6">
        <v>0.22</v>
      </c>
      <c r="M135" s="35" t="s">
        <v>40</v>
      </c>
      <c r="N135" s="7">
        <v>0.2576</v>
      </c>
      <c r="O135" s="32">
        <v>0.55000000000000004</v>
      </c>
      <c r="P135" s="7">
        <v>8.9599999999999999E-2</v>
      </c>
      <c r="Q135" s="8">
        <v>3</v>
      </c>
      <c r="R135" s="8">
        <v>109</v>
      </c>
      <c r="S135" s="8">
        <f>SUM(Dataset_AFinal[[#This Row],[Casual_user]:[Registered_user]])</f>
        <v>112</v>
      </c>
    </row>
    <row r="136" spans="1:19" x14ac:dyDescent="0.3">
      <c r="A136" s="4">
        <v>135</v>
      </c>
      <c r="B136" s="7" t="s">
        <v>84</v>
      </c>
      <c r="C136" s="6" t="s">
        <v>78</v>
      </c>
      <c r="D136" s="6" t="s">
        <v>79</v>
      </c>
      <c r="E136" s="6" t="s">
        <v>31</v>
      </c>
      <c r="F136" s="35">
        <v>20</v>
      </c>
      <c r="G136" s="15" t="str">
        <f t="shared" si="2"/>
        <v>Evening</v>
      </c>
      <c r="H136" s="6" t="b">
        <v>0</v>
      </c>
      <c r="I136" s="6" t="s">
        <v>57</v>
      </c>
      <c r="J136" s="6" t="str">
        <f>IF(OR(Dataset_AFinal[[#This Row],[Weekday]]="Sat",Dataset_AFinal[[#This Row],[Weekday]]="Sun"),"Weekend", "Weekday")</f>
        <v>Weekday</v>
      </c>
      <c r="K136" s="6" t="s">
        <v>32</v>
      </c>
      <c r="L136" s="6">
        <v>0.2</v>
      </c>
      <c r="M136" s="35" t="s">
        <v>40</v>
      </c>
      <c r="N136" s="7">
        <v>0.21210000000000001</v>
      </c>
      <c r="O136" s="32">
        <v>0.51</v>
      </c>
      <c r="P136" s="7">
        <v>0.16420000000000001</v>
      </c>
      <c r="Q136" s="8">
        <v>3</v>
      </c>
      <c r="R136" s="8">
        <v>66</v>
      </c>
      <c r="S136" s="8">
        <f>SUM(Dataset_AFinal[[#This Row],[Casual_user]:[Registered_user]])</f>
        <v>69</v>
      </c>
    </row>
    <row r="137" spans="1:19" x14ac:dyDescent="0.3">
      <c r="A137" s="4">
        <v>136</v>
      </c>
      <c r="B137" s="7" t="s">
        <v>84</v>
      </c>
      <c r="C137" s="6" t="s">
        <v>78</v>
      </c>
      <c r="D137" s="6" t="s">
        <v>79</v>
      </c>
      <c r="E137" s="6" t="s">
        <v>31</v>
      </c>
      <c r="F137" s="35">
        <v>21</v>
      </c>
      <c r="G137" s="15" t="str">
        <f t="shared" si="2"/>
        <v>Evening</v>
      </c>
      <c r="H137" s="6" t="b">
        <v>0</v>
      </c>
      <c r="I137" s="6" t="s">
        <v>57</v>
      </c>
      <c r="J137" s="6" t="str">
        <f>IF(OR(Dataset_AFinal[[#This Row],[Weekday]]="Sat",Dataset_AFinal[[#This Row],[Weekday]]="Sun"),"Weekend", "Weekday")</f>
        <v>Weekday</v>
      </c>
      <c r="K137" s="6" t="s">
        <v>33</v>
      </c>
      <c r="L137" s="6">
        <v>0.22</v>
      </c>
      <c r="M137" s="35" t="s">
        <v>40</v>
      </c>
      <c r="N137" s="7">
        <v>0.21210000000000001</v>
      </c>
      <c r="O137" s="32">
        <v>0.55000000000000004</v>
      </c>
      <c r="P137" s="7">
        <v>0.22389999999999999</v>
      </c>
      <c r="Q137" s="8">
        <v>0</v>
      </c>
      <c r="R137" s="8">
        <v>48</v>
      </c>
      <c r="S137" s="8">
        <f>SUM(Dataset_AFinal[[#This Row],[Casual_user]:[Registered_user]])</f>
        <v>48</v>
      </c>
    </row>
    <row r="138" spans="1:19" x14ac:dyDescent="0.3">
      <c r="A138" s="4">
        <v>137</v>
      </c>
      <c r="B138" s="7" t="s">
        <v>84</v>
      </c>
      <c r="C138" s="6" t="s">
        <v>78</v>
      </c>
      <c r="D138" s="6" t="s">
        <v>79</v>
      </c>
      <c r="E138" s="6" t="s">
        <v>31</v>
      </c>
      <c r="F138" s="35">
        <v>22</v>
      </c>
      <c r="G138" s="15" t="str">
        <f t="shared" si="2"/>
        <v>Evening</v>
      </c>
      <c r="H138" s="6" t="b">
        <v>0</v>
      </c>
      <c r="I138" s="6" t="s">
        <v>57</v>
      </c>
      <c r="J138" s="6" t="str">
        <f>IF(OR(Dataset_AFinal[[#This Row],[Weekday]]="Sat",Dataset_AFinal[[#This Row],[Weekday]]="Sun"),"Weekend", "Weekday")</f>
        <v>Weekday</v>
      </c>
      <c r="K138" s="6" t="s">
        <v>33</v>
      </c>
      <c r="L138" s="6">
        <v>0.22</v>
      </c>
      <c r="M138" s="35" t="s">
        <v>40</v>
      </c>
      <c r="N138" s="7">
        <v>0.21210000000000001</v>
      </c>
      <c r="O138" s="32">
        <v>0.51</v>
      </c>
      <c r="P138" s="7">
        <v>0.28360000000000002</v>
      </c>
      <c r="Q138" s="8">
        <v>1</v>
      </c>
      <c r="R138" s="8">
        <v>51</v>
      </c>
      <c r="S138" s="8">
        <f>SUM(Dataset_AFinal[[#This Row],[Casual_user]:[Registered_user]])</f>
        <v>52</v>
      </c>
    </row>
    <row r="139" spans="1:19" x14ac:dyDescent="0.3">
      <c r="A139" s="4">
        <v>138</v>
      </c>
      <c r="B139" s="7" t="s">
        <v>84</v>
      </c>
      <c r="C139" s="6" t="s">
        <v>78</v>
      </c>
      <c r="D139" s="6" t="s">
        <v>79</v>
      </c>
      <c r="E139" s="6" t="s">
        <v>31</v>
      </c>
      <c r="F139" s="35">
        <v>23</v>
      </c>
      <c r="G139" s="15" t="str">
        <f t="shared" si="2"/>
        <v>Evening</v>
      </c>
      <c r="H139" s="6" t="b">
        <v>0</v>
      </c>
      <c r="I139" s="6" t="s">
        <v>57</v>
      </c>
      <c r="J139" s="6" t="str">
        <f>IF(OR(Dataset_AFinal[[#This Row],[Weekday]]="Sat",Dataset_AFinal[[#This Row],[Weekday]]="Sun"),"Weekend", "Weekday")</f>
        <v>Weekday</v>
      </c>
      <c r="K139" s="6" t="s">
        <v>33</v>
      </c>
      <c r="L139" s="6">
        <v>0.2</v>
      </c>
      <c r="M139" s="35" t="s">
        <v>40</v>
      </c>
      <c r="N139" s="7">
        <v>0.19700000000000001</v>
      </c>
      <c r="O139" s="32">
        <v>0.59</v>
      </c>
      <c r="P139" s="7">
        <v>0.19400000000000001</v>
      </c>
      <c r="Q139" s="8">
        <v>4</v>
      </c>
      <c r="R139" s="8">
        <v>19</v>
      </c>
      <c r="S139" s="8">
        <f>SUM(Dataset_AFinal[[#This Row],[Casual_user]:[Registered_user]])</f>
        <v>23</v>
      </c>
    </row>
    <row r="140" spans="1:19" x14ac:dyDescent="0.3">
      <c r="A140" s="4">
        <v>139</v>
      </c>
      <c r="B140" s="7" t="s">
        <v>85</v>
      </c>
      <c r="C140" s="6" t="s">
        <v>78</v>
      </c>
      <c r="D140" s="6" t="s">
        <v>79</v>
      </c>
      <c r="E140" s="6" t="s">
        <v>31</v>
      </c>
      <c r="F140" s="35">
        <v>0</v>
      </c>
      <c r="G140" s="15" t="str">
        <f t="shared" si="2"/>
        <v>Night</v>
      </c>
      <c r="H140" s="6" t="b">
        <v>0</v>
      </c>
      <c r="I140" s="6" t="s">
        <v>58</v>
      </c>
      <c r="J140" s="6" t="str">
        <f>IF(OR(Dataset_AFinal[[#This Row],[Weekday]]="Sat",Dataset_AFinal[[#This Row],[Weekday]]="Sun"),"Weekend", "Weekday")</f>
        <v>Weekday</v>
      </c>
      <c r="K140" s="6" t="s">
        <v>33</v>
      </c>
      <c r="L140" s="6">
        <v>0.2</v>
      </c>
      <c r="M140" s="35" t="s">
        <v>40</v>
      </c>
      <c r="N140" s="7">
        <v>0.19700000000000001</v>
      </c>
      <c r="O140" s="32">
        <v>0.64</v>
      </c>
      <c r="P140" s="7">
        <v>0.19400000000000001</v>
      </c>
      <c r="Q140" s="8">
        <v>4</v>
      </c>
      <c r="R140" s="8">
        <v>13</v>
      </c>
      <c r="S140" s="8">
        <f>SUM(Dataset_AFinal[[#This Row],[Casual_user]:[Registered_user]])</f>
        <v>17</v>
      </c>
    </row>
    <row r="141" spans="1:19" x14ac:dyDescent="0.3">
      <c r="A141" s="4">
        <v>140</v>
      </c>
      <c r="B141" s="7" t="s">
        <v>85</v>
      </c>
      <c r="C141" s="6" t="s">
        <v>78</v>
      </c>
      <c r="D141" s="6" t="s">
        <v>79</v>
      </c>
      <c r="E141" s="6" t="s">
        <v>31</v>
      </c>
      <c r="F141" s="35">
        <v>1</v>
      </c>
      <c r="G141" s="15" t="str">
        <f t="shared" si="2"/>
        <v>Night</v>
      </c>
      <c r="H141" s="6" t="b">
        <v>0</v>
      </c>
      <c r="I141" s="6" t="s">
        <v>58</v>
      </c>
      <c r="J141" s="6" t="str">
        <f>IF(OR(Dataset_AFinal[[#This Row],[Weekday]]="Sat",Dataset_AFinal[[#This Row],[Weekday]]="Sun"),"Weekend", "Weekday")</f>
        <v>Weekday</v>
      </c>
      <c r="K141" s="6" t="s">
        <v>33</v>
      </c>
      <c r="L141" s="6">
        <v>0.2</v>
      </c>
      <c r="M141" s="35" t="s">
        <v>40</v>
      </c>
      <c r="N141" s="7">
        <v>0.19700000000000001</v>
      </c>
      <c r="O141" s="32">
        <v>0.69</v>
      </c>
      <c r="P141" s="7">
        <v>0.22389999999999999</v>
      </c>
      <c r="Q141" s="8">
        <v>2</v>
      </c>
      <c r="R141" s="8">
        <v>5</v>
      </c>
      <c r="S141" s="8">
        <f>SUM(Dataset_AFinal[[#This Row],[Casual_user]:[Registered_user]])</f>
        <v>7</v>
      </c>
    </row>
    <row r="142" spans="1:19" x14ac:dyDescent="0.3">
      <c r="A142" s="4">
        <v>141</v>
      </c>
      <c r="B142" s="7" t="s">
        <v>85</v>
      </c>
      <c r="C142" s="6" t="s">
        <v>78</v>
      </c>
      <c r="D142" s="6" t="s">
        <v>79</v>
      </c>
      <c r="E142" s="6" t="s">
        <v>31</v>
      </c>
      <c r="F142" s="35">
        <v>2</v>
      </c>
      <c r="G142" s="15" t="str">
        <f t="shared" si="2"/>
        <v>Night</v>
      </c>
      <c r="H142" s="6" t="b">
        <v>0</v>
      </c>
      <c r="I142" s="6" t="s">
        <v>58</v>
      </c>
      <c r="J142" s="6" t="str">
        <f>IF(OR(Dataset_AFinal[[#This Row],[Weekday]]="Sat",Dataset_AFinal[[#This Row],[Weekday]]="Sun"),"Weekend", "Weekday")</f>
        <v>Weekday</v>
      </c>
      <c r="K142" s="6" t="s">
        <v>33</v>
      </c>
      <c r="L142" s="6">
        <v>0.2</v>
      </c>
      <c r="M142" s="35" t="s">
        <v>40</v>
      </c>
      <c r="N142" s="7">
        <v>0.19700000000000001</v>
      </c>
      <c r="O142" s="32">
        <v>0.69</v>
      </c>
      <c r="P142" s="7">
        <v>0.22389999999999999</v>
      </c>
      <c r="Q142" s="8">
        <v>0</v>
      </c>
      <c r="R142" s="8">
        <v>1</v>
      </c>
      <c r="S142" s="8">
        <f>SUM(Dataset_AFinal[[#This Row],[Casual_user]:[Registered_user]])</f>
        <v>1</v>
      </c>
    </row>
    <row r="143" spans="1:19" x14ac:dyDescent="0.3">
      <c r="A143" s="4">
        <v>142</v>
      </c>
      <c r="B143" s="7" t="s">
        <v>85</v>
      </c>
      <c r="C143" s="6" t="s">
        <v>78</v>
      </c>
      <c r="D143" s="6" t="s">
        <v>79</v>
      </c>
      <c r="E143" s="6" t="s">
        <v>31</v>
      </c>
      <c r="F143" s="35">
        <v>4</v>
      </c>
      <c r="G143" s="15" t="str">
        <f t="shared" si="2"/>
        <v>Night</v>
      </c>
      <c r="H143" s="6" t="b">
        <v>0</v>
      </c>
      <c r="I143" s="6" t="s">
        <v>58</v>
      </c>
      <c r="J143" s="6" t="str">
        <f>IF(OR(Dataset_AFinal[[#This Row],[Weekday]]="Sat",Dataset_AFinal[[#This Row],[Weekday]]="Sun"),"Weekend", "Weekday")</f>
        <v>Weekday</v>
      </c>
      <c r="K143" s="6" t="s">
        <v>33</v>
      </c>
      <c r="L143" s="6">
        <v>0.2</v>
      </c>
      <c r="M143" s="35" t="s">
        <v>40</v>
      </c>
      <c r="N143" s="7">
        <v>0.21210000000000001</v>
      </c>
      <c r="O143" s="32">
        <v>0.69</v>
      </c>
      <c r="P143" s="7">
        <v>0.1343</v>
      </c>
      <c r="Q143" s="8">
        <v>0</v>
      </c>
      <c r="R143" s="8">
        <v>1</v>
      </c>
      <c r="S143" s="8">
        <f>SUM(Dataset_AFinal[[#This Row],[Casual_user]:[Registered_user]])</f>
        <v>1</v>
      </c>
    </row>
    <row r="144" spans="1:19" x14ac:dyDescent="0.3">
      <c r="A144" s="4">
        <v>143</v>
      </c>
      <c r="B144" s="7" t="s">
        <v>85</v>
      </c>
      <c r="C144" s="6" t="s">
        <v>78</v>
      </c>
      <c r="D144" s="6" t="s">
        <v>79</v>
      </c>
      <c r="E144" s="6" t="s">
        <v>31</v>
      </c>
      <c r="F144" s="35">
        <v>5</v>
      </c>
      <c r="G144" s="15" t="str">
        <f t="shared" si="2"/>
        <v>Night</v>
      </c>
      <c r="H144" s="6" t="b">
        <v>0</v>
      </c>
      <c r="I144" s="6" t="s">
        <v>58</v>
      </c>
      <c r="J144" s="6" t="str">
        <f>IF(OR(Dataset_AFinal[[#This Row],[Weekday]]="Sat",Dataset_AFinal[[#This Row],[Weekday]]="Sun"),"Weekend", "Weekday")</f>
        <v>Weekday</v>
      </c>
      <c r="K144" s="6" t="s">
        <v>34</v>
      </c>
      <c r="L144" s="6">
        <v>0.22</v>
      </c>
      <c r="M144" s="35" t="s">
        <v>40</v>
      </c>
      <c r="N144" s="7">
        <v>0.2727</v>
      </c>
      <c r="O144" s="32">
        <v>0.55000000000000004</v>
      </c>
      <c r="P144" s="7">
        <v>0</v>
      </c>
      <c r="Q144" s="8">
        <v>0</v>
      </c>
      <c r="R144" s="8">
        <v>5</v>
      </c>
      <c r="S144" s="8">
        <f>SUM(Dataset_AFinal[[#This Row],[Casual_user]:[Registered_user]])</f>
        <v>5</v>
      </c>
    </row>
    <row r="145" spans="1:19" x14ac:dyDescent="0.3">
      <c r="A145" s="4">
        <v>144</v>
      </c>
      <c r="B145" s="7" t="s">
        <v>85</v>
      </c>
      <c r="C145" s="6" t="s">
        <v>78</v>
      </c>
      <c r="D145" s="6" t="s">
        <v>79</v>
      </c>
      <c r="E145" s="6" t="s">
        <v>31</v>
      </c>
      <c r="F145" s="35">
        <v>6</v>
      </c>
      <c r="G145" s="15" t="str">
        <f t="shared" si="2"/>
        <v>Morning</v>
      </c>
      <c r="H145" s="6" t="b">
        <v>0</v>
      </c>
      <c r="I145" s="6" t="s">
        <v>58</v>
      </c>
      <c r="J145" s="6" t="str">
        <f>IF(OR(Dataset_AFinal[[#This Row],[Weekday]]="Sat",Dataset_AFinal[[#This Row],[Weekday]]="Sun"),"Weekend", "Weekday")</f>
        <v>Weekday</v>
      </c>
      <c r="K145" s="6" t="s">
        <v>33</v>
      </c>
      <c r="L145" s="6">
        <v>0.2</v>
      </c>
      <c r="M145" s="35" t="s">
        <v>40</v>
      </c>
      <c r="N145" s="7">
        <v>0.2576</v>
      </c>
      <c r="O145" s="32">
        <v>0.69</v>
      </c>
      <c r="P145" s="7">
        <v>0</v>
      </c>
      <c r="Q145" s="8">
        <v>8</v>
      </c>
      <c r="R145" s="8">
        <v>26</v>
      </c>
      <c r="S145" s="8">
        <f>SUM(Dataset_AFinal[[#This Row],[Casual_user]:[Registered_user]])</f>
        <v>34</v>
      </c>
    </row>
    <row r="146" spans="1:19" x14ac:dyDescent="0.3">
      <c r="A146" s="4">
        <v>145</v>
      </c>
      <c r="B146" s="7" t="s">
        <v>85</v>
      </c>
      <c r="C146" s="6" t="s">
        <v>78</v>
      </c>
      <c r="D146" s="6" t="s">
        <v>79</v>
      </c>
      <c r="E146" s="6" t="s">
        <v>31</v>
      </c>
      <c r="F146" s="35">
        <v>7</v>
      </c>
      <c r="G146" s="15" t="str">
        <f t="shared" si="2"/>
        <v>Morning</v>
      </c>
      <c r="H146" s="6" t="b">
        <v>0</v>
      </c>
      <c r="I146" s="6" t="s">
        <v>58</v>
      </c>
      <c r="J146" s="6" t="str">
        <f>IF(OR(Dataset_AFinal[[#This Row],[Weekday]]="Sat",Dataset_AFinal[[#This Row],[Weekday]]="Sun"),"Weekend", "Weekday")</f>
        <v>Weekday</v>
      </c>
      <c r="K146" s="6" t="s">
        <v>32</v>
      </c>
      <c r="L146" s="6">
        <v>0.2</v>
      </c>
      <c r="M146" s="35" t="s">
        <v>40</v>
      </c>
      <c r="N146" s="7">
        <v>0.21210000000000001</v>
      </c>
      <c r="O146" s="32">
        <v>0.69</v>
      </c>
      <c r="P146" s="7">
        <v>0.1343</v>
      </c>
      <c r="Q146" s="8">
        <v>8</v>
      </c>
      <c r="R146" s="8">
        <v>76</v>
      </c>
      <c r="S146" s="8">
        <f>SUM(Dataset_AFinal[[#This Row],[Casual_user]:[Registered_user]])</f>
        <v>84</v>
      </c>
    </row>
    <row r="147" spans="1:19" x14ac:dyDescent="0.3">
      <c r="A147" s="4">
        <v>146</v>
      </c>
      <c r="B147" s="7" t="s">
        <v>85</v>
      </c>
      <c r="C147" s="6" t="s">
        <v>78</v>
      </c>
      <c r="D147" s="6" t="s">
        <v>79</v>
      </c>
      <c r="E147" s="6" t="s">
        <v>31</v>
      </c>
      <c r="F147" s="35">
        <v>8</v>
      </c>
      <c r="G147" s="15" t="str">
        <f t="shared" si="2"/>
        <v>Morning</v>
      </c>
      <c r="H147" s="6" t="b">
        <v>0</v>
      </c>
      <c r="I147" s="6" t="s">
        <v>58</v>
      </c>
      <c r="J147" s="6" t="str">
        <f>IF(OR(Dataset_AFinal[[#This Row],[Weekday]]="Sat",Dataset_AFinal[[#This Row],[Weekday]]="Sun"),"Weekend", "Weekday")</f>
        <v>Weekday</v>
      </c>
      <c r="K147" s="6" t="s">
        <v>32</v>
      </c>
      <c r="L147" s="6">
        <v>0.2</v>
      </c>
      <c r="M147" s="35" t="s">
        <v>40</v>
      </c>
      <c r="N147" s="7">
        <v>0.19700000000000001</v>
      </c>
      <c r="O147" s="32">
        <v>0.51</v>
      </c>
      <c r="P147" s="7">
        <v>0.25369999999999998</v>
      </c>
      <c r="Q147" s="8">
        <v>20</v>
      </c>
      <c r="R147" s="8">
        <v>190</v>
      </c>
      <c r="S147" s="8">
        <f>SUM(Dataset_AFinal[[#This Row],[Casual_user]:[Registered_user]])</f>
        <v>210</v>
      </c>
    </row>
    <row r="148" spans="1:19" x14ac:dyDescent="0.3">
      <c r="A148" s="4">
        <v>147</v>
      </c>
      <c r="B148" s="7" t="s">
        <v>85</v>
      </c>
      <c r="C148" s="6" t="s">
        <v>78</v>
      </c>
      <c r="D148" s="6" t="s">
        <v>79</v>
      </c>
      <c r="E148" s="6" t="s">
        <v>31</v>
      </c>
      <c r="F148" s="35">
        <v>9</v>
      </c>
      <c r="G148" s="15" t="str">
        <f t="shared" si="2"/>
        <v>Morning</v>
      </c>
      <c r="H148" s="6" t="b">
        <v>0</v>
      </c>
      <c r="I148" s="6" t="s">
        <v>58</v>
      </c>
      <c r="J148" s="6" t="str">
        <f>IF(OR(Dataset_AFinal[[#This Row],[Weekday]]="Sat",Dataset_AFinal[[#This Row],[Weekday]]="Sun"),"Weekend", "Weekday")</f>
        <v>Weekday</v>
      </c>
      <c r="K148" s="6" t="s">
        <v>32</v>
      </c>
      <c r="L148" s="6">
        <v>0.2</v>
      </c>
      <c r="M148" s="35" t="s">
        <v>40</v>
      </c>
      <c r="N148" s="7">
        <v>0.18179999999999999</v>
      </c>
      <c r="O148" s="32">
        <v>0.47</v>
      </c>
      <c r="P148" s="7">
        <v>0.29849999999999999</v>
      </c>
      <c r="Q148" s="8">
        <v>9</v>
      </c>
      <c r="R148" s="8">
        <v>125</v>
      </c>
      <c r="S148" s="8">
        <f>SUM(Dataset_AFinal[[#This Row],[Casual_user]:[Registered_user]])</f>
        <v>134</v>
      </c>
    </row>
    <row r="149" spans="1:19" x14ac:dyDescent="0.3">
      <c r="A149" s="4">
        <v>148</v>
      </c>
      <c r="B149" s="7" t="s">
        <v>85</v>
      </c>
      <c r="C149" s="6" t="s">
        <v>78</v>
      </c>
      <c r="D149" s="6" t="s">
        <v>79</v>
      </c>
      <c r="E149" s="6" t="s">
        <v>31</v>
      </c>
      <c r="F149" s="35">
        <v>10</v>
      </c>
      <c r="G149" s="15" t="str">
        <f t="shared" si="2"/>
        <v>Morning</v>
      </c>
      <c r="H149" s="6" t="b">
        <v>0</v>
      </c>
      <c r="I149" s="6" t="s">
        <v>58</v>
      </c>
      <c r="J149" s="6" t="str">
        <f>IF(OR(Dataset_AFinal[[#This Row],[Weekday]]="Sat",Dataset_AFinal[[#This Row],[Weekday]]="Sun"),"Weekend", "Weekday")</f>
        <v>Weekday</v>
      </c>
      <c r="K149" s="6" t="s">
        <v>32</v>
      </c>
      <c r="L149" s="6">
        <v>0.22</v>
      </c>
      <c r="M149" s="35" t="s">
        <v>40</v>
      </c>
      <c r="N149" s="7">
        <v>0.19700000000000001</v>
      </c>
      <c r="O149" s="32">
        <v>0.37</v>
      </c>
      <c r="P149" s="7">
        <v>0.32840000000000003</v>
      </c>
      <c r="Q149" s="8">
        <v>16</v>
      </c>
      <c r="R149" s="8">
        <v>47</v>
      </c>
      <c r="S149" s="8">
        <f>SUM(Dataset_AFinal[[#This Row],[Casual_user]:[Registered_user]])</f>
        <v>63</v>
      </c>
    </row>
    <row r="150" spans="1:19" x14ac:dyDescent="0.3">
      <c r="A150" s="4">
        <v>149</v>
      </c>
      <c r="B150" s="7" t="s">
        <v>85</v>
      </c>
      <c r="C150" s="6" t="s">
        <v>78</v>
      </c>
      <c r="D150" s="6" t="s">
        <v>79</v>
      </c>
      <c r="E150" s="6" t="s">
        <v>31</v>
      </c>
      <c r="F150" s="35">
        <v>11</v>
      </c>
      <c r="G150" s="15" t="str">
        <f t="shared" si="2"/>
        <v>Morning</v>
      </c>
      <c r="H150" s="6" t="b">
        <v>0</v>
      </c>
      <c r="I150" s="6" t="s">
        <v>58</v>
      </c>
      <c r="J150" s="6" t="str">
        <f>IF(OR(Dataset_AFinal[[#This Row],[Weekday]]="Sat",Dataset_AFinal[[#This Row],[Weekday]]="Sun"),"Weekend", "Weekday")</f>
        <v>Weekday</v>
      </c>
      <c r="K150" s="6" t="s">
        <v>33</v>
      </c>
      <c r="L150" s="6">
        <v>0.2</v>
      </c>
      <c r="M150" s="35" t="s">
        <v>40</v>
      </c>
      <c r="N150" s="7">
        <v>0.19700000000000001</v>
      </c>
      <c r="O150" s="32">
        <v>0.4</v>
      </c>
      <c r="P150" s="7">
        <v>0.22389999999999999</v>
      </c>
      <c r="Q150" s="8">
        <v>19</v>
      </c>
      <c r="R150" s="8">
        <v>48</v>
      </c>
      <c r="S150" s="8">
        <f>SUM(Dataset_AFinal[[#This Row],[Casual_user]:[Registered_user]])</f>
        <v>67</v>
      </c>
    </row>
    <row r="151" spans="1:19" x14ac:dyDescent="0.3">
      <c r="A151" s="4">
        <v>150</v>
      </c>
      <c r="B151" s="7" t="s">
        <v>85</v>
      </c>
      <c r="C151" s="6" t="s">
        <v>78</v>
      </c>
      <c r="D151" s="6" t="s">
        <v>79</v>
      </c>
      <c r="E151" s="6" t="s">
        <v>31</v>
      </c>
      <c r="F151" s="35">
        <v>12</v>
      </c>
      <c r="G151" s="15" t="str">
        <f t="shared" si="2"/>
        <v>Afternoon</v>
      </c>
      <c r="H151" s="6" t="b">
        <v>0</v>
      </c>
      <c r="I151" s="6" t="s">
        <v>58</v>
      </c>
      <c r="J151" s="6" t="str">
        <f>IF(OR(Dataset_AFinal[[#This Row],[Weekday]]="Sat",Dataset_AFinal[[#This Row],[Weekday]]="Sun"),"Weekend", "Weekday")</f>
        <v>Weekday</v>
      </c>
      <c r="K151" s="6" t="s">
        <v>33</v>
      </c>
      <c r="L151" s="6">
        <v>0.2</v>
      </c>
      <c r="M151" s="35" t="s">
        <v>40</v>
      </c>
      <c r="N151" s="7">
        <v>0.19700000000000001</v>
      </c>
      <c r="O151" s="32">
        <v>0.37</v>
      </c>
      <c r="P151" s="7">
        <v>0.25369999999999998</v>
      </c>
      <c r="Q151" s="8">
        <v>9</v>
      </c>
      <c r="R151" s="8">
        <v>50</v>
      </c>
      <c r="S151" s="8">
        <f>SUM(Dataset_AFinal[[#This Row],[Casual_user]:[Registered_user]])</f>
        <v>59</v>
      </c>
    </row>
    <row r="152" spans="1:19" x14ac:dyDescent="0.3">
      <c r="A152" s="4">
        <v>151</v>
      </c>
      <c r="B152" s="7" t="s">
        <v>85</v>
      </c>
      <c r="C152" s="6" t="s">
        <v>78</v>
      </c>
      <c r="D152" s="6" t="s">
        <v>79</v>
      </c>
      <c r="E152" s="6" t="s">
        <v>31</v>
      </c>
      <c r="F152" s="35">
        <v>13</v>
      </c>
      <c r="G152" s="15" t="str">
        <f t="shared" si="2"/>
        <v>Afternoon</v>
      </c>
      <c r="H152" s="6" t="b">
        <v>0</v>
      </c>
      <c r="I152" s="6" t="s">
        <v>58</v>
      </c>
      <c r="J152" s="6" t="str">
        <f>IF(OR(Dataset_AFinal[[#This Row],[Weekday]]="Sat",Dataset_AFinal[[#This Row],[Weekday]]="Sun"),"Weekend", "Weekday")</f>
        <v>Weekday</v>
      </c>
      <c r="K152" s="6" t="s">
        <v>33</v>
      </c>
      <c r="L152" s="6">
        <v>0.2</v>
      </c>
      <c r="M152" s="35" t="s">
        <v>40</v>
      </c>
      <c r="N152" s="7">
        <v>0.18179999999999999</v>
      </c>
      <c r="O152" s="32">
        <v>0.37</v>
      </c>
      <c r="P152" s="7">
        <v>0.28360000000000002</v>
      </c>
      <c r="Q152" s="8">
        <v>9</v>
      </c>
      <c r="R152" s="8">
        <v>64</v>
      </c>
      <c r="S152" s="8">
        <f>SUM(Dataset_AFinal[[#This Row],[Casual_user]:[Registered_user]])</f>
        <v>73</v>
      </c>
    </row>
    <row r="153" spans="1:19" x14ac:dyDescent="0.3">
      <c r="A153" s="4">
        <v>152</v>
      </c>
      <c r="B153" s="7" t="s">
        <v>85</v>
      </c>
      <c r="C153" s="6" t="s">
        <v>78</v>
      </c>
      <c r="D153" s="6" t="s">
        <v>79</v>
      </c>
      <c r="E153" s="6" t="s">
        <v>31</v>
      </c>
      <c r="F153" s="35">
        <v>14</v>
      </c>
      <c r="G153" s="15" t="str">
        <f t="shared" si="2"/>
        <v>Afternoon</v>
      </c>
      <c r="H153" s="6" t="b">
        <v>0</v>
      </c>
      <c r="I153" s="6" t="s">
        <v>58</v>
      </c>
      <c r="J153" s="6" t="str">
        <f>IF(OR(Dataset_AFinal[[#This Row],[Weekday]]="Sat",Dataset_AFinal[[#This Row],[Weekday]]="Sun"),"Weekend", "Weekday")</f>
        <v>Weekday</v>
      </c>
      <c r="K153" s="6" t="s">
        <v>33</v>
      </c>
      <c r="L153" s="6">
        <v>0.2</v>
      </c>
      <c r="M153" s="35" t="s">
        <v>40</v>
      </c>
      <c r="N153" s="7">
        <v>0.19700000000000001</v>
      </c>
      <c r="O153" s="32">
        <v>0.4</v>
      </c>
      <c r="P153" s="7">
        <v>0.25369999999999998</v>
      </c>
      <c r="Q153" s="8">
        <v>7</v>
      </c>
      <c r="R153" s="8">
        <v>43</v>
      </c>
      <c r="S153" s="8">
        <f>SUM(Dataset_AFinal[[#This Row],[Casual_user]:[Registered_user]])</f>
        <v>50</v>
      </c>
    </row>
    <row r="154" spans="1:19" x14ac:dyDescent="0.3">
      <c r="A154" s="4">
        <v>153</v>
      </c>
      <c r="B154" s="7" t="s">
        <v>85</v>
      </c>
      <c r="C154" s="6" t="s">
        <v>78</v>
      </c>
      <c r="D154" s="6" t="s">
        <v>79</v>
      </c>
      <c r="E154" s="6" t="s">
        <v>31</v>
      </c>
      <c r="F154" s="35">
        <v>15</v>
      </c>
      <c r="G154" s="15" t="str">
        <f t="shared" si="2"/>
        <v>Afternoon</v>
      </c>
      <c r="H154" s="6" t="b">
        <v>0</v>
      </c>
      <c r="I154" s="6" t="s">
        <v>58</v>
      </c>
      <c r="J154" s="6" t="str">
        <f>IF(OR(Dataset_AFinal[[#This Row],[Weekday]]="Sat",Dataset_AFinal[[#This Row],[Weekday]]="Sun"),"Weekend", "Weekday")</f>
        <v>Weekday</v>
      </c>
      <c r="K154" s="6" t="s">
        <v>33</v>
      </c>
      <c r="L154" s="6">
        <v>0.2</v>
      </c>
      <c r="M154" s="35" t="s">
        <v>40</v>
      </c>
      <c r="N154" s="7">
        <v>0.21210000000000001</v>
      </c>
      <c r="O154" s="32">
        <v>0.37</v>
      </c>
      <c r="P154" s="7">
        <v>0.16420000000000001</v>
      </c>
      <c r="Q154" s="8">
        <v>9</v>
      </c>
      <c r="R154" s="8">
        <v>63</v>
      </c>
      <c r="S154" s="8">
        <f>SUM(Dataset_AFinal[[#This Row],[Casual_user]:[Registered_user]])</f>
        <v>72</v>
      </c>
    </row>
    <row r="155" spans="1:19" x14ac:dyDescent="0.3">
      <c r="A155" s="4">
        <v>154</v>
      </c>
      <c r="B155" s="7" t="s">
        <v>85</v>
      </c>
      <c r="C155" s="6" t="s">
        <v>78</v>
      </c>
      <c r="D155" s="6" t="s">
        <v>79</v>
      </c>
      <c r="E155" s="6" t="s">
        <v>31</v>
      </c>
      <c r="F155" s="35">
        <v>16</v>
      </c>
      <c r="G155" s="15" t="str">
        <f t="shared" si="2"/>
        <v>Afternoon</v>
      </c>
      <c r="H155" s="6" t="b">
        <v>0</v>
      </c>
      <c r="I155" s="6" t="s">
        <v>58</v>
      </c>
      <c r="J155" s="6" t="str">
        <f>IF(OR(Dataset_AFinal[[#This Row],[Weekday]]="Sat",Dataset_AFinal[[#This Row],[Weekday]]="Sun"),"Weekend", "Weekday")</f>
        <v>Weekday</v>
      </c>
      <c r="K155" s="6" t="s">
        <v>33</v>
      </c>
      <c r="L155" s="6">
        <v>0.2</v>
      </c>
      <c r="M155" s="35" t="s">
        <v>40</v>
      </c>
      <c r="N155" s="7">
        <v>0.21210000000000001</v>
      </c>
      <c r="O155" s="32">
        <v>0.37</v>
      </c>
      <c r="P155" s="7">
        <v>0.16420000000000001</v>
      </c>
      <c r="Q155" s="8">
        <v>5</v>
      </c>
      <c r="R155" s="8">
        <v>82</v>
      </c>
      <c r="S155" s="8">
        <f>SUM(Dataset_AFinal[[#This Row],[Casual_user]:[Registered_user]])</f>
        <v>87</v>
      </c>
    </row>
    <row r="156" spans="1:19" x14ac:dyDescent="0.3">
      <c r="A156" s="4">
        <v>155</v>
      </c>
      <c r="B156" s="7" t="s">
        <v>85</v>
      </c>
      <c r="C156" s="6" t="s">
        <v>78</v>
      </c>
      <c r="D156" s="6" t="s">
        <v>79</v>
      </c>
      <c r="E156" s="6" t="s">
        <v>31</v>
      </c>
      <c r="F156" s="35">
        <v>17</v>
      </c>
      <c r="G156" s="15" t="str">
        <f t="shared" si="2"/>
        <v>Afternoon</v>
      </c>
      <c r="H156" s="6" t="b">
        <v>0</v>
      </c>
      <c r="I156" s="6" t="s">
        <v>58</v>
      </c>
      <c r="J156" s="6" t="str">
        <f>IF(OR(Dataset_AFinal[[#This Row],[Weekday]]="Sat",Dataset_AFinal[[#This Row],[Weekday]]="Sun"),"Weekend", "Weekday")</f>
        <v>Weekday</v>
      </c>
      <c r="K156" s="6" t="s">
        <v>33</v>
      </c>
      <c r="L156" s="6">
        <v>0.2</v>
      </c>
      <c r="M156" s="35" t="s">
        <v>40</v>
      </c>
      <c r="N156" s="7">
        <v>0.2576</v>
      </c>
      <c r="O156" s="32">
        <v>0.37</v>
      </c>
      <c r="P156" s="7">
        <v>0</v>
      </c>
      <c r="Q156" s="8">
        <v>9</v>
      </c>
      <c r="R156" s="8">
        <v>178</v>
      </c>
      <c r="S156" s="8">
        <f>SUM(Dataset_AFinal[[#This Row],[Casual_user]:[Registered_user]])</f>
        <v>187</v>
      </c>
    </row>
    <row r="157" spans="1:19" x14ac:dyDescent="0.3">
      <c r="A157" s="4">
        <v>156</v>
      </c>
      <c r="B157" s="7" t="s">
        <v>85</v>
      </c>
      <c r="C157" s="6" t="s">
        <v>78</v>
      </c>
      <c r="D157" s="6" t="s">
        <v>79</v>
      </c>
      <c r="E157" s="6" t="s">
        <v>31</v>
      </c>
      <c r="F157" s="35">
        <v>18</v>
      </c>
      <c r="G157" s="15" t="str">
        <f t="shared" si="2"/>
        <v>Evening</v>
      </c>
      <c r="H157" s="6" t="b">
        <v>0</v>
      </c>
      <c r="I157" s="6" t="s">
        <v>58</v>
      </c>
      <c r="J157" s="6" t="str">
        <f>IF(OR(Dataset_AFinal[[#This Row],[Weekday]]="Sat",Dataset_AFinal[[#This Row],[Weekday]]="Sun"),"Weekend", "Weekday")</f>
        <v>Weekday</v>
      </c>
      <c r="K157" s="6" t="s">
        <v>32</v>
      </c>
      <c r="L157" s="6">
        <v>0.2</v>
      </c>
      <c r="M157" s="35" t="s">
        <v>40</v>
      </c>
      <c r="N157" s="7">
        <v>0.2273</v>
      </c>
      <c r="O157" s="32">
        <v>0.4</v>
      </c>
      <c r="P157" s="7">
        <v>8.9599999999999999E-2</v>
      </c>
      <c r="Q157" s="8">
        <v>7</v>
      </c>
      <c r="R157" s="8">
        <v>116</v>
      </c>
      <c r="S157" s="8">
        <f>SUM(Dataset_AFinal[[#This Row],[Casual_user]:[Registered_user]])</f>
        <v>123</v>
      </c>
    </row>
    <row r="158" spans="1:19" x14ac:dyDescent="0.3">
      <c r="A158" s="4">
        <v>157</v>
      </c>
      <c r="B158" s="7" t="s">
        <v>85</v>
      </c>
      <c r="C158" s="6" t="s">
        <v>78</v>
      </c>
      <c r="D158" s="6" t="s">
        <v>79</v>
      </c>
      <c r="E158" s="6" t="s">
        <v>31</v>
      </c>
      <c r="F158" s="35">
        <v>19</v>
      </c>
      <c r="G158" s="15" t="str">
        <f t="shared" si="2"/>
        <v>Evening</v>
      </c>
      <c r="H158" s="6" t="b">
        <v>0</v>
      </c>
      <c r="I158" s="6" t="s">
        <v>58</v>
      </c>
      <c r="J158" s="6" t="str">
        <f>IF(OR(Dataset_AFinal[[#This Row],[Weekday]]="Sat",Dataset_AFinal[[#This Row],[Weekday]]="Sun"),"Weekend", "Weekday")</f>
        <v>Weekday</v>
      </c>
      <c r="K158" s="6" t="s">
        <v>32</v>
      </c>
      <c r="L158" s="6">
        <v>0.16</v>
      </c>
      <c r="M158" s="35" t="s">
        <v>40</v>
      </c>
      <c r="N158" s="7">
        <v>0.19700000000000001</v>
      </c>
      <c r="O158" s="32">
        <v>0.55000000000000004</v>
      </c>
      <c r="P158" s="7">
        <v>8.9599999999999999E-2</v>
      </c>
      <c r="Q158" s="8">
        <v>3</v>
      </c>
      <c r="R158" s="8">
        <v>92</v>
      </c>
      <c r="S158" s="8">
        <f>SUM(Dataset_AFinal[[#This Row],[Casual_user]:[Registered_user]])</f>
        <v>95</v>
      </c>
    </row>
    <row r="159" spans="1:19" x14ac:dyDescent="0.3">
      <c r="A159" s="4">
        <v>158</v>
      </c>
      <c r="B159" s="7" t="s">
        <v>85</v>
      </c>
      <c r="C159" s="6" t="s">
        <v>78</v>
      </c>
      <c r="D159" s="6" t="s">
        <v>79</v>
      </c>
      <c r="E159" s="6" t="s">
        <v>31</v>
      </c>
      <c r="F159" s="35">
        <v>20</v>
      </c>
      <c r="G159" s="15" t="str">
        <f t="shared" si="2"/>
        <v>Evening</v>
      </c>
      <c r="H159" s="6" t="b">
        <v>0</v>
      </c>
      <c r="I159" s="6" t="s">
        <v>58</v>
      </c>
      <c r="J159" s="6" t="str">
        <f>IF(OR(Dataset_AFinal[[#This Row],[Weekday]]="Sat",Dataset_AFinal[[#This Row],[Weekday]]="Sun"),"Weekend", "Weekday")</f>
        <v>Weekday</v>
      </c>
      <c r="K159" s="6" t="s">
        <v>32</v>
      </c>
      <c r="L159" s="6">
        <v>0.18</v>
      </c>
      <c r="M159" s="35" t="s">
        <v>40</v>
      </c>
      <c r="N159" s="7">
        <v>0.21210000000000001</v>
      </c>
      <c r="O159" s="32">
        <v>0.47</v>
      </c>
      <c r="P159" s="7">
        <v>0.1045</v>
      </c>
      <c r="Q159" s="8">
        <v>1</v>
      </c>
      <c r="R159" s="8">
        <v>50</v>
      </c>
      <c r="S159" s="8">
        <f>SUM(Dataset_AFinal[[#This Row],[Casual_user]:[Registered_user]])</f>
        <v>51</v>
      </c>
    </row>
    <row r="160" spans="1:19" x14ac:dyDescent="0.3">
      <c r="A160" s="4">
        <v>159</v>
      </c>
      <c r="B160" s="7" t="s">
        <v>85</v>
      </c>
      <c r="C160" s="6" t="s">
        <v>78</v>
      </c>
      <c r="D160" s="6" t="s">
        <v>79</v>
      </c>
      <c r="E160" s="6" t="s">
        <v>31</v>
      </c>
      <c r="F160" s="35">
        <v>21</v>
      </c>
      <c r="G160" s="15" t="str">
        <f t="shared" si="2"/>
        <v>Evening</v>
      </c>
      <c r="H160" s="6" t="b">
        <v>0</v>
      </c>
      <c r="I160" s="6" t="s">
        <v>58</v>
      </c>
      <c r="J160" s="6" t="str">
        <f>IF(OR(Dataset_AFinal[[#This Row],[Weekday]]="Sat",Dataset_AFinal[[#This Row],[Weekday]]="Sun"),"Weekend", "Weekday")</f>
        <v>Weekday</v>
      </c>
      <c r="K160" s="6" t="s">
        <v>32</v>
      </c>
      <c r="L160" s="6">
        <v>0.18</v>
      </c>
      <c r="M160" s="35" t="s">
        <v>40</v>
      </c>
      <c r="N160" s="7">
        <v>0.19700000000000001</v>
      </c>
      <c r="O160" s="32">
        <v>0.47</v>
      </c>
      <c r="P160" s="7">
        <v>0.1343</v>
      </c>
      <c r="Q160" s="8">
        <v>0</v>
      </c>
      <c r="R160" s="8">
        <v>39</v>
      </c>
      <c r="S160" s="8">
        <f>SUM(Dataset_AFinal[[#This Row],[Casual_user]:[Registered_user]])</f>
        <v>39</v>
      </c>
    </row>
    <row r="161" spans="1:19" x14ac:dyDescent="0.3">
      <c r="A161" s="4">
        <v>160</v>
      </c>
      <c r="B161" s="7" t="s">
        <v>85</v>
      </c>
      <c r="C161" s="6" t="s">
        <v>78</v>
      </c>
      <c r="D161" s="6" t="s">
        <v>79</v>
      </c>
      <c r="E161" s="6" t="s">
        <v>31</v>
      </c>
      <c r="F161" s="35">
        <v>22</v>
      </c>
      <c r="G161" s="15" t="str">
        <f t="shared" si="2"/>
        <v>Evening</v>
      </c>
      <c r="H161" s="6" t="b">
        <v>0</v>
      </c>
      <c r="I161" s="6" t="s">
        <v>58</v>
      </c>
      <c r="J161" s="6" t="str">
        <f>IF(OR(Dataset_AFinal[[#This Row],[Weekday]]="Sat",Dataset_AFinal[[#This Row],[Weekday]]="Sun"),"Weekend", "Weekday")</f>
        <v>Weekday</v>
      </c>
      <c r="K161" s="6" t="s">
        <v>33</v>
      </c>
      <c r="L161" s="6">
        <v>0.18</v>
      </c>
      <c r="M161" s="35" t="s">
        <v>40</v>
      </c>
      <c r="N161" s="7">
        <v>0.19700000000000001</v>
      </c>
      <c r="O161" s="32">
        <v>0.43</v>
      </c>
      <c r="P161" s="7">
        <v>0.16420000000000001</v>
      </c>
      <c r="Q161" s="8">
        <v>2</v>
      </c>
      <c r="R161" s="8">
        <v>34</v>
      </c>
      <c r="S161" s="8">
        <f>SUM(Dataset_AFinal[[#This Row],[Casual_user]:[Registered_user]])</f>
        <v>36</v>
      </c>
    </row>
    <row r="162" spans="1:19" x14ac:dyDescent="0.3">
      <c r="A162" s="4">
        <v>161</v>
      </c>
      <c r="B162" s="7" t="s">
        <v>85</v>
      </c>
      <c r="C162" s="6" t="s">
        <v>78</v>
      </c>
      <c r="D162" s="6" t="s">
        <v>79</v>
      </c>
      <c r="E162" s="6" t="s">
        <v>31</v>
      </c>
      <c r="F162" s="35">
        <v>23</v>
      </c>
      <c r="G162" s="15" t="str">
        <f t="shared" si="2"/>
        <v>Evening</v>
      </c>
      <c r="H162" s="6" t="b">
        <v>0</v>
      </c>
      <c r="I162" s="6" t="s">
        <v>58</v>
      </c>
      <c r="J162" s="6" t="str">
        <f>IF(OR(Dataset_AFinal[[#This Row],[Weekday]]="Sat",Dataset_AFinal[[#This Row],[Weekday]]="Sun"),"Weekend", "Weekday")</f>
        <v>Weekday</v>
      </c>
      <c r="K162" s="6" t="s">
        <v>33</v>
      </c>
      <c r="L162" s="6">
        <v>0.18</v>
      </c>
      <c r="M162" s="35" t="s">
        <v>40</v>
      </c>
      <c r="N162" s="7">
        <v>0.19700000000000001</v>
      </c>
      <c r="O162" s="32">
        <v>0.51</v>
      </c>
      <c r="P162" s="7">
        <v>0.16420000000000001</v>
      </c>
      <c r="Q162" s="8">
        <v>1</v>
      </c>
      <c r="R162" s="8">
        <v>14</v>
      </c>
      <c r="S162" s="8">
        <f>SUM(Dataset_AFinal[[#This Row],[Casual_user]:[Registered_user]])</f>
        <v>15</v>
      </c>
    </row>
    <row r="163" spans="1:19" x14ac:dyDescent="0.3">
      <c r="A163" s="4">
        <v>162</v>
      </c>
      <c r="B163" s="7" t="s">
        <v>86</v>
      </c>
      <c r="C163" s="6" t="s">
        <v>78</v>
      </c>
      <c r="D163" s="6" t="s">
        <v>79</v>
      </c>
      <c r="E163" s="6" t="s">
        <v>31</v>
      </c>
      <c r="F163" s="35">
        <v>0</v>
      </c>
      <c r="G163" s="15" t="str">
        <f t="shared" si="2"/>
        <v>Night</v>
      </c>
      <c r="H163" s="6" t="b">
        <v>0</v>
      </c>
      <c r="I163" s="6" t="s">
        <v>52</v>
      </c>
      <c r="J163" s="6" t="str">
        <f>IF(OR(Dataset_AFinal[[#This Row],[Weekday]]="Sat",Dataset_AFinal[[#This Row],[Weekday]]="Sun"),"Weekend", "Weekday")</f>
        <v>Weekend</v>
      </c>
      <c r="K163" s="6" t="s">
        <v>33</v>
      </c>
      <c r="L163" s="6">
        <v>0.18</v>
      </c>
      <c r="M163" s="35" t="s">
        <v>40</v>
      </c>
      <c r="N163" s="7">
        <v>0.19700000000000001</v>
      </c>
      <c r="O163" s="32">
        <v>0.51</v>
      </c>
      <c r="P163" s="7">
        <v>0.16420000000000001</v>
      </c>
      <c r="Q163" s="8">
        <v>1</v>
      </c>
      <c r="R163" s="8">
        <v>24</v>
      </c>
      <c r="S163" s="8">
        <f>SUM(Dataset_AFinal[[#This Row],[Casual_user]:[Registered_user]])</f>
        <v>25</v>
      </c>
    </row>
    <row r="164" spans="1:19" x14ac:dyDescent="0.3">
      <c r="A164" s="4">
        <v>163</v>
      </c>
      <c r="B164" s="7" t="s">
        <v>86</v>
      </c>
      <c r="C164" s="6" t="s">
        <v>78</v>
      </c>
      <c r="D164" s="6" t="s">
        <v>79</v>
      </c>
      <c r="E164" s="6" t="s">
        <v>31</v>
      </c>
      <c r="F164" s="35">
        <v>1</v>
      </c>
      <c r="G164" s="15" t="str">
        <f t="shared" si="2"/>
        <v>Night</v>
      </c>
      <c r="H164" s="6" t="b">
        <v>0</v>
      </c>
      <c r="I164" s="6" t="s">
        <v>52</v>
      </c>
      <c r="J164" s="6" t="str">
        <f>IF(OR(Dataset_AFinal[[#This Row],[Weekday]]="Sat",Dataset_AFinal[[#This Row],[Weekday]]="Sun"),"Weekend", "Weekday")</f>
        <v>Weekend</v>
      </c>
      <c r="K164" s="6" t="s">
        <v>33</v>
      </c>
      <c r="L164" s="6">
        <v>0.18</v>
      </c>
      <c r="M164" s="35" t="s">
        <v>40</v>
      </c>
      <c r="N164" s="7">
        <v>0.21210000000000001</v>
      </c>
      <c r="O164" s="32">
        <v>0.55000000000000004</v>
      </c>
      <c r="P164" s="7">
        <v>8.9599999999999999E-2</v>
      </c>
      <c r="Q164" s="8">
        <v>1</v>
      </c>
      <c r="R164" s="8">
        <v>15</v>
      </c>
      <c r="S164" s="8">
        <f>SUM(Dataset_AFinal[[#This Row],[Casual_user]:[Registered_user]])</f>
        <v>16</v>
      </c>
    </row>
    <row r="165" spans="1:19" x14ac:dyDescent="0.3">
      <c r="A165" s="4">
        <v>164</v>
      </c>
      <c r="B165" s="7" t="s">
        <v>86</v>
      </c>
      <c r="C165" s="6" t="s">
        <v>78</v>
      </c>
      <c r="D165" s="6" t="s">
        <v>79</v>
      </c>
      <c r="E165" s="6" t="s">
        <v>31</v>
      </c>
      <c r="F165" s="35">
        <v>2</v>
      </c>
      <c r="G165" s="15" t="str">
        <f t="shared" si="2"/>
        <v>Night</v>
      </c>
      <c r="H165" s="6" t="b">
        <v>0</v>
      </c>
      <c r="I165" s="6" t="s">
        <v>52</v>
      </c>
      <c r="J165" s="6" t="str">
        <f>IF(OR(Dataset_AFinal[[#This Row],[Weekday]]="Sat",Dataset_AFinal[[#This Row],[Weekday]]="Sun"),"Weekend", "Weekday")</f>
        <v>Weekend</v>
      </c>
      <c r="K165" s="6" t="s">
        <v>33</v>
      </c>
      <c r="L165" s="6">
        <v>0.18</v>
      </c>
      <c r="M165" s="35" t="s">
        <v>40</v>
      </c>
      <c r="N165" s="7">
        <v>0.2424</v>
      </c>
      <c r="O165" s="32">
        <v>0.55000000000000004</v>
      </c>
      <c r="P165" s="7">
        <v>0</v>
      </c>
      <c r="Q165" s="8">
        <v>3</v>
      </c>
      <c r="R165" s="8">
        <v>13</v>
      </c>
      <c r="S165" s="8">
        <f>SUM(Dataset_AFinal[[#This Row],[Casual_user]:[Registered_user]])</f>
        <v>16</v>
      </c>
    </row>
    <row r="166" spans="1:19" x14ac:dyDescent="0.3">
      <c r="A166" s="4">
        <v>165</v>
      </c>
      <c r="B166" s="7" t="s">
        <v>86</v>
      </c>
      <c r="C166" s="6" t="s">
        <v>78</v>
      </c>
      <c r="D166" s="6" t="s">
        <v>79</v>
      </c>
      <c r="E166" s="6" t="s">
        <v>31</v>
      </c>
      <c r="F166" s="35">
        <v>3</v>
      </c>
      <c r="G166" s="15" t="str">
        <f t="shared" si="2"/>
        <v>Night</v>
      </c>
      <c r="H166" s="6" t="b">
        <v>0</v>
      </c>
      <c r="I166" s="6" t="s">
        <v>52</v>
      </c>
      <c r="J166" s="6" t="str">
        <f>IF(OR(Dataset_AFinal[[#This Row],[Weekday]]="Sat",Dataset_AFinal[[#This Row],[Weekday]]="Sun"),"Weekend", "Weekday")</f>
        <v>Weekend</v>
      </c>
      <c r="K166" s="6" t="s">
        <v>34</v>
      </c>
      <c r="L166" s="6">
        <v>0.18</v>
      </c>
      <c r="M166" s="35" t="s">
        <v>40</v>
      </c>
      <c r="N166" s="7">
        <v>0.19700000000000001</v>
      </c>
      <c r="O166" s="32">
        <v>0.55000000000000004</v>
      </c>
      <c r="P166" s="7">
        <v>0.16420000000000001</v>
      </c>
      <c r="Q166" s="8">
        <v>0</v>
      </c>
      <c r="R166" s="8">
        <v>7</v>
      </c>
      <c r="S166" s="8">
        <f>SUM(Dataset_AFinal[[#This Row],[Casual_user]:[Registered_user]])</f>
        <v>7</v>
      </c>
    </row>
    <row r="167" spans="1:19" x14ac:dyDescent="0.3">
      <c r="A167" s="4">
        <v>166</v>
      </c>
      <c r="B167" s="7" t="s">
        <v>86</v>
      </c>
      <c r="C167" s="6" t="s">
        <v>78</v>
      </c>
      <c r="D167" s="6" t="s">
        <v>79</v>
      </c>
      <c r="E167" s="6" t="s">
        <v>31</v>
      </c>
      <c r="F167" s="35">
        <v>4</v>
      </c>
      <c r="G167" s="15" t="str">
        <f t="shared" si="2"/>
        <v>Night</v>
      </c>
      <c r="H167" s="6" t="b">
        <v>0</v>
      </c>
      <c r="I167" s="6" t="s">
        <v>52</v>
      </c>
      <c r="J167" s="6" t="str">
        <f>IF(OR(Dataset_AFinal[[#This Row],[Weekday]]="Sat",Dataset_AFinal[[#This Row],[Weekday]]="Sun"),"Weekend", "Weekday")</f>
        <v>Weekend</v>
      </c>
      <c r="K167" s="6" t="s">
        <v>34</v>
      </c>
      <c r="L167" s="6">
        <v>0.18</v>
      </c>
      <c r="M167" s="35" t="s">
        <v>40</v>
      </c>
      <c r="N167" s="7">
        <v>0.19700000000000001</v>
      </c>
      <c r="O167" s="32">
        <v>0.55000000000000004</v>
      </c>
      <c r="P167" s="7">
        <v>0.16420000000000001</v>
      </c>
      <c r="Q167" s="8">
        <v>0</v>
      </c>
      <c r="R167" s="8">
        <v>1</v>
      </c>
      <c r="S167" s="8">
        <f>SUM(Dataset_AFinal[[#This Row],[Casual_user]:[Registered_user]])</f>
        <v>1</v>
      </c>
    </row>
    <row r="168" spans="1:19" x14ac:dyDescent="0.3">
      <c r="A168" s="4">
        <v>167</v>
      </c>
      <c r="B168" s="7" t="s">
        <v>86</v>
      </c>
      <c r="C168" s="6" t="s">
        <v>78</v>
      </c>
      <c r="D168" s="6" t="s">
        <v>79</v>
      </c>
      <c r="E168" s="6" t="s">
        <v>31</v>
      </c>
      <c r="F168" s="35">
        <v>5</v>
      </c>
      <c r="G168" s="15" t="str">
        <f t="shared" si="2"/>
        <v>Night</v>
      </c>
      <c r="H168" s="6" t="b">
        <v>0</v>
      </c>
      <c r="I168" s="6" t="s">
        <v>52</v>
      </c>
      <c r="J168" s="6" t="str">
        <f>IF(OR(Dataset_AFinal[[#This Row],[Weekday]]="Sat",Dataset_AFinal[[#This Row],[Weekday]]="Sun"),"Weekend", "Weekday")</f>
        <v>Weekend</v>
      </c>
      <c r="K168" s="6" t="s">
        <v>33</v>
      </c>
      <c r="L168" s="6">
        <v>0.16</v>
      </c>
      <c r="M168" s="35" t="s">
        <v>40</v>
      </c>
      <c r="N168" s="7">
        <v>0.16669999999999999</v>
      </c>
      <c r="O168" s="32">
        <v>0.74</v>
      </c>
      <c r="P168" s="7">
        <v>0.16420000000000001</v>
      </c>
      <c r="Q168" s="8">
        <v>0</v>
      </c>
      <c r="R168" s="8">
        <v>5</v>
      </c>
      <c r="S168" s="8">
        <f>SUM(Dataset_AFinal[[#This Row],[Casual_user]:[Registered_user]])</f>
        <v>5</v>
      </c>
    </row>
    <row r="169" spans="1:19" x14ac:dyDescent="0.3">
      <c r="A169" s="4">
        <v>168</v>
      </c>
      <c r="B169" s="7" t="s">
        <v>86</v>
      </c>
      <c r="C169" s="6" t="s">
        <v>78</v>
      </c>
      <c r="D169" s="6" t="s">
        <v>79</v>
      </c>
      <c r="E169" s="6" t="s">
        <v>31</v>
      </c>
      <c r="F169" s="35">
        <v>6</v>
      </c>
      <c r="G169" s="15" t="str">
        <f t="shared" si="2"/>
        <v>Morning</v>
      </c>
      <c r="H169" s="6" t="b">
        <v>0</v>
      </c>
      <c r="I169" s="6" t="s">
        <v>52</v>
      </c>
      <c r="J169" s="6" t="str">
        <f>IF(OR(Dataset_AFinal[[#This Row],[Weekday]]="Sat",Dataset_AFinal[[#This Row],[Weekday]]="Sun"),"Weekend", "Weekday")</f>
        <v>Weekend</v>
      </c>
      <c r="K169" s="6" t="s">
        <v>33</v>
      </c>
      <c r="L169" s="6">
        <v>0.16</v>
      </c>
      <c r="M169" s="35" t="s">
        <v>40</v>
      </c>
      <c r="N169" s="7">
        <v>0.16669999999999999</v>
      </c>
      <c r="O169" s="32">
        <v>0.74</v>
      </c>
      <c r="P169" s="7">
        <v>0.16420000000000001</v>
      </c>
      <c r="Q169" s="8">
        <v>0</v>
      </c>
      <c r="R169" s="8">
        <v>2</v>
      </c>
      <c r="S169" s="8">
        <f>SUM(Dataset_AFinal[[#This Row],[Casual_user]:[Registered_user]])</f>
        <v>2</v>
      </c>
    </row>
    <row r="170" spans="1:19" x14ac:dyDescent="0.3">
      <c r="A170" s="4">
        <v>169</v>
      </c>
      <c r="B170" s="7" t="s">
        <v>86</v>
      </c>
      <c r="C170" s="6" t="s">
        <v>78</v>
      </c>
      <c r="D170" s="6" t="s">
        <v>79</v>
      </c>
      <c r="E170" s="6" t="s">
        <v>31</v>
      </c>
      <c r="F170" s="35">
        <v>7</v>
      </c>
      <c r="G170" s="15" t="str">
        <f t="shared" si="2"/>
        <v>Morning</v>
      </c>
      <c r="H170" s="6" t="b">
        <v>0</v>
      </c>
      <c r="I170" s="6" t="s">
        <v>52</v>
      </c>
      <c r="J170" s="6" t="str">
        <f>IF(OR(Dataset_AFinal[[#This Row],[Weekday]]="Sat",Dataset_AFinal[[#This Row],[Weekday]]="Sun"),"Weekend", "Weekday")</f>
        <v>Weekend</v>
      </c>
      <c r="K170" s="6" t="s">
        <v>33</v>
      </c>
      <c r="L170" s="6">
        <v>0.16</v>
      </c>
      <c r="M170" s="35" t="s">
        <v>40</v>
      </c>
      <c r="N170" s="7">
        <v>0.18179999999999999</v>
      </c>
      <c r="O170" s="32">
        <v>0.74</v>
      </c>
      <c r="P170" s="7">
        <v>0.1045</v>
      </c>
      <c r="Q170" s="8">
        <v>1</v>
      </c>
      <c r="R170" s="8">
        <v>8</v>
      </c>
      <c r="S170" s="8">
        <f>SUM(Dataset_AFinal[[#This Row],[Casual_user]:[Registered_user]])</f>
        <v>9</v>
      </c>
    </row>
    <row r="171" spans="1:19" x14ac:dyDescent="0.3">
      <c r="A171" s="4">
        <v>170</v>
      </c>
      <c r="B171" s="7" t="s">
        <v>86</v>
      </c>
      <c r="C171" s="6" t="s">
        <v>78</v>
      </c>
      <c r="D171" s="6" t="s">
        <v>79</v>
      </c>
      <c r="E171" s="6" t="s">
        <v>31</v>
      </c>
      <c r="F171" s="35">
        <v>8</v>
      </c>
      <c r="G171" s="15" t="str">
        <f t="shared" si="2"/>
        <v>Morning</v>
      </c>
      <c r="H171" s="6" t="b">
        <v>0</v>
      </c>
      <c r="I171" s="6" t="s">
        <v>52</v>
      </c>
      <c r="J171" s="6" t="str">
        <f>IF(OR(Dataset_AFinal[[#This Row],[Weekday]]="Sat",Dataset_AFinal[[#This Row],[Weekday]]="Sun"),"Weekend", "Weekday")</f>
        <v>Weekend</v>
      </c>
      <c r="K171" s="6" t="s">
        <v>34</v>
      </c>
      <c r="L171" s="6">
        <v>0.16</v>
      </c>
      <c r="M171" s="35" t="s">
        <v>40</v>
      </c>
      <c r="N171" s="7">
        <v>0.18179999999999999</v>
      </c>
      <c r="O171" s="32">
        <v>0.93</v>
      </c>
      <c r="P171" s="7">
        <v>0.1045</v>
      </c>
      <c r="Q171" s="8">
        <v>0</v>
      </c>
      <c r="R171" s="8">
        <v>15</v>
      </c>
      <c r="S171" s="8">
        <f>SUM(Dataset_AFinal[[#This Row],[Casual_user]:[Registered_user]])</f>
        <v>15</v>
      </c>
    </row>
    <row r="172" spans="1:19" x14ac:dyDescent="0.3">
      <c r="A172" s="4">
        <v>171</v>
      </c>
      <c r="B172" s="7" t="s">
        <v>86</v>
      </c>
      <c r="C172" s="6" t="s">
        <v>78</v>
      </c>
      <c r="D172" s="6" t="s">
        <v>79</v>
      </c>
      <c r="E172" s="6" t="s">
        <v>31</v>
      </c>
      <c r="F172" s="35">
        <v>9</v>
      </c>
      <c r="G172" s="15" t="str">
        <f t="shared" si="2"/>
        <v>Morning</v>
      </c>
      <c r="H172" s="6" t="b">
        <v>0</v>
      </c>
      <c r="I172" s="6" t="s">
        <v>52</v>
      </c>
      <c r="J172" s="6" t="str">
        <f>IF(OR(Dataset_AFinal[[#This Row],[Weekday]]="Sat",Dataset_AFinal[[#This Row],[Weekday]]="Sun"),"Weekend", "Weekday")</f>
        <v>Weekend</v>
      </c>
      <c r="K172" s="6" t="s">
        <v>34</v>
      </c>
      <c r="L172" s="6">
        <v>0.16</v>
      </c>
      <c r="M172" s="35" t="s">
        <v>40</v>
      </c>
      <c r="N172" s="7">
        <v>0.18179999999999999</v>
      </c>
      <c r="O172" s="32">
        <v>0.93</v>
      </c>
      <c r="P172" s="7">
        <v>0.1045</v>
      </c>
      <c r="Q172" s="8">
        <v>0</v>
      </c>
      <c r="R172" s="8">
        <v>20</v>
      </c>
      <c r="S172" s="8">
        <f>SUM(Dataset_AFinal[[#This Row],[Casual_user]:[Registered_user]])</f>
        <v>20</v>
      </c>
    </row>
    <row r="173" spans="1:19" x14ac:dyDescent="0.3">
      <c r="A173" s="4">
        <v>172</v>
      </c>
      <c r="B173" s="7" t="s">
        <v>86</v>
      </c>
      <c r="C173" s="6" t="s">
        <v>78</v>
      </c>
      <c r="D173" s="6" t="s">
        <v>79</v>
      </c>
      <c r="E173" s="6" t="s">
        <v>31</v>
      </c>
      <c r="F173" s="35">
        <v>10</v>
      </c>
      <c r="G173" s="15" t="str">
        <f t="shared" si="2"/>
        <v>Morning</v>
      </c>
      <c r="H173" s="6" t="b">
        <v>0</v>
      </c>
      <c r="I173" s="6" t="s">
        <v>52</v>
      </c>
      <c r="J173" s="6" t="str">
        <f>IF(OR(Dataset_AFinal[[#This Row],[Weekday]]="Sat",Dataset_AFinal[[#This Row],[Weekday]]="Sun"),"Weekend", "Weekday")</f>
        <v>Weekend</v>
      </c>
      <c r="K173" s="6" t="s">
        <v>33</v>
      </c>
      <c r="L173" s="6">
        <v>0.18</v>
      </c>
      <c r="M173" s="35" t="s">
        <v>40</v>
      </c>
      <c r="N173" s="7">
        <v>0.19700000000000001</v>
      </c>
      <c r="O173" s="32">
        <v>0.8</v>
      </c>
      <c r="P173" s="7">
        <v>0.16420000000000001</v>
      </c>
      <c r="Q173" s="8">
        <v>5</v>
      </c>
      <c r="R173" s="8">
        <v>56</v>
      </c>
      <c r="S173" s="8">
        <f>SUM(Dataset_AFinal[[#This Row],[Casual_user]:[Registered_user]])</f>
        <v>61</v>
      </c>
    </row>
    <row r="174" spans="1:19" x14ac:dyDescent="0.3">
      <c r="A174" s="4">
        <v>173</v>
      </c>
      <c r="B174" s="7" t="s">
        <v>86</v>
      </c>
      <c r="C174" s="6" t="s">
        <v>78</v>
      </c>
      <c r="D174" s="6" t="s">
        <v>79</v>
      </c>
      <c r="E174" s="6" t="s">
        <v>31</v>
      </c>
      <c r="F174" s="35">
        <v>11</v>
      </c>
      <c r="G174" s="15" t="str">
        <f t="shared" si="2"/>
        <v>Morning</v>
      </c>
      <c r="H174" s="6" t="b">
        <v>0</v>
      </c>
      <c r="I174" s="6" t="s">
        <v>52</v>
      </c>
      <c r="J174" s="6" t="str">
        <f>IF(OR(Dataset_AFinal[[#This Row],[Weekday]]="Sat",Dataset_AFinal[[#This Row],[Weekday]]="Sun"),"Weekend", "Weekday")</f>
        <v>Weekend</v>
      </c>
      <c r="K174" s="6" t="s">
        <v>33</v>
      </c>
      <c r="L174" s="6">
        <v>0.2</v>
      </c>
      <c r="M174" s="35" t="s">
        <v>40</v>
      </c>
      <c r="N174" s="7">
        <v>0.18179999999999999</v>
      </c>
      <c r="O174" s="32">
        <v>0.69</v>
      </c>
      <c r="P174" s="7">
        <v>0.3881</v>
      </c>
      <c r="Q174" s="8">
        <v>2</v>
      </c>
      <c r="R174" s="8">
        <v>60</v>
      </c>
      <c r="S174" s="8">
        <f>SUM(Dataset_AFinal[[#This Row],[Casual_user]:[Registered_user]])</f>
        <v>62</v>
      </c>
    </row>
    <row r="175" spans="1:19" x14ac:dyDescent="0.3">
      <c r="A175" s="4">
        <v>174</v>
      </c>
      <c r="B175" s="7" t="s">
        <v>86</v>
      </c>
      <c r="C175" s="6" t="s">
        <v>78</v>
      </c>
      <c r="D175" s="6" t="s">
        <v>79</v>
      </c>
      <c r="E175" s="6" t="s">
        <v>31</v>
      </c>
      <c r="F175" s="35">
        <v>12</v>
      </c>
      <c r="G175" s="15" t="str">
        <f t="shared" si="2"/>
        <v>Afternoon</v>
      </c>
      <c r="H175" s="6" t="b">
        <v>0</v>
      </c>
      <c r="I175" s="6" t="s">
        <v>52</v>
      </c>
      <c r="J175" s="6" t="str">
        <f>IF(OR(Dataset_AFinal[[#This Row],[Weekday]]="Sat",Dataset_AFinal[[#This Row],[Weekday]]="Sun"),"Weekend", "Weekday")</f>
        <v>Weekend</v>
      </c>
      <c r="K175" s="6" t="s">
        <v>33</v>
      </c>
      <c r="L175" s="6">
        <v>0.2</v>
      </c>
      <c r="M175" s="35" t="s">
        <v>40</v>
      </c>
      <c r="N175" s="7">
        <v>0.18179999999999999</v>
      </c>
      <c r="O175" s="32">
        <v>0.59</v>
      </c>
      <c r="P175" s="7">
        <v>0.35820000000000002</v>
      </c>
      <c r="Q175" s="8">
        <v>8</v>
      </c>
      <c r="R175" s="8">
        <v>90</v>
      </c>
      <c r="S175" s="8">
        <f>SUM(Dataset_AFinal[[#This Row],[Casual_user]:[Registered_user]])</f>
        <v>98</v>
      </c>
    </row>
    <row r="176" spans="1:19" x14ac:dyDescent="0.3">
      <c r="A176" s="4">
        <v>175</v>
      </c>
      <c r="B176" s="7" t="s">
        <v>86</v>
      </c>
      <c r="C176" s="6" t="s">
        <v>78</v>
      </c>
      <c r="D176" s="6" t="s">
        <v>79</v>
      </c>
      <c r="E176" s="6" t="s">
        <v>31</v>
      </c>
      <c r="F176" s="35">
        <v>13</v>
      </c>
      <c r="G176" s="15" t="str">
        <f t="shared" si="2"/>
        <v>Afternoon</v>
      </c>
      <c r="H176" s="6" t="b">
        <v>0</v>
      </c>
      <c r="I176" s="6" t="s">
        <v>52</v>
      </c>
      <c r="J176" s="6" t="str">
        <f>IF(OR(Dataset_AFinal[[#This Row],[Weekday]]="Sat",Dataset_AFinal[[#This Row],[Weekday]]="Sun"),"Weekend", "Weekday")</f>
        <v>Weekend</v>
      </c>
      <c r="K176" s="6" t="s">
        <v>32</v>
      </c>
      <c r="L176" s="6">
        <v>0.2</v>
      </c>
      <c r="M176" s="35" t="s">
        <v>40</v>
      </c>
      <c r="N176" s="7">
        <v>0.18179999999999999</v>
      </c>
      <c r="O176" s="32">
        <v>0.44</v>
      </c>
      <c r="P176" s="7">
        <v>0.32840000000000003</v>
      </c>
      <c r="Q176" s="8">
        <v>7</v>
      </c>
      <c r="R176" s="8">
        <v>95</v>
      </c>
      <c r="S176" s="8">
        <f>SUM(Dataset_AFinal[[#This Row],[Casual_user]:[Registered_user]])</f>
        <v>102</v>
      </c>
    </row>
    <row r="177" spans="1:19" x14ac:dyDescent="0.3">
      <c r="A177" s="4">
        <v>176</v>
      </c>
      <c r="B177" s="7" t="s">
        <v>86</v>
      </c>
      <c r="C177" s="6" t="s">
        <v>78</v>
      </c>
      <c r="D177" s="6" t="s">
        <v>79</v>
      </c>
      <c r="E177" s="6" t="s">
        <v>31</v>
      </c>
      <c r="F177" s="35">
        <v>14</v>
      </c>
      <c r="G177" s="15" t="str">
        <f t="shared" si="2"/>
        <v>Afternoon</v>
      </c>
      <c r="H177" s="6" t="b">
        <v>0</v>
      </c>
      <c r="I177" s="6" t="s">
        <v>52</v>
      </c>
      <c r="J177" s="6" t="str">
        <f>IF(OR(Dataset_AFinal[[#This Row],[Weekday]]="Sat",Dataset_AFinal[[#This Row],[Weekday]]="Sun"),"Weekend", "Weekday")</f>
        <v>Weekend</v>
      </c>
      <c r="K177" s="6" t="s">
        <v>32</v>
      </c>
      <c r="L177" s="6">
        <v>0.2</v>
      </c>
      <c r="M177" s="35" t="s">
        <v>40</v>
      </c>
      <c r="N177" s="7">
        <v>0.16669999999999999</v>
      </c>
      <c r="O177" s="32">
        <v>0.32</v>
      </c>
      <c r="P177" s="7">
        <v>0.49249999999999999</v>
      </c>
      <c r="Q177" s="8">
        <v>12</v>
      </c>
      <c r="R177" s="8">
        <v>83</v>
      </c>
      <c r="S177" s="8">
        <f>SUM(Dataset_AFinal[[#This Row],[Casual_user]:[Registered_user]])</f>
        <v>95</v>
      </c>
    </row>
    <row r="178" spans="1:19" x14ac:dyDescent="0.3">
      <c r="A178" s="4">
        <v>177</v>
      </c>
      <c r="B178" s="7" t="s">
        <v>86</v>
      </c>
      <c r="C178" s="6" t="s">
        <v>78</v>
      </c>
      <c r="D178" s="6" t="s">
        <v>79</v>
      </c>
      <c r="E178" s="6" t="s">
        <v>31</v>
      </c>
      <c r="F178" s="35">
        <v>15</v>
      </c>
      <c r="G178" s="15" t="str">
        <f t="shared" si="2"/>
        <v>Afternoon</v>
      </c>
      <c r="H178" s="6" t="b">
        <v>0</v>
      </c>
      <c r="I178" s="6" t="s">
        <v>52</v>
      </c>
      <c r="J178" s="6" t="str">
        <f>IF(OR(Dataset_AFinal[[#This Row],[Weekday]]="Sat",Dataset_AFinal[[#This Row],[Weekday]]="Sun"),"Weekend", "Weekday")</f>
        <v>Weekend</v>
      </c>
      <c r="K178" s="6" t="s">
        <v>32</v>
      </c>
      <c r="L178" s="6">
        <v>0.2</v>
      </c>
      <c r="M178" s="35" t="s">
        <v>40</v>
      </c>
      <c r="N178" s="7">
        <v>0.16669999999999999</v>
      </c>
      <c r="O178" s="32">
        <v>0.32</v>
      </c>
      <c r="P178" s="7">
        <v>0.44779999999999998</v>
      </c>
      <c r="Q178" s="8">
        <v>5</v>
      </c>
      <c r="R178" s="8">
        <v>69</v>
      </c>
      <c r="S178" s="8">
        <f>SUM(Dataset_AFinal[[#This Row],[Casual_user]:[Registered_user]])</f>
        <v>74</v>
      </c>
    </row>
    <row r="179" spans="1:19" x14ac:dyDescent="0.3">
      <c r="A179" s="4">
        <v>178</v>
      </c>
      <c r="B179" s="7" t="s">
        <v>86</v>
      </c>
      <c r="C179" s="6" t="s">
        <v>78</v>
      </c>
      <c r="D179" s="6" t="s">
        <v>79</v>
      </c>
      <c r="E179" s="6" t="s">
        <v>31</v>
      </c>
      <c r="F179" s="35">
        <v>16</v>
      </c>
      <c r="G179" s="15" t="str">
        <f t="shared" si="2"/>
        <v>Afternoon</v>
      </c>
      <c r="H179" s="6" t="b">
        <v>0</v>
      </c>
      <c r="I179" s="6" t="s">
        <v>52</v>
      </c>
      <c r="J179" s="6" t="str">
        <f>IF(OR(Dataset_AFinal[[#This Row],[Weekday]]="Sat",Dataset_AFinal[[#This Row],[Weekday]]="Sun"),"Weekend", "Weekday")</f>
        <v>Weekend</v>
      </c>
      <c r="K179" s="6" t="s">
        <v>32</v>
      </c>
      <c r="L179" s="6">
        <v>0.18</v>
      </c>
      <c r="M179" s="35" t="s">
        <v>40</v>
      </c>
      <c r="N179" s="7">
        <v>0.13639999999999999</v>
      </c>
      <c r="O179" s="32">
        <v>0.28999999999999998</v>
      </c>
      <c r="P179" s="7">
        <v>0.44779999999999998</v>
      </c>
      <c r="Q179" s="8">
        <v>8</v>
      </c>
      <c r="R179" s="8">
        <v>68</v>
      </c>
      <c r="S179" s="8">
        <f>SUM(Dataset_AFinal[[#This Row],[Casual_user]:[Registered_user]])</f>
        <v>76</v>
      </c>
    </row>
    <row r="180" spans="1:19" x14ac:dyDescent="0.3">
      <c r="A180" s="4">
        <v>179</v>
      </c>
      <c r="B180" s="7" t="s">
        <v>86</v>
      </c>
      <c r="C180" s="6" t="s">
        <v>78</v>
      </c>
      <c r="D180" s="6" t="s">
        <v>79</v>
      </c>
      <c r="E180" s="6" t="s">
        <v>31</v>
      </c>
      <c r="F180" s="35">
        <v>17</v>
      </c>
      <c r="G180" s="15" t="str">
        <f t="shared" si="2"/>
        <v>Afternoon</v>
      </c>
      <c r="H180" s="6" t="b">
        <v>0</v>
      </c>
      <c r="I180" s="6" t="s">
        <v>52</v>
      </c>
      <c r="J180" s="6" t="str">
        <f>IF(OR(Dataset_AFinal[[#This Row],[Weekday]]="Sat",Dataset_AFinal[[#This Row],[Weekday]]="Sun"),"Weekend", "Weekday")</f>
        <v>Weekend</v>
      </c>
      <c r="K180" s="6" t="s">
        <v>32</v>
      </c>
      <c r="L180" s="6">
        <v>0.16</v>
      </c>
      <c r="M180" s="35" t="s">
        <v>40</v>
      </c>
      <c r="N180" s="7">
        <v>0.1212</v>
      </c>
      <c r="O180" s="32">
        <v>0.37</v>
      </c>
      <c r="P180" s="7">
        <v>0.55220000000000002</v>
      </c>
      <c r="Q180" s="8">
        <v>5</v>
      </c>
      <c r="R180" s="8">
        <v>64</v>
      </c>
      <c r="S180" s="8">
        <f>SUM(Dataset_AFinal[[#This Row],[Casual_user]:[Registered_user]])</f>
        <v>69</v>
      </c>
    </row>
    <row r="181" spans="1:19" x14ac:dyDescent="0.3">
      <c r="A181" s="4">
        <v>180</v>
      </c>
      <c r="B181" s="7" t="s">
        <v>86</v>
      </c>
      <c r="C181" s="6" t="s">
        <v>78</v>
      </c>
      <c r="D181" s="6" t="s">
        <v>79</v>
      </c>
      <c r="E181" s="6" t="s">
        <v>31</v>
      </c>
      <c r="F181" s="35">
        <v>18</v>
      </c>
      <c r="G181" s="15" t="str">
        <f t="shared" si="2"/>
        <v>Evening</v>
      </c>
      <c r="H181" s="6" t="b">
        <v>0</v>
      </c>
      <c r="I181" s="6" t="s">
        <v>52</v>
      </c>
      <c r="J181" s="6" t="str">
        <f>IF(OR(Dataset_AFinal[[#This Row],[Weekday]]="Sat",Dataset_AFinal[[#This Row],[Weekday]]="Sun"),"Weekend", "Weekday")</f>
        <v>Weekend</v>
      </c>
      <c r="K181" s="6" t="s">
        <v>32</v>
      </c>
      <c r="L181" s="6">
        <v>0.14000000000000001</v>
      </c>
      <c r="M181" s="35" t="s">
        <v>44</v>
      </c>
      <c r="N181" s="7">
        <v>0.1212</v>
      </c>
      <c r="O181" s="32">
        <v>0.39</v>
      </c>
      <c r="P181" s="7">
        <v>0.29849999999999999</v>
      </c>
      <c r="Q181" s="8">
        <v>3</v>
      </c>
      <c r="R181" s="8">
        <v>52</v>
      </c>
      <c r="S181" s="8">
        <f>SUM(Dataset_AFinal[[#This Row],[Casual_user]:[Registered_user]])</f>
        <v>55</v>
      </c>
    </row>
    <row r="182" spans="1:19" x14ac:dyDescent="0.3">
      <c r="A182" s="4">
        <v>181</v>
      </c>
      <c r="B182" s="7" t="s">
        <v>86</v>
      </c>
      <c r="C182" s="6" t="s">
        <v>78</v>
      </c>
      <c r="D182" s="6" t="s">
        <v>79</v>
      </c>
      <c r="E182" s="6" t="s">
        <v>31</v>
      </c>
      <c r="F182" s="35">
        <v>19</v>
      </c>
      <c r="G182" s="15" t="str">
        <f t="shared" si="2"/>
        <v>Evening</v>
      </c>
      <c r="H182" s="6" t="b">
        <v>0</v>
      </c>
      <c r="I182" s="6" t="s">
        <v>52</v>
      </c>
      <c r="J182" s="6" t="str">
        <f>IF(OR(Dataset_AFinal[[#This Row],[Weekday]]="Sat",Dataset_AFinal[[#This Row],[Weekday]]="Sun"),"Weekend", "Weekday")</f>
        <v>Weekend</v>
      </c>
      <c r="K182" s="6" t="s">
        <v>32</v>
      </c>
      <c r="L182" s="6">
        <v>0.14000000000000001</v>
      </c>
      <c r="M182" s="35" t="s">
        <v>44</v>
      </c>
      <c r="N182" s="7">
        <v>0.1212</v>
      </c>
      <c r="O182" s="32">
        <v>0.36</v>
      </c>
      <c r="P182" s="7">
        <v>0.25369999999999998</v>
      </c>
      <c r="Q182" s="8">
        <v>4</v>
      </c>
      <c r="R182" s="8">
        <v>26</v>
      </c>
      <c r="S182" s="8">
        <f>SUM(Dataset_AFinal[[#This Row],[Casual_user]:[Registered_user]])</f>
        <v>30</v>
      </c>
    </row>
    <row r="183" spans="1:19" x14ac:dyDescent="0.3">
      <c r="A183" s="4">
        <v>182</v>
      </c>
      <c r="B183" s="7" t="s">
        <v>86</v>
      </c>
      <c r="C183" s="6" t="s">
        <v>78</v>
      </c>
      <c r="D183" s="6" t="s">
        <v>79</v>
      </c>
      <c r="E183" s="6" t="s">
        <v>31</v>
      </c>
      <c r="F183" s="35">
        <v>20</v>
      </c>
      <c r="G183" s="15" t="str">
        <f t="shared" si="2"/>
        <v>Evening</v>
      </c>
      <c r="H183" s="6" t="b">
        <v>0</v>
      </c>
      <c r="I183" s="6" t="s">
        <v>52</v>
      </c>
      <c r="J183" s="6" t="str">
        <f>IF(OR(Dataset_AFinal[[#This Row],[Weekday]]="Sat",Dataset_AFinal[[#This Row],[Weekday]]="Sun"),"Weekend", "Weekday")</f>
        <v>Weekend</v>
      </c>
      <c r="K183" s="6" t="s">
        <v>32</v>
      </c>
      <c r="L183" s="6">
        <v>0.12</v>
      </c>
      <c r="M183" s="35" t="s">
        <v>44</v>
      </c>
      <c r="N183" s="7">
        <v>0.1212</v>
      </c>
      <c r="O183" s="32">
        <v>0.36</v>
      </c>
      <c r="P183" s="7">
        <v>0.25369999999999998</v>
      </c>
      <c r="Q183" s="8">
        <v>0</v>
      </c>
      <c r="R183" s="8">
        <v>28</v>
      </c>
      <c r="S183" s="8">
        <f>SUM(Dataset_AFinal[[#This Row],[Casual_user]:[Registered_user]])</f>
        <v>28</v>
      </c>
    </row>
    <row r="184" spans="1:19" x14ac:dyDescent="0.3">
      <c r="A184" s="4">
        <v>183</v>
      </c>
      <c r="B184" s="7" t="s">
        <v>86</v>
      </c>
      <c r="C184" s="6" t="s">
        <v>78</v>
      </c>
      <c r="D184" s="6" t="s">
        <v>79</v>
      </c>
      <c r="E184" s="6" t="s">
        <v>31</v>
      </c>
      <c r="F184" s="35">
        <v>21</v>
      </c>
      <c r="G184" s="15" t="str">
        <f t="shared" si="2"/>
        <v>Evening</v>
      </c>
      <c r="H184" s="6" t="b">
        <v>0</v>
      </c>
      <c r="I184" s="6" t="s">
        <v>52</v>
      </c>
      <c r="J184" s="6" t="str">
        <f>IF(OR(Dataset_AFinal[[#This Row],[Weekday]]="Sat",Dataset_AFinal[[#This Row],[Weekday]]="Sun"),"Weekend", "Weekday")</f>
        <v>Weekend</v>
      </c>
      <c r="K184" s="6" t="s">
        <v>32</v>
      </c>
      <c r="L184" s="6">
        <v>0.12</v>
      </c>
      <c r="M184" s="35" t="s">
        <v>44</v>
      </c>
      <c r="N184" s="7">
        <v>0.1061</v>
      </c>
      <c r="O184" s="32">
        <v>0.39</v>
      </c>
      <c r="P184" s="7">
        <v>0.35820000000000002</v>
      </c>
      <c r="Q184" s="8">
        <v>2</v>
      </c>
      <c r="R184" s="8">
        <v>35</v>
      </c>
      <c r="S184" s="8">
        <f>SUM(Dataset_AFinal[[#This Row],[Casual_user]:[Registered_user]])</f>
        <v>37</v>
      </c>
    </row>
    <row r="185" spans="1:19" x14ac:dyDescent="0.3">
      <c r="A185" s="4">
        <v>184</v>
      </c>
      <c r="B185" s="7" t="s">
        <v>86</v>
      </c>
      <c r="C185" s="6" t="s">
        <v>78</v>
      </c>
      <c r="D185" s="6" t="s">
        <v>79</v>
      </c>
      <c r="E185" s="6" t="s">
        <v>31</v>
      </c>
      <c r="F185" s="35">
        <v>22</v>
      </c>
      <c r="G185" s="15" t="str">
        <f t="shared" si="2"/>
        <v>Evening</v>
      </c>
      <c r="H185" s="6" t="b">
        <v>0</v>
      </c>
      <c r="I185" s="6" t="s">
        <v>52</v>
      </c>
      <c r="J185" s="6" t="str">
        <f>IF(OR(Dataset_AFinal[[#This Row],[Weekday]]="Sat",Dataset_AFinal[[#This Row],[Weekday]]="Sun"),"Weekend", "Weekday")</f>
        <v>Weekend</v>
      </c>
      <c r="K185" s="6" t="s">
        <v>32</v>
      </c>
      <c r="L185" s="6">
        <v>0.12</v>
      </c>
      <c r="M185" s="35" t="s">
        <v>44</v>
      </c>
      <c r="N185" s="7">
        <v>0.1061</v>
      </c>
      <c r="O185" s="32">
        <v>0.36</v>
      </c>
      <c r="P185" s="7">
        <v>0.3881</v>
      </c>
      <c r="Q185" s="8">
        <v>1</v>
      </c>
      <c r="R185" s="8">
        <v>33</v>
      </c>
      <c r="S185" s="8">
        <f>SUM(Dataset_AFinal[[#This Row],[Casual_user]:[Registered_user]])</f>
        <v>34</v>
      </c>
    </row>
    <row r="186" spans="1:19" x14ac:dyDescent="0.3">
      <c r="A186" s="4">
        <v>185</v>
      </c>
      <c r="B186" s="7" t="s">
        <v>86</v>
      </c>
      <c r="C186" s="6" t="s">
        <v>78</v>
      </c>
      <c r="D186" s="6" t="s">
        <v>79</v>
      </c>
      <c r="E186" s="6" t="s">
        <v>31</v>
      </c>
      <c r="F186" s="35">
        <v>23</v>
      </c>
      <c r="G186" s="15" t="str">
        <f t="shared" si="2"/>
        <v>Evening</v>
      </c>
      <c r="H186" s="6" t="b">
        <v>0</v>
      </c>
      <c r="I186" s="6" t="s">
        <v>52</v>
      </c>
      <c r="J186" s="6" t="str">
        <f>IF(OR(Dataset_AFinal[[#This Row],[Weekday]]="Sat",Dataset_AFinal[[#This Row],[Weekday]]="Sun"),"Weekend", "Weekday")</f>
        <v>Weekend</v>
      </c>
      <c r="K186" s="6" t="s">
        <v>32</v>
      </c>
      <c r="L186" s="6">
        <v>0.1</v>
      </c>
      <c r="M186" s="35" t="s">
        <v>44</v>
      </c>
      <c r="N186" s="7">
        <v>6.0600000000000001E-2</v>
      </c>
      <c r="O186" s="32">
        <v>0.39</v>
      </c>
      <c r="P186" s="7">
        <v>0.44779999999999998</v>
      </c>
      <c r="Q186" s="8">
        <v>0</v>
      </c>
      <c r="R186" s="8">
        <v>22</v>
      </c>
      <c r="S186" s="8">
        <f>SUM(Dataset_AFinal[[#This Row],[Casual_user]:[Registered_user]])</f>
        <v>22</v>
      </c>
    </row>
    <row r="187" spans="1:19" x14ac:dyDescent="0.3">
      <c r="A187" s="4">
        <v>186</v>
      </c>
      <c r="B187" s="7" t="s">
        <v>87</v>
      </c>
      <c r="C187" s="6" t="s">
        <v>78</v>
      </c>
      <c r="D187" s="6" t="s">
        <v>79</v>
      </c>
      <c r="E187" s="6" t="s">
        <v>31</v>
      </c>
      <c r="F187" s="35">
        <v>0</v>
      </c>
      <c r="G187" s="15" t="str">
        <f t="shared" si="2"/>
        <v>Night</v>
      </c>
      <c r="H187" s="6" t="b">
        <v>0</v>
      </c>
      <c r="I187" s="6" t="s">
        <v>53</v>
      </c>
      <c r="J187" s="6" t="str">
        <f>IF(OR(Dataset_AFinal[[#This Row],[Weekday]]="Sat",Dataset_AFinal[[#This Row],[Weekday]]="Sun"),"Weekend", "Weekday")</f>
        <v>Weekend</v>
      </c>
      <c r="K187" s="6" t="s">
        <v>32</v>
      </c>
      <c r="L187" s="6">
        <v>0.1</v>
      </c>
      <c r="M187" s="35" t="s">
        <v>44</v>
      </c>
      <c r="N187" s="7">
        <v>7.5800000000000006E-2</v>
      </c>
      <c r="O187" s="32">
        <v>0.42</v>
      </c>
      <c r="P187" s="7">
        <v>0.3881</v>
      </c>
      <c r="Q187" s="8">
        <v>1</v>
      </c>
      <c r="R187" s="8">
        <v>24</v>
      </c>
      <c r="S187" s="8">
        <f>SUM(Dataset_AFinal[[#This Row],[Casual_user]:[Registered_user]])</f>
        <v>25</v>
      </c>
    </row>
    <row r="188" spans="1:19" x14ac:dyDescent="0.3">
      <c r="A188" s="4">
        <v>187</v>
      </c>
      <c r="B188" s="7" t="s">
        <v>87</v>
      </c>
      <c r="C188" s="6" t="s">
        <v>78</v>
      </c>
      <c r="D188" s="6" t="s">
        <v>79</v>
      </c>
      <c r="E188" s="6" t="s">
        <v>31</v>
      </c>
      <c r="F188" s="35">
        <v>1</v>
      </c>
      <c r="G188" s="15" t="str">
        <f t="shared" si="2"/>
        <v>Night</v>
      </c>
      <c r="H188" s="6" t="b">
        <v>0</v>
      </c>
      <c r="I188" s="6" t="s">
        <v>53</v>
      </c>
      <c r="J188" s="6" t="str">
        <f>IF(OR(Dataset_AFinal[[#This Row],[Weekday]]="Sat",Dataset_AFinal[[#This Row],[Weekday]]="Sun"),"Weekend", "Weekday")</f>
        <v>Weekend</v>
      </c>
      <c r="K188" s="6" t="s">
        <v>32</v>
      </c>
      <c r="L188" s="6">
        <v>0.1</v>
      </c>
      <c r="M188" s="35" t="s">
        <v>44</v>
      </c>
      <c r="N188" s="7">
        <v>6.0600000000000001E-2</v>
      </c>
      <c r="O188" s="32">
        <v>0.42</v>
      </c>
      <c r="P188" s="7">
        <v>0.4627</v>
      </c>
      <c r="Q188" s="8">
        <v>0</v>
      </c>
      <c r="R188" s="8">
        <v>12</v>
      </c>
      <c r="S188" s="8">
        <f>SUM(Dataset_AFinal[[#This Row],[Casual_user]:[Registered_user]])</f>
        <v>12</v>
      </c>
    </row>
    <row r="189" spans="1:19" x14ac:dyDescent="0.3">
      <c r="A189" s="4">
        <v>188</v>
      </c>
      <c r="B189" s="7" t="s">
        <v>87</v>
      </c>
      <c r="C189" s="6" t="s">
        <v>78</v>
      </c>
      <c r="D189" s="6" t="s">
        <v>79</v>
      </c>
      <c r="E189" s="6" t="s">
        <v>31</v>
      </c>
      <c r="F189" s="35">
        <v>2</v>
      </c>
      <c r="G189" s="15" t="str">
        <f t="shared" si="2"/>
        <v>Night</v>
      </c>
      <c r="H189" s="6" t="b">
        <v>0</v>
      </c>
      <c r="I189" s="6" t="s">
        <v>53</v>
      </c>
      <c r="J189" s="6" t="str">
        <f>IF(OR(Dataset_AFinal[[#This Row],[Weekday]]="Sat",Dataset_AFinal[[#This Row],[Weekday]]="Sun"),"Weekend", "Weekday")</f>
        <v>Weekend</v>
      </c>
      <c r="K189" s="6" t="s">
        <v>32</v>
      </c>
      <c r="L189" s="6">
        <v>0.1</v>
      </c>
      <c r="M189" s="35" t="s">
        <v>44</v>
      </c>
      <c r="N189" s="7">
        <v>6.0600000000000001E-2</v>
      </c>
      <c r="O189" s="32">
        <v>0.46</v>
      </c>
      <c r="P189" s="7">
        <v>0.4627</v>
      </c>
      <c r="Q189" s="8">
        <v>0</v>
      </c>
      <c r="R189" s="8">
        <v>11</v>
      </c>
      <c r="S189" s="8">
        <f>SUM(Dataset_AFinal[[#This Row],[Casual_user]:[Registered_user]])</f>
        <v>11</v>
      </c>
    </row>
    <row r="190" spans="1:19" x14ac:dyDescent="0.3">
      <c r="A190" s="4">
        <v>189</v>
      </c>
      <c r="B190" s="7" t="s">
        <v>87</v>
      </c>
      <c r="C190" s="6" t="s">
        <v>78</v>
      </c>
      <c r="D190" s="6" t="s">
        <v>79</v>
      </c>
      <c r="E190" s="6" t="s">
        <v>31</v>
      </c>
      <c r="F190" s="35">
        <v>3</v>
      </c>
      <c r="G190" s="15" t="str">
        <f t="shared" si="2"/>
        <v>Night</v>
      </c>
      <c r="H190" s="6" t="b">
        <v>0</v>
      </c>
      <c r="I190" s="6" t="s">
        <v>53</v>
      </c>
      <c r="J190" s="6" t="str">
        <f>IF(OR(Dataset_AFinal[[#This Row],[Weekday]]="Sat",Dataset_AFinal[[#This Row],[Weekday]]="Sun"),"Weekend", "Weekday")</f>
        <v>Weekend</v>
      </c>
      <c r="K190" s="6" t="s">
        <v>32</v>
      </c>
      <c r="L190" s="6">
        <v>0.1</v>
      </c>
      <c r="M190" s="35" t="s">
        <v>44</v>
      </c>
      <c r="N190" s="7">
        <v>7.5800000000000006E-2</v>
      </c>
      <c r="O190" s="32">
        <v>0.46</v>
      </c>
      <c r="P190" s="7">
        <v>0.41789999999999999</v>
      </c>
      <c r="Q190" s="8">
        <v>0</v>
      </c>
      <c r="R190" s="8">
        <v>4</v>
      </c>
      <c r="S190" s="8">
        <f>SUM(Dataset_AFinal[[#This Row],[Casual_user]:[Registered_user]])</f>
        <v>4</v>
      </c>
    </row>
    <row r="191" spans="1:19" x14ac:dyDescent="0.3">
      <c r="A191" s="4">
        <v>190</v>
      </c>
      <c r="B191" s="7" t="s">
        <v>87</v>
      </c>
      <c r="C191" s="6" t="s">
        <v>78</v>
      </c>
      <c r="D191" s="6" t="s">
        <v>79</v>
      </c>
      <c r="E191" s="6" t="s">
        <v>31</v>
      </c>
      <c r="F191" s="35">
        <v>4</v>
      </c>
      <c r="G191" s="15" t="str">
        <f t="shared" si="2"/>
        <v>Night</v>
      </c>
      <c r="H191" s="6" t="b">
        <v>0</v>
      </c>
      <c r="I191" s="6" t="s">
        <v>53</v>
      </c>
      <c r="J191" s="6" t="str">
        <f>IF(OR(Dataset_AFinal[[#This Row],[Weekday]]="Sat",Dataset_AFinal[[#This Row],[Weekday]]="Sun"),"Weekend", "Weekday")</f>
        <v>Weekend</v>
      </c>
      <c r="K191" s="6" t="s">
        <v>32</v>
      </c>
      <c r="L191" s="6">
        <v>0.08</v>
      </c>
      <c r="M191" s="35" t="s">
        <v>44</v>
      </c>
      <c r="N191" s="7">
        <v>9.0899999999999995E-2</v>
      </c>
      <c r="O191" s="32">
        <v>0.53</v>
      </c>
      <c r="P191" s="7">
        <v>0.19400000000000001</v>
      </c>
      <c r="Q191" s="8">
        <v>0</v>
      </c>
      <c r="R191" s="8">
        <v>1</v>
      </c>
      <c r="S191" s="8">
        <f>SUM(Dataset_AFinal[[#This Row],[Casual_user]:[Registered_user]])</f>
        <v>1</v>
      </c>
    </row>
    <row r="192" spans="1:19" x14ac:dyDescent="0.3">
      <c r="A192" s="4">
        <v>191</v>
      </c>
      <c r="B192" s="7" t="s">
        <v>87</v>
      </c>
      <c r="C192" s="6" t="s">
        <v>78</v>
      </c>
      <c r="D192" s="6" t="s">
        <v>79</v>
      </c>
      <c r="E192" s="6" t="s">
        <v>31</v>
      </c>
      <c r="F192" s="35">
        <v>5</v>
      </c>
      <c r="G192" s="15" t="str">
        <f t="shared" si="2"/>
        <v>Night</v>
      </c>
      <c r="H192" s="6" t="b">
        <v>0</v>
      </c>
      <c r="I192" s="6" t="s">
        <v>53</v>
      </c>
      <c r="J192" s="6" t="str">
        <f>IF(OR(Dataset_AFinal[[#This Row],[Weekday]]="Sat",Dataset_AFinal[[#This Row],[Weekday]]="Sun"),"Weekend", "Weekday")</f>
        <v>Weekend</v>
      </c>
      <c r="K192" s="6" t="s">
        <v>32</v>
      </c>
      <c r="L192" s="6">
        <v>0.08</v>
      </c>
      <c r="M192" s="35" t="s">
        <v>44</v>
      </c>
      <c r="N192" s="7">
        <v>9.0899999999999995E-2</v>
      </c>
      <c r="O192" s="32">
        <v>0.53</v>
      </c>
      <c r="P192" s="7">
        <v>0.19400000000000001</v>
      </c>
      <c r="Q192" s="8">
        <v>0</v>
      </c>
      <c r="R192" s="8">
        <v>1</v>
      </c>
      <c r="S192" s="8">
        <f>SUM(Dataset_AFinal[[#This Row],[Casual_user]:[Registered_user]])</f>
        <v>1</v>
      </c>
    </row>
    <row r="193" spans="1:19" x14ac:dyDescent="0.3">
      <c r="A193" s="4">
        <v>192</v>
      </c>
      <c r="B193" s="7" t="s">
        <v>87</v>
      </c>
      <c r="C193" s="6" t="s">
        <v>78</v>
      </c>
      <c r="D193" s="6" t="s">
        <v>79</v>
      </c>
      <c r="E193" s="6" t="s">
        <v>31</v>
      </c>
      <c r="F193" s="35">
        <v>6</v>
      </c>
      <c r="G193" s="15" t="str">
        <f t="shared" si="2"/>
        <v>Morning</v>
      </c>
      <c r="H193" s="6" t="b">
        <v>0</v>
      </c>
      <c r="I193" s="6" t="s">
        <v>53</v>
      </c>
      <c r="J193" s="6" t="str">
        <f>IF(OR(Dataset_AFinal[[#This Row],[Weekday]]="Sat",Dataset_AFinal[[#This Row],[Weekday]]="Sun"),"Weekend", "Weekday")</f>
        <v>Weekend</v>
      </c>
      <c r="K193" s="6" t="s">
        <v>32</v>
      </c>
      <c r="L193" s="6">
        <v>0.1</v>
      </c>
      <c r="M193" s="35" t="s">
        <v>44</v>
      </c>
      <c r="N193" s="7">
        <v>9.0899999999999995E-2</v>
      </c>
      <c r="O193" s="32">
        <v>0.49</v>
      </c>
      <c r="P193" s="7">
        <v>0.28360000000000002</v>
      </c>
      <c r="Q193" s="8">
        <v>0</v>
      </c>
      <c r="R193" s="8">
        <v>1</v>
      </c>
      <c r="S193" s="8">
        <f>SUM(Dataset_AFinal[[#This Row],[Casual_user]:[Registered_user]])</f>
        <v>1</v>
      </c>
    </row>
    <row r="194" spans="1:19" x14ac:dyDescent="0.3">
      <c r="A194" s="4">
        <v>193</v>
      </c>
      <c r="B194" s="7" t="s">
        <v>87</v>
      </c>
      <c r="C194" s="6" t="s">
        <v>78</v>
      </c>
      <c r="D194" s="6" t="s">
        <v>79</v>
      </c>
      <c r="E194" s="6" t="s">
        <v>31</v>
      </c>
      <c r="F194" s="35">
        <v>7</v>
      </c>
      <c r="G194" s="15" t="str">
        <f t="shared" ref="G194:G257" si="3">IF(F194&lt;6,"Night",IF(F194&lt;12,"Morning",IF(F194&lt;18,"Afternoon","Evening")))</f>
        <v>Morning</v>
      </c>
      <c r="H194" s="6" t="b">
        <v>0</v>
      </c>
      <c r="I194" s="6" t="s">
        <v>53</v>
      </c>
      <c r="J194" s="6" t="str">
        <f>IF(OR(Dataset_AFinal[[#This Row],[Weekday]]="Sat",Dataset_AFinal[[#This Row],[Weekday]]="Sun"),"Weekend", "Weekday")</f>
        <v>Weekend</v>
      </c>
      <c r="K194" s="6" t="s">
        <v>32</v>
      </c>
      <c r="L194" s="6">
        <v>0.08</v>
      </c>
      <c r="M194" s="35" t="s">
        <v>44</v>
      </c>
      <c r="N194" s="7">
        <v>9.0899999999999995E-2</v>
      </c>
      <c r="O194" s="32">
        <v>0.53</v>
      </c>
      <c r="P194" s="7">
        <v>0.19400000000000001</v>
      </c>
      <c r="Q194" s="8">
        <v>1</v>
      </c>
      <c r="R194" s="8">
        <v>5</v>
      </c>
      <c r="S194" s="8">
        <f>SUM(Dataset_AFinal[[#This Row],[Casual_user]:[Registered_user]])</f>
        <v>6</v>
      </c>
    </row>
    <row r="195" spans="1:19" x14ac:dyDescent="0.3">
      <c r="A195" s="4">
        <v>194</v>
      </c>
      <c r="B195" s="7" t="s">
        <v>87</v>
      </c>
      <c r="C195" s="6" t="s">
        <v>78</v>
      </c>
      <c r="D195" s="6" t="s">
        <v>79</v>
      </c>
      <c r="E195" s="6" t="s">
        <v>31</v>
      </c>
      <c r="F195" s="35">
        <v>8</v>
      </c>
      <c r="G195" s="15" t="str">
        <f t="shared" si="3"/>
        <v>Morning</v>
      </c>
      <c r="H195" s="6" t="b">
        <v>0</v>
      </c>
      <c r="I195" s="6" t="s">
        <v>53</v>
      </c>
      <c r="J195" s="6" t="str">
        <f>IF(OR(Dataset_AFinal[[#This Row],[Weekday]]="Sat",Dataset_AFinal[[#This Row],[Weekday]]="Sun"),"Weekend", "Weekday")</f>
        <v>Weekend</v>
      </c>
      <c r="K195" s="6" t="s">
        <v>32</v>
      </c>
      <c r="L195" s="6">
        <v>0.1</v>
      </c>
      <c r="M195" s="35" t="s">
        <v>44</v>
      </c>
      <c r="N195" s="7">
        <v>9.0899999999999995E-2</v>
      </c>
      <c r="O195" s="32">
        <v>0.49</v>
      </c>
      <c r="P195" s="7">
        <v>0.28360000000000002</v>
      </c>
      <c r="Q195" s="8">
        <v>0</v>
      </c>
      <c r="R195" s="8">
        <v>10</v>
      </c>
      <c r="S195" s="8">
        <f>SUM(Dataset_AFinal[[#This Row],[Casual_user]:[Registered_user]])</f>
        <v>10</v>
      </c>
    </row>
    <row r="196" spans="1:19" x14ac:dyDescent="0.3">
      <c r="A196" s="4">
        <v>195</v>
      </c>
      <c r="B196" s="7" t="s">
        <v>87</v>
      </c>
      <c r="C196" s="6" t="s">
        <v>78</v>
      </c>
      <c r="D196" s="6" t="s">
        <v>79</v>
      </c>
      <c r="E196" s="6" t="s">
        <v>31</v>
      </c>
      <c r="F196" s="35">
        <v>9</v>
      </c>
      <c r="G196" s="15" t="str">
        <f t="shared" si="3"/>
        <v>Morning</v>
      </c>
      <c r="H196" s="6" t="b">
        <v>0</v>
      </c>
      <c r="I196" s="6" t="s">
        <v>53</v>
      </c>
      <c r="J196" s="6" t="str">
        <f>IF(OR(Dataset_AFinal[[#This Row],[Weekday]]="Sat",Dataset_AFinal[[#This Row],[Weekday]]="Sun"),"Weekend", "Weekday")</f>
        <v>Weekend</v>
      </c>
      <c r="K196" s="6" t="s">
        <v>32</v>
      </c>
      <c r="L196" s="6">
        <v>0.12</v>
      </c>
      <c r="M196" s="35" t="s">
        <v>44</v>
      </c>
      <c r="N196" s="7">
        <v>7.5800000000000006E-2</v>
      </c>
      <c r="O196" s="32">
        <v>0.46</v>
      </c>
      <c r="P196" s="7">
        <v>0.52239999999999998</v>
      </c>
      <c r="Q196" s="8">
        <v>0</v>
      </c>
      <c r="R196" s="8">
        <v>19</v>
      </c>
      <c r="S196" s="8">
        <f>SUM(Dataset_AFinal[[#This Row],[Casual_user]:[Registered_user]])</f>
        <v>19</v>
      </c>
    </row>
    <row r="197" spans="1:19" x14ac:dyDescent="0.3">
      <c r="A197" s="4">
        <v>196</v>
      </c>
      <c r="B197" s="7" t="s">
        <v>87</v>
      </c>
      <c r="C197" s="6" t="s">
        <v>78</v>
      </c>
      <c r="D197" s="6" t="s">
        <v>79</v>
      </c>
      <c r="E197" s="6" t="s">
        <v>31</v>
      </c>
      <c r="F197" s="35">
        <v>10</v>
      </c>
      <c r="G197" s="15" t="str">
        <f t="shared" si="3"/>
        <v>Morning</v>
      </c>
      <c r="H197" s="6" t="b">
        <v>0</v>
      </c>
      <c r="I197" s="6" t="s">
        <v>53</v>
      </c>
      <c r="J197" s="6" t="str">
        <f>IF(OR(Dataset_AFinal[[#This Row],[Weekday]]="Sat",Dataset_AFinal[[#This Row],[Weekday]]="Sun"),"Weekend", "Weekday")</f>
        <v>Weekend</v>
      </c>
      <c r="K197" s="6" t="s">
        <v>32</v>
      </c>
      <c r="L197" s="6">
        <v>0.14000000000000001</v>
      </c>
      <c r="M197" s="35" t="s">
        <v>44</v>
      </c>
      <c r="N197" s="7">
        <v>0.1061</v>
      </c>
      <c r="O197" s="32">
        <v>0.43</v>
      </c>
      <c r="P197" s="7">
        <v>0.3881</v>
      </c>
      <c r="Q197" s="8">
        <v>0</v>
      </c>
      <c r="R197" s="8">
        <v>49</v>
      </c>
      <c r="S197" s="8">
        <f>SUM(Dataset_AFinal[[#This Row],[Casual_user]:[Registered_user]])</f>
        <v>49</v>
      </c>
    </row>
    <row r="198" spans="1:19" x14ac:dyDescent="0.3">
      <c r="A198" s="4">
        <v>197</v>
      </c>
      <c r="B198" s="7" t="s">
        <v>87</v>
      </c>
      <c r="C198" s="6" t="s">
        <v>78</v>
      </c>
      <c r="D198" s="6" t="s">
        <v>79</v>
      </c>
      <c r="E198" s="6" t="s">
        <v>31</v>
      </c>
      <c r="F198" s="35">
        <v>11</v>
      </c>
      <c r="G198" s="15" t="str">
        <f t="shared" si="3"/>
        <v>Morning</v>
      </c>
      <c r="H198" s="6" t="b">
        <v>0</v>
      </c>
      <c r="I198" s="6" t="s">
        <v>53</v>
      </c>
      <c r="J198" s="6" t="str">
        <f>IF(OR(Dataset_AFinal[[#This Row],[Weekday]]="Sat",Dataset_AFinal[[#This Row],[Weekday]]="Sun"),"Weekend", "Weekday")</f>
        <v>Weekend</v>
      </c>
      <c r="K198" s="6" t="s">
        <v>32</v>
      </c>
      <c r="L198" s="6">
        <v>0.16</v>
      </c>
      <c r="M198" s="35" t="s">
        <v>40</v>
      </c>
      <c r="N198" s="7">
        <v>0.1212</v>
      </c>
      <c r="O198" s="32">
        <v>0.4</v>
      </c>
      <c r="P198" s="7">
        <v>0.52239999999999998</v>
      </c>
      <c r="Q198" s="8">
        <v>2</v>
      </c>
      <c r="R198" s="8">
        <v>47</v>
      </c>
      <c r="S198" s="8">
        <f>SUM(Dataset_AFinal[[#This Row],[Casual_user]:[Registered_user]])</f>
        <v>49</v>
      </c>
    </row>
    <row r="199" spans="1:19" x14ac:dyDescent="0.3">
      <c r="A199" s="4">
        <v>198</v>
      </c>
      <c r="B199" s="7" t="s">
        <v>87</v>
      </c>
      <c r="C199" s="6" t="s">
        <v>78</v>
      </c>
      <c r="D199" s="6" t="s">
        <v>79</v>
      </c>
      <c r="E199" s="6" t="s">
        <v>31</v>
      </c>
      <c r="F199" s="35">
        <v>12</v>
      </c>
      <c r="G199" s="15" t="str">
        <f t="shared" si="3"/>
        <v>Afternoon</v>
      </c>
      <c r="H199" s="6" t="b">
        <v>0</v>
      </c>
      <c r="I199" s="6" t="s">
        <v>53</v>
      </c>
      <c r="J199" s="6" t="str">
        <f>IF(OR(Dataset_AFinal[[#This Row],[Weekday]]="Sat",Dataset_AFinal[[#This Row],[Weekday]]="Sun"),"Weekend", "Weekday")</f>
        <v>Weekend</v>
      </c>
      <c r="K199" s="6" t="s">
        <v>32</v>
      </c>
      <c r="L199" s="6">
        <v>0.18</v>
      </c>
      <c r="M199" s="35" t="s">
        <v>40</v>
      </c>
      <c r="N199" s="7">
        <v>0.13639999999999999</v>
      </c>
      <c r="O199" s="32">
        <v>0.37</v>
      </c>
      <c r="P199" s="7">
        <v>0.44779999999999998</v>
      </c>
      <c r="Q199" s="8">
        <v>4</v>
      </c>
      <c r="R199" s="8">
        <v>79</v>
      </c>
      <c r="S199" s="8">
        <f>SUM(Dataset_AFinal[[#This Row],[Casual_user]:[Registered_user]])</f>
        <v>83</v>
      </c>
    </row>
    <row r="200" spans="1:19" x14ac:dyDescent="0.3">
      <c r="A200" s="4">
        <v>199</v>
      </c>
      <c r="B200" s="7" t="s">
        <v>87</v>
      </c>
      <c r="C200" s="6" t="s">
        <v>78</v>
      </c>
      <c r="D200" s="6" t="s">
        <v>79</v>
      </c>
      <c r="E200" s="6" t="s">
        <v>31</v>
      </c>
      <c r="F200" s="35">
        <v>13</v>
      </c>
      <c r="G200" s="15" t="str">
        <f t="shared" si="3"/>
        <v>Afternoon</v>
      </c>
      <c r="H200" s="6" t="b">
        <v>0</v>
      </c>
      <c r="I200" s="6" t="s">
        <v>53</v>
      </c>
      <c r="J200" s="6" t="str">
        <f>IF(OR(Dataset_AFinal[[#This Row],[Weekday]]="Sat",Dataset_AFinal[[#This Row],[Weekday]]="Sun"),"Weekend", "Weekday")</f>
        <v>Weekend</v>
      </c>
      <c r="K200" s="6" t="s">
        <v>32</v>
      </c>
      <c r="L200" s="6">
        <v>0.2</v>
      </c>
      <c r="M200" s="35" t="s">
        <v>40</v>
      </c>
      <c r="N200" s="7">
        <v>0.16669999999999999</v>
      </c>
      <c r="O200" s="32">
        <v>0.34</v>
      </c>
      <c r="P200" s="7">
        <v>0.44779999999999998</v>
      </c>
      <c r="Q200" s="8">
        <v>6</v>
      </c>
      <c r="R200" s="8">
        <v>69</v>
      </c>
      <c r="S200" s="8">
        <f>SUM(Dataset_AFinal[[#This Row],[Casual_user]:[Registered_user]])</f>
        <v>75</v>
      </c>
    </row>
    <row r="201" spans="1:19" x14ac:dyDescent="0.3">
      <c r="A201" s="4">
        <v>200</v>
      </c>
      <c r="B201" s="7" t="s">
        <v>87</v>
      </c>
      <c r="C201" s="6" t="s">
        <v>78</v>
      </c>
      <c r="D201" s="6" t="s">
        <v>79</v>
      </c>
      <c r="E201" s="6" t="s">
        <v>31</v>
      </c>
      <c r="F201" s="35">
        <v>14</v>
      </c>
      <c r="G201" s="15" t="str">
        <f t="shared" si="3"/>
        <v>Afternoon</v>
      </c>
      <c r="H201" s="6" t="b">
        <v>0</v>
      </c>
      <c r="I201" s="6" t="s">
        <v>53</v>
      </c>
      <c r="J201" s="6" t="str">
        <f>IF(OR(Dataset_AFinal[[#This Row],[Weekday]]="Sat",Dataset_AFinal[[#This Row],[Weekday]]="Sun"),"Weekend", "Weekday")</f>
        <v>Weekend</v>
      </c>
      <c r="K201" s="6" t="s">
        <v>32</v>
      </c>
      <c r="L201" s="6">
        <v>0.22</v>
      </c>
      <c r="M201" s="35" t="s">
        <v>40</v>
      </c>
      <c r="N201" s="7">
        <v>0.18179999999999999</v>
      </c>
      <c r="O201" s="32">
        <v>0.32</v>
      </c>
      <c r="P201" s="7">
        <v>0.4627</v>
      </c>
      <c r="Q201" s="8">
        <v>8</v>
      </c>
      <c r="R201" s="8">
        <v>64</v>
      </c>
      <c r="S201" s="8">
        <f>SUM(Dataset_AFinal[[#This Row],[Casual_user]:[Registered_user]])</f>
        <v>72</v>
      </c>
    </row>
    <row r="202" spans="1:19" x14ac:dyDescent="0.3">
      <c r="A202" s="4">
        <v>201</v>
      </c>
      <c r="B202" s="7" t="s">
        <v>87</v>
      </c>
      <c r="C202" s="6" t="s">
        <v>78</v>
      </c>
      <c r="D202" s="6" t="s">
        <v>79</v>
      </c>
      <c r="E202" s="6" t="s">
        <v>31</v>
      </c>
      <c r="F202" s="35">
        <v>15</v>
      </c>
      <c r="G202" s="15" t="str">
        <f t="shared" si="3"/>
        <v>Afternoon</v>
      </c>
      <c r="H202" s="6" t="b">
        <v>0</v>
      </c>
      <c r="I202" s="6" t="s">
        <v>53</v>
      </c>
      <c r="J202" s="6" t="str">
        <f>IF(OR(Dataset_AFinal[[#This Row],[Weekday]]="Sat",Dataset_AFinal[[#This Row],[Weekday]]="Sun"),"Weekend", "Weekday")</f>
        <v>Weekend</v>
      </c>
      <c r="K202" s="6" t="s">
        <v>32</v>
      </c>
      <c r="L202" s="6">
        <v>0.22</v>
      </c>
      <c r="M202" s="35" t="s">
        <v>40</v>
      </c>
      <c r="N202" s="7">
        <v>0.19700000000000001</v>
      </c>
      <c r="O202" s="32">
        <v>0.35</v>
      </c>
      <c r="P202" s="7">
        <v>0.35820000000000002</v>
      </c>
      <c r="Q202" s="8">
        <v>5</v>
      </c>
      <c r="R202" s="8">
        <v>77</v>
      </c>
      <c r="S202" s="8">
        <f>SUM(Dataset_AFinal[[#This Row],[Casual_user]:[Registered_user]])</f>
        <v>82</v>
      </c>
    </row>
    <row r="203" spans="1:19" x14ac:dyDescent="0.3">
      <c r="A203" s="4">
        <v>202</v>
      </c>
      <c r="B203" s="7" t="s">
        <v>87</v>
      </c>
      <c r="C203" s="6" t="s">
        <v>78</v>
      </c>
      <c r="D203" s="6" t="s">
        <v>79</v>
      </c>
      <c r="E203" s="6" t="s">
        <v>31</v>
      </c>
      <c r="F203" s="35">
        <v>16</v>
      </c>
      <c r="G203" s="15" t="str">
        <f t="shared" si="3"/>
        <v>Afternoon</v>
      </c>
      <c r="H203" s="6" t="b">
        <v>0</v>
      </c>
      <c r="I203" s="6" t="s">
        <v>53</v>
      </c>
      <c r="J203" s="6" t="str">
        <f>IF(OR(Dataset_AFinal[[#This Row],[Weekday]]="Sat",Dataset_AFinal[[#This Row],[Weekday]]="Sun"),"Weekend", "Weekday")</f>
        <v>Weekend</v>
      </c>
      <c r="K203" s="6" t="s">
        <v>32</v>
      </c>
      <c r="L203" s="6">
        <v>0.2</v>
      </c>
      <c r="M203" s="35" t="s">
        <v>40</v>
      </c>
      <c r="N203" s="7">
        <v>0.16669999999999999</v>
      </c>
      <c r="O203" s="32">
        <v>0.34</v>
      </c>
      <c r="P203" s="7">
        <v>0.44779999999999998</v>
      </c>
      <c r="Q203" s="8">
        <v>13</v>
      </c>
      <c r="R203" s="8">
        <v>79</v>
      </c>
      <c r="S203" s="8">
        <f>SUM(Dataset_AFinal[[#This Row],[Casual_user]:[Registered_user]])</f>
        <v>92</v>
      </c>
    </row>
    <row r="204" spans="1:19" x14ac:dyDescent="0.3">
      <c r="A204" s="4">
        <v>203</v>
      </c>
      <c r="B204" s="7" t="s">
        <v>87</v>
      </c>
      <c r="C204" s="6" t="s">
        <v>78</v>
      </c>
      <c r="D204" s="6" t="s">
        <v>79</v>
      </c>
      <c r="E204" s="6" t="s">
        <v>31</v>
      </c>
      <c r="F204" s="35">
        <v>17</v>
      </c>
      <c r="G204" s="15" t="str">
        <f t="shared" si="3"/>
        <v>Afternoon</v>
      </c>
      <c r="H204" s="6" t="b">
        <v>0</v>
      </c>
      <c r="I204" s="6" t="s">
        <v>53</v>
      </c>
      <c r="J204" s="6" t="str">
        <f>IF(OR(Dataset_AFinal[[#This Row],[Weekday]]="Sat",Dataset_AFinal[[#This Row],[Weekday]]="Sun"),"Weekend", "Weekday")</f>
        <v>Weekend</v>
      </c>
      <c r="K204" s="6" t="s">
        <v>32</v>
      </c>
      <c r="L204" s="6">
        <v>0.18</v>
      </c>
      <c r="M204" s="35" t="s">
        <v>40</v>
      </c>
      <c r="N204" s="7">
        <v>0.1515</v>
      </c>
      <c r="O204" s="32">
        <v>0.37</v>
      </c>
      <c r="P204" s="7">
        <v>0.3881</v>
      </c>
      <c r="Q204" s="8">
        <v>3</v>
      </c>
      <c r="R204" s="8">
        <v>59</v>
      </c>
      <c r="S204" s="8">
        <f>SUM(Dataset_AFinal[[#This Row],[Casual_user]:[Registered_user]])</f>
        <v>62</v>
      </c>
    </row>
    <row r="205" spans="1:19" x14ac:dyDescent="0.3">
      <c r="A205" s="4">
        <v>204</v>
      </c>
      <c r="B205" s="7" t="s">
        <v>87</v>
      </c>
      <c r="C205" s="6" t="s">
        <v>78</v>
      </c>
      <c r="D205" s="6" t="s">
        <v>79</v>
      </c>
      <c r="E205" s="6" t="s">
        <v>31</v>
      </c>
      <c r="F205" s="35">
        <v>18</v>
      </c>
      <c r="G205" s="15" t="str">
        <f t="shared" si="3"/>
        <v>Evening</v>
      </c>
      <c r="H205" s="6" t="b">
        <v>0</v>
      </c>
      <c r="I205" s="6" t="s">
        <v>53</v>
      </c>
      <c r="J205" s="6" t="str">
        <f>IF(OR(Dataset_AFinal[[#This Row],[Weekday]]="Sat",Dataset_AFinal[[#This Row],[Weekday]]="Sun"),"Weekend", "Weekday")</f>
        <v>Weekend</v>
      </c>
      <c r="K205" s="6" t="s">
        <v>32</v>
      </c>
      <c r="L205" s="6">
        <v>0.16</v>
      </c>
      <c r="M205" s="35" t="s">
        <v>40</v>
      </c>
      <c r="N205" s="7">
        <v>0.13639999999999999</v>
      </c>
      <c r="O205" s="32">
        <v>0.4</v>
      </c>
      <c r="P205" s="7">
        <v>0.32840000000000003</v>
      </c>
      <c r="Q205" s="8">
        <v>4</v>
      </c>
      <c r="R205" s="8">
        <v>44</v>
      </c>
      <c r="S205" s="8">
        <f>SUM(Dataset_AFinal[[#This Row],[Casual_user]:[Registered_user]])</f>
        <v>48</v>
      </c>
    </row>
    <row r="206" spans="1:19" x14ac:dyDescent="0.3">
      <c r="A206" s="4">
        <v>205</v>
      </c>
      <c r="B206" s="7" t="s">
        <v>87</v>
      </c>
      <c r="C206" s="6" t="s">
        <v>78</v>
      </c>
      <c r="D206" s="6" t="s">
        <v>79</v>
      </c>
      <c r="E206" s="6" t="s">
        <v>31</v>
      </c>
      <c r="F206" s="35">
        <v>19</v>
      </c>
      <c r="G206" s="15" t="str">
        <f t="shared" si="3"/>
        <v>Evening</v>
      </c>
      <c r="H206" s="6" t="b">
        <v>0</v>
      </c>
      <c r="I206" s="6" t="s">
        <v>53</v>
      </c>
      <c r="J206" s="6" t="str">
        <f>IF(OR(Dataset_AFinal[[#This Row],[Weekday]]="Sat",Dataset_AFinal[[#This Row],[Weekday]]="Sun"),"Weekend", "Weekday")</f>
        <v>Weekend</v>
      </c>
      <c r="K206" s="6" t="s">
        <v>32</v>
      </c>
      <c r="L206" s="6">
        <v>0.16</v>
      </c>
      <c r="M206" s="35" t="s">
        <v>40</v>
      </c>
      <c r="N206" s="7">
        <v>0.13639999999999999</v>
      </c>
      <c r="O206" s="32">
        <v>0.43</v>
      </c>
      <c r="P206" s="7">
        <v>0.32840000000000003</v>
      </c>
      <c r="Q206" s="8">
        <v>1</v>
      </c>
      <c r="R206" s="8">
        <v>40</v>
      </c>
      <c r="S206" s="8">
        <f>SUM(Dataset_AFinal[[#This Row],[Casual_user]:[Registered_user]])</f>
        <v>41</v>
      </c>
    </row>
    <row r="207" spans="1:19" x14ac:dyDescent="0.3">
      <c r="A207" s="4">
        <v>206</v>
      </c>
      <c r="B207" s="7" t="s">
        <v>87</v>
      </c>
      <c r="C207" s="6" t="s">
        <v>78</v>
      </c>
      <c r="D207" s="6" t="s">
        <v>79</v>
      </c>
      <c r="E207" s="6" t="s">
        <v>31</v>
      </c>
      <c r="F207" s="35">
        <v>20</v>
      </c>
      <c r="G207" s="15" t="str">
        <f t="shared" si="3"/>
        <v>Evening</v>
      </c>
      <c r="H207" s="6" t="b">
        <v>0</v>
      </c>
      <c r="I207" s="6" t="s">
        <v>53</v>
      </c>
      <c r="J207" s="6" t="str">
        <f>IF(OR(Dataset_AFinal[[#This Row],[Weekday]]="Sat",Dataset_AFinal[[#This Row],[Weekday]]="Sun"),"Weekend", "Weekday")</f>
        <v>Weekend</v>
      </c>
      <c r="K207" s="6" t="s">
        <v>32</v>
      </c>
      <c r="L207" s="6">
        <v>0.14000000000000001</v>
      </c>
      <c r="M207" s="35" t="s">
        <v>44</v>
      </c>
      <c r="N207" s="7">
        <v>0.1212</v>
      </c>
      <c r="O207" s="32">
        <v>0.46</v>
      </c>
      <c r="P207" s="7">
        <v>0.25369999999999998</v>
      </c>
      <c r="Q207" s="8">
        <v>0</v>
      </c>
      <c r="R207" s="8">
        <v>38</v>
      </c>
      <c r="S207" s="8">
        <f>SUM(Dataset_AFinal[[#This Row],[Casual_user]:[Registered_user]])</f>
        <v>38</v>
      </c>
    </row>
    <row r="208" spans="1:19" x14ac:dyDescent="0.3">
      <c r="A208" s="4">
        <v>207</v>
      </c>
      <c r="B208" s="7" t="s">
        <v>87</v>
      </c>
      <c r="C208" s="6" t="s">
        <v>78</v>
      </c>
      <c r="D208" s="6" t="s">
        <v>79</v>
      </c>
      <c r="E208" s="6" t="s">
        <v>31</v>
      </c>
      <c r="F208" s="35">
        <v>21</v>
      </c>
      <c r="G208" s="15" t="str">
        <f t="shared" si="3"/>
        <v>Evening</v>
      </c>
      <c r="H208" s="6" t="b">
        <v>0</v>
      </c>
      <c r="I208" s="6" t="s">
        <v>53</v>
      </c>
      <c r="J208" s="6" t="str">
        <f>IF(OR(Dataset_AFinal[[#This Row],[Weekday]]="Sat",Dataset_AFinal[[#This Row],[Weekday]]="Sun"),"Weekend", "Weekday")</f>
        <v>Weekend</v>
      </c>
      <c r="K208" s="6" t="s">
        <v>32</v>
      </c>
      <c r="L208" s="6">
        <v>0.14000000000000001</v>
      </c>
      <c r="M208" s="35" t="s">
        <v>44</v>
      </c>
      <c r="N208" s="7">
        <v>0.1061</v>
      </c>
      <c r="O208" s="32">
        <v>0.46</v>
      </c>
      <c r="P208" s="7">
        <v>0.41789999999999999</v>
      </c>
      <c r="Q208" s="8">
        <v>1</v>
      </c>
      <c r="R208" s="8">
        <v>19</v>
      </c>
      <c r="S208" s="8">
        <f>SUM(Dataset_AFinal[[#This Row],[Casual_user]:[Registered_user]])</f>
        <v>20</v>
      </c>
    </row>
    <row r="209" spans="1:19" x14ac:dyDescent="0.3">
      <c r="A209" s="4">
        <v>208</v>
      </c>
      <c r="B209" s="7" t="s">
        <v>87</v>
      </c>
      <c r="C209" s="6" t="s">
        <v>78</v>
      </c>
      <c r="D209" s="6" t="s">
        <v>79</v>
      </c>
      <c r="E209" s="6" t="s">
        <v>31</v>
      </c>
      <c r="F209" s="35">
        <v>22</v>
      </c>
      <c r="G209" s="15" t="str">
        <f t="shared" si="3"/>
        <v>Evening</v>
      </c>
      <c r="H209" s="6" t="b">
        <v>0</v>
      </c>
      <c r="I209" s="6" t="s">
        <v>53</v>
      </c>
      <c r="J209" s="6" t="str">
        <f>IF(OR(Dataset_AFinal[[#This Row],[Weekday]]="Sat",Dataset_AFinal[[#This Row],[Weekday]]="Sun"),"Weekend", "Weekday")</f>
        <v>Weekend</v>
      </c>
      <c r="K209" s="6" t="s">
        <v>32</v>
      </c>
      <c r="L209" s="6">
        <v>0.14000000000000001</v>
      </c>
      <c r="M209" s="35" t="s">
        <v>44</v>
      </c>
      <c r="N209" s="7">
        <v>0.1212</v>
      </c>
      <c r="O209" s="32">
        <v>0.46</v>
      </c>
      <c r="P209" s="7">
        <v>0.29849999999999999</v>
      </c>
      <c r="Q209" s="8">
        <v>5</v>
      </c>
      <c r="R209" s="8">
        <v>10</v>
      </c>
      <c r="S209" s="8">
        <f>SUM(Dataset_AFinal[[#This Row],[Casual_user]:[Registered_user]])</f>
        <v>15</v>
      </c>
    </row>
    <row r="210" spans="1:19" x14ac:dyDescent="0.3">
      <c r="A210" s="4">
        <v>209</v>
      </c>
      <c r="B210" s="7" t="s">
        <v>87</v>
      </c>
      <c r="C210" s="6" t="s">
        <v>78</v>
      </c>
      <c r="D210" s="6" t="s">
        <v>79</v>
      </c>
      <c r="E210" s="6" t="s">
        <v>31</v>
      </c>
      <c r="F210" s="35">
        <v>23</v>
      </c>
      <c r="G210" s="15" t="str">
        <f t="shared" si="3"/>
        <v>Evening</v>
      </c>
      <c r="H210" s="6" t="b">
        <v>0</v>
      </c>
      <c r="I210" s="6" t="s">
        <v>53</v>
      </c>
      <c r="J210" s="6" t="str">
        <f>IF(OR(Dataset_AFinal[[#This Row],[Weekday]]="Sat",Dataset_AFinal[[#This Row],[Weekday]]="Sun"),"Weekend", "Weekday")</f>
        <v>Weekend</v>
      </c>
      <c r="K210" s="6" t="s">
        <v>32</v>
      </c>
      <c r="L210" s="6">
        <v>0.12</v>
      </c>
      <c r="M210" s="35" t="s">
        <v>44</v>
      </c>
      <c r="N210" s="7">
        <v>0.13639999999999999</v>
      </c>
      <c r="O210" s="32">
        <v>0.5</v>
      </c>
      <c r="P210" s="7">
        <v>0.19400000000000001</v>
      </c>
      <c r="Q210" s="8">
        <v>0</v>
      </c>
      <c r="R210" s="8">
        <v>6</v>
      </c>
      <c r="S210" s="8">
        <f>SUM(Dataset_AFinal[[#This Row],[Casual_user]:[Registered_user]])</f>
        <v>6</v>
      </c>
    </row>
    <row r="211" spans="1:19" x14ac:dyDescent="0.3">
      <c r="A211" s="4">
        <v>210</v>
      </c>
      <c r="B211" s="7" t="s">
        <v>88</v>
      </c>
      <c r="C211" s="6" t="s">
        <v>78</v>
      </c>
      <c r="D211" s="6" t="s">
        <v>79</v>
      </c>
      <c r="E211" s="6" t="s">
        <v>31</v>
      </c>
      <c r="F211" s="35">
        <v>0</v>
      </c>
      <c r="G211" s="15" t="str">
        <f t="shared" si="3"/>
        <v>Night</v>
      </c>
      <c r="H211" s="6" t="b">
        <v>0</v>
      </c>
      <c r="I211" s="6" t="s">
        <v>54</v>
      </c>
      <c r="J211" s="6" t="str">
        <f>IF(OR(Dataset_AFinal[[#This Row],[Weekday]]="Sat",Dataset_AFinal[[#This Row],[Weekday]]="Sun"),"Weekend", "Weekday")</f>
        <v>Weekday</v>
      </c>
      <c r="K211" s="6" t="s">
        <v>32</v>
      </c>
      <c r="L211" s="6">
        <v>0.12</v>
      </c>
      <c r="M211" s="35" t="s">
        <v>44</v>
      </c>
      <c r="N211" s="7">
        <v>0.1212</v>
      </c>
      <c r="O211" s="32">
        <v>0.5</v>
      </c>
      <c r="P211" s="7">
        <v>0.28360000000000002</v>
      </c>
      <c r="Q211" s="8">
        <v>2</v>
      </c>
      <c r="R211" s="8">
        <v>3</v>
      </c>
      <c r="S211" s="8">
        <f>SUM(Dataset_AFinal[[#This Row],[Casual_user]:[Registered_user]])</f>
        <v>5</v>
      </c>
    </row>
    <row r="212" spans="1:19" x14ac:dyDescent="0.3">
      <c r="A212" s="4">
        <v>211</v>
      </c>
      <c r="B212" s="7" t="s">
        <v>88</v>
      </c>
      <c r="C212" s="6" t="s">
        <v>78</v>
      </c>
      <c r="D212" s="6" t="s">
        <v>79</v>
      </c>
      <c r="E212" s="6" t="s">
        <v>31</v>
      </c>
      <c r="F212" s="35">
        <v>1</v>
      </c>
      <c r="G212" s="15" t="str">
        <f t="shared" si="3"/>
        <v>Night</v>
      </c>
      <c r="H212" s="6" t="b">
        <v>0</v>
      </c>
      <c r="I212" s="6" t="s">
        <v>54</v>
      </c>
      <c r="J212" s="6" t="str">
        <f>IF(OR(Dataset_AFinal[[#This Row],[Weekday]]="Sat",Dataset_AFinal[[#This Row],[Weekday]]="Sun"),"Weekend", "Weekday")</f>
        <v>Weekday</v>
      </c>
      <c r="K212" s="6" t="s">
        <v>32</v>
      </c>
      <c r="L212" s="6">
        <v>0.12</v>
      </c>
      <c r="M212" s="35" t="s">
        <v>44</v>
      </c>
      <c r="N212" s="7">
        <v>0.1212</v>
      </c>
      <c r="O212" s="32">
        <v>0.5</v>
      </c>
      <c r="P212" s="7">
        <v>0.28360000000000002</v>
      </c>
      <c r="Q212" s="8">
        <v>1</v>
      </c>
      <c r="R212" s="8">
        <v>0</v>
      </c>
      <c r="S212" s="8">
        <f>SUM(Dataset_AFinal[[#This Row],[Casual_user]:[Registered_user]])</f>
        <v>1</v>
      </c>
    </row>
    <row r="213" spans="1:19" x14ac:dyDescent="0.3">
      <c r="A213" s="4">
        <v>212</v>
      </c>
      <c r="B213" s="7" t="s">
        <v>88</v>
      </c>
      <c r="C213" s="6" t="s">
        <v>78</v>
      </c>
      <c r="D213" s="6" t="s">
        <v>79</v>
      </c>
      <c r="E213" s="6" t="s">
        <v>31</v>
      </c>
      <c r="F213" s="35">
        <v>2</v>
      </c>
      <c r="G213" s="15" t="str">
        <f t="shared" si="3"/>
        <v>Night</v>
      </c>
      <c r="H213" s="6" t="b">
        <v>0</v>
      </c>
      <c r="I213" s="6" t="s">
        <v>54</v>
      </c>
      <c r="J213" s="6" t="str">
        <f>IF(OR(Dataset_AFinal[[#This Row],[Weekday]]="Sat",Dataset_AFinal[[#This Row],[Weekday]]="Sun"),"Weekend", "Weekday")</f>
        <v>Weekday</v>
      </c>
      <c r="K213" s="6" t="s">
        <v>32</v>
      </c>
      <c r="L213" s="6">
        <v>0.12</v>
      </c>
      <c r="M213" s="35" t="s">
        <v>44</v>
      </c>
      <c r="N213" s="7">
        <v>0.1212</v>
      </c>
      <c r="O213" s="32">
        <v>0.5</v>
      </c>
      <c r="P213" s="7">
        <v>0.22389999999999999</v>
      </c>
      <c r="Q213" s="8">
        <v>0</v>
      </c>
      <c r="R213" s="8">
        <v>3</v>
      </c>
      <c r="S213" s="8">
        <f>SUM(Dataset_AFinal[[#This Row],[Casual_user]:[Registered_user]])</f>
        <v>3</v>
      </c>
    </row>
    <row r="214" spans="1:19" x14ac:dyDescent="0.3">
      <c r="A214" s="4">
        <v>213</v>
      </c>
      <c r="B214" s="7" t="s">
        <v>88</v>
      </c>
      <c r="C214" s="6" t="s">
        <v>78</v>
      </c>
      <c r="D214" s="6" t="s">
        <v>79</v>
      </c>
      <c r="E214" s="6" t="s">
        <v>31</v>
      </c>
      <c r="F214" s="35">
        <v>3</v>
      </c>
      <c r="G214" s="15" t="str">
        <f t="shared" si="3"/>
        <v>Night</v>
      </c>
      <c r="H214" s="6" t="b">
        <v>0</v>
      </c>
      <c r="I214" s="6" t="s">
        <v>54</v>
      </c>
      <c r="J214" s="6" t="str">
        <f>IF(OR(Dataset_AFinal[[#This Row],[Weekday]]="Sat",Dataset_AFinal[[#This Row],[Weekday]]="Sun"),"Weekend", "Weekday")</f>
        <v>Weekday</v>
      </c>
      <c r="K214" s="6" t="s">
        <v>32</v>
      </c>
      <c r="L214" s="6">
        <v>0.12</v>
      </c>
      <c r="M214" s="35" t="s">
        <v>44</v>
      </c>
      <c r="N214" s="7">
        <v>0.1212</v>
      </c>
      <c r="O214" s="32">
        <v>0.5</v>
      </c>
      <c r="P214" s="7">
        <v>0.22389999999999999</v>
      </c>
      <c r="Q214" s="8">
        <v>0</v>
      </c>
      <c r="R214" s="8">
        <v>1</v>
      </c>
      <c r="S214" s="8">
        <f>SUM(Dataset_AFinal[[#This Row],[Casual_user]:[Registered_user]])</f>
        <v>1</v>
      </c>
    </row>
    <row r="215" spans="1:19" x14ac:dyDescent="0.3">
      <c r="A215" s="4">
        <v>214</v>
      </c>
      <c r="B215" s="7" t="s">
        <v>88</v>
      </c>
      <c r="C215" s="6" t="s">
        <v>78</v>
      </c>
      <c r="D215" s="6" t="s">
        <v>79</v>
      </c>
      <c r="E215" s="6" t="s">
        <v>31</v>
      </c>
      <c r="F215" s="35">
        <v>4</v>
      </c>
      <c r="G215" s="15" t="str">
        <f t="shared" si="3"/>
        <v>Night</v>
      </c>
      <c r="H215" s="6" t="b">
        <v>0</v>
      </c>
      <c r="I215" s="6" t="s">
        <v>54</v>
      </c>
      <c r="J215" s="6" t="str">
        <f>IF(OR(Dataset_AFinal[[#This Row],[Weekday]]="Sat",Dataset_AFinal[[#This Row],[Weekday]]="Sun"),"Weekend", "Weekday")</f>
        <v>Weekday</v>
      </c>
      <c r="K215" s="6" t="s">
        <v>32</v>
      </c>
      <c r="L215" s="6">
        <v>0.1</v>
      </c>
      <c r="M215" s="35" t="s">
        <v>44</v>
      </c>
      <c r="N215" s="7">
        <v>0.1212</v>
      </c>
      <c r="O215" s="32">
        <v>0.54</v>
      </c>
      <c r="P215" s="7">
        <v>0.1343</v>
      </c>
      <c r="Q215" s="8">
        <v>1</v>
      </c>
      <c r="R215" s="8">
        <v>2</v>
      </c>
      <c r="S215" s="8">
        <f>SUM(Dataset_AFinal[[#This Row],[Casual_user]:[Registered_user]])</f>
        <v>3</v>
      </c>
    </row>
    <row r="216" spans="1:19" x14ac:dyDescent="0.3">
      <c r="A216" s="4">
        <v>215</v>
      </c>
      <c r="B216" s="7" t="s">
        <v>88</v>
      </c>
      <c r="C216" s="6" t="s">
        <v>78</v>
      </c>
      <c r="D216" s="6" t="s">
        <v>79</v>
      </c>
      <c r="E216" s="6" t="s">
        <v>31</v>
      </c>
      <c r="F216" s="35">
        <v>5</v>
      </c>
      <c r="G216" s="15" t="str">
        <f t="shared" si="3"/>
        <v>Night</v>
      </c>
      <c r="H216" s="6" t="b">
        <v>0</v>
      </c>
      <c r="I216" s="6" t="s">
        <v>54</v>
      </c>
      <c r="J216" s="6" t="str">
        <f>IF(OR(Dataset_AFinal[[#This Row],[Weekday]]="Sat",Dataset_AFinal[[#This Row],[Weekday]]="Sun"),"Weekend", "Weekday")</f>
        <v>Weekday</v>
      </c>
      <c r="K216" s="6" t="s">
        <v>32</v>
      </c>
      <c r="L216" s="6">
        <v>0.1</v>
      </c>
      <c r="M216" s="35" t="s">
        <v>44</v>
      </c>
      <c r="N216" s="7">
        <v>0.1061</v>
      </c>
      <c r="O216" s="32">
        <v>0.54</v>
      </c>
      <c r="P216" s="7">
        <v>0.25369999999999998</v>
      </c>
      <c r="Q216" s="8">
        <v>0</v>
      </c>
      <c r="R216" s="8">
        <v>3</v>
      </c>
      <c r="S216" s="8">
        <f>SUM(Dataset_AFinal[[#This Row],[Casual_user]:[Registered_user]])</f>
        <v>3</v>
      </c>
    </row>
    <row r="217" spans="1:19" x14ac:dyDescent="0.3">
      <c r="A217" s="4">
        <v>216</v>
      </c>
      <c r="B217" s="7" t="s">
        <v>88</v>
      </c>
      <c r="C217" s="6" t="s">
        <v>78</v>
      </c>
      <c r="D217" s="6" t="s">
        <v>79</v>
      </c>
      <c r="E217" s="6" t="s">
        <v>31</v>
      </c>
      <c r="F217" s="35">
        <v>6</v>
      </c>
      <c r="G217" s="15" t="str">
        <f t="shared" si="3"/>
        <v>Morning</v>
      </c>
      <c r="H217" s="6" t="b">
        <v>0</v>
      </c>
      <c r="I217" s="6" t="s">
        <v>54</v>
      </c>
      <c r="J217" s="6" t="str">
        <f>IF(OR(Dataset_AFinal[[#This Row],[Weekday]]="Sat",Dataset_AFinal[[#This Row],[Weekday]]="Sun"),"Weekend", "Weekday")</f>
        <v>Weekday</v>
      </c>
      <c r="K217" s="6" t="s">
        <v>32</v>
      </c>
      <c r="L217" s="6">
        <v>0.12</v>
      </c>
      <c r="M217" s="35" t="s">
        <v>44</v>
      </c>
      <c r="N217" s="7">
        <v>0.1212</v>
      </c>
      <c r="O217" s="32">
        <v>0.5</v>
      </c>
      <c r="P217" s="7">
        <v>0.28360000000000002</v>
      </c>
      <c r="Q217" s="8">
        <v>0</v>
      </c>
      <c r="R217" s="8">
        <v>31</v>
      </c>
      <c r="S217" s="8">
        <f>SUM(Dataset_AFinal[[#This Row],[Casual_user]:[Registered_user]])</f>
        <v>31</v>
      </c>
    </row>
    <row r="218" spans="1:19" x14ac:dyDescent="0.3">
      <c r="A218" s="4">
        <v>217</v>
      </c>
      <c r="B218" s="7" t="s">
        <v>88</v>
      </c>
      <c r="C218" s="6" t="s">
        <v>78</v>
      </c>
      <c r="D218" s="6" t="s">
        <v>79</v>
      </c>
      <c r="E218" s="6" t="s">
        <v>31</v>
      </c>
      <c r="F218" s="35">
        <v>7</v>
      </c>
      <c r="G218" s="15" t="str">
        <f t="shared" si="3"/>
        <v>Morning</v>
      </c>
      <c r="H218" s="6" t="b">
        <v>0</v>
      </c>
      <c r="I218" s="6" t="s">
        <v>54</v>
      </c>
      <c r="J218" s="6" t="str">
        <f>IF(OR(Dataset_AFinal[[#This Row],[Weekday]]="Sat",Dataset_AFinal[[#This Row],[Weekday]]="Sun"),"Weekend", "Weekday")</f>
        <v>Weekday</v>
      </c>
      <c r="K218" s="6" t="s">
        <v>32</v>
      </c>
      <c r="L218" s="6">
        <v>0.12</v>
      </c>
      <c r="M218" s="35" t="s">
        <v>44</v>
      </c>
      <c r="N218" s="7">
        <v>0.1212</v>
      </c>
      <c r="O218" s="32">
        <v>0.5</v>
      </c>
      <c r="P218" s="7">
        <v>0.22389999999999999</v>
      </c>
      <c r="Q218" s="8">
        <v>2</v>
      </c>
      <c r="R218" s="8">
        <v>75</v>
      </c>
      <c r="S218" s="8">
        <f>SUM(Dataset_AFinal[[#This Row],[Casual_user]:[Registered_user]])</f>
        <v>77</v>
      </c>
    </row>
    <row r="219" spans="1:19" x14ac:dyDescent="0.3">
      <c r="A219" s="4">
        <v>218</v>
      </c>
      <c r="B219" s="7" t="s">
        <v>88</v>
      </c>
      <c r="C219" s="6" t="s">
        <v>78</v>
      </c>
      <c r="D219" s="6" t="s">
        <v>79</v>
      </c>
      <c r="E219" s="6" t="s">
        <v>31</v>
      </c>
      <c r="F219" s="35">
        <v>8</v>
      </c>
      <c r="G219" s="15" t="str">
        <f t="shared" si="3"/>
        <v>Morning</v>
      </c>
      <c r="H219" s="6" t="b">
        <v>0</v>
      </c>
      <c r="I219" s="6" t="s">
        <v>54</v>
      </c>
      <c r="J219" s="6" t="str">
        <f>IF(OR(Dataset_AFinal[[#This Row],[Weekday]]="Sat",Dataset_AFinal[[#This Row],[Weekday]]="Sun"),"Weekend", "Weekday")</f>
        <v>Weekday</v>
      </c>
      <c r="K219" s="6" t="s">
        <v>33</v>
      </c>
      <c r="L219" s="6">
        <v>0.12</v>
      </c>
      <c r="M219" s="35" t="s">
        <v>44</v>
      </c>
      <c r="N219" s="7">
        <v>0.1212</v>
      </c>
      <c r="O219" s="32">
        <v>0.5</v>
      </c>
      <c r="P219" s="7">
        <v>0.28360000000000002</v>
      </c>
      <c r="Q219" s="8">
        <v>4</v>
      </c>
      <c r="R219" s="8">
        <v>184</v>
      </c>
      <c r="S219" s="8">
        <f>SUM(Dataset_AFinal[[#This Row],[Casual_user]:[Registered_user]])</f>
        <v>188</v>
      </c>
    </row>
    <row r="220" spans="1:19" x14ac:dyDescent="0.3">
      <c r="A220" s="4">
        <v>219</v>
      </c>
      <c r="B220" s="7" t="s">
        <v>88</v>
      </c>
      <c r="C220" s="6" t="s">
        <v>78</v>
      </c>
      <c r="D220" s="6" t="s">
        <v>79</v>
      </c>
      <c r="E220" s="6" t="s">
        <v>31</v>
      </c>
      <c r="F220" s="35">
        <v>9</v>
      </c>
      <c r="G220" s="15" t="str">
        <f t="shared" si="3"/>
        <v>Morning</v>
      </c>
      <c r="H220" s="6" t="b">
        <v>0</v>
      </c>
      <c r="I220" s="6" t="s">
        <v>54</v>
      </c>
      <c r="J220" s="6" t="str">
        <f>IF(OR(Dataset_AFinal[[#This Row],[Weekday]]="Sat",Dataset_AFinal[[#This Row],[Weekday]]="Sun"),"Weekend", "Weekday")</f>
        <v>Weekday</v>
      </c>
      <c r="K220" s="6" t="s">
        <v>33</v>
      </c>
      <c r="L220" s="6">
        <v>0.14000000000000001</v>
      </c>
      <c r="M220" s="35" t="s">
        <v>44</v>
      </c>
      <c r="N220" s="7">
        <v>0.1212</v>
      </c>
      <c r="O220" s="32">
        <v>0.5</v>
      </c>
      <c r="P220" s="7">
        <v>0.25369999999999998</v>
      </c>
      <c r="Q220" s="8">
        <v>2</v>
      </c>
      <c r="R220" s="8">
        <v>92</v>
      </c>
      <c r="S220" s="8">
        <f>SUM(Dataset_AFinal[[#This Row],[Casual_user]:[Registered_user]])</f>
        <v>94</v>
      </c>
    </row>
    <row r="221" spans="1:19" x14ac:dyDescent="0.3">
      <c r="A221" s="4">
        <v>220</v>
      </c>
      <c r="B221" s="7" t="s">
        <v>88</v>
      </c>
      <c r="C221" s="6" t="s">
        <v>78</v>
      </c>
      <c r="D221" s="6" t="s">
        <v>79</v>
      </c>
      <c r="E221" s="6" t="s">
        <v>31</v>
      </c>
      <c r="F221" s="35">
        <v>10</v>
      </c>
      <c r="G221" s="15" t="str">
        <f t="shared" si="3"/>
        <v>Morning</v>
      </c>
      <c r="H221" s="6" t="b">
        <v>0</v>
      </c>
      <c r="I221" s="6" t="s">
        <v>54</v>
      </c>
      <c r="J221" s="6" t="str">
        <f>IF(OR(Dataset_AFinal[[#This Row],[Weekday]]="Sat",Dataset_AFinal[[#This Row],[Weekday]]="Sun"),"Weekend", "Weekday")</f>
        <v>Weekday</v>
      </c>
      <c r="K221" s="6" t="s">
        <v>33</v>
      </c>
      <c r="L221" s="6">
        <v>0.14000000000000001</v>
      </c>
      <c r="M221" s="35" t="s">
        <v>44</v>
      </c>
      <c r="N221" s="7">
        <v>0.1212</v>
      </c>
      <c r="O221" s="32">
        <v>0.5</v>
      </c>
      <c r="P221" s="7">
        <v>0.29849999999999999</v>
      </c>
      <c r="Q221" s="8">
        <v>0</v>
      </c>
      <c r="R221" s="8">
        <v>31</v>
      </c>
      <c r="S221" s="8">
        <f>SUM(Dataset_AFinal[[#This Row],[Casual_user]:[Registered_user]])</f>
        <v>31</v>
      </c>
    </row>
    <row r="222" spans="1:19" x14ac:dyDescent="0.3">
      <c r="A222" s="4">
        <v>221</v>
      </c>
      <c r="B222" s="7" t="s">
        <v>88</v>
      </c>
      <c r="C222" s="6" t="s">
        <v>78</v>
      </c>
      <c r="D222" s="6" t="s">
        <v>79</v>
      </c>
      <c r="E222" s="6" t="s">
        <v>31</v>
      </c>
      <c r="F222" s="35">
        <v>11</v>
      </c>
      <c r="G222" s="15" t="str">
        <f t="shared" si="3"/>
        <v>Morning</v>
      </c>
      <c r="H222" s="6" t="b">
        <v>0</v>
      </c>
      <c r="I222" s="6" t="s">
        <v>54</v>
      </c>
      <c r="J222" s="6" t="str">
        <f>IF(OR(Dataset_AFinal[[#This Row],[Weekday]]="Sat",Dataset_AFinal[[#This Row],[Weekday]]="Sun"),"Weekend", "Weekday")</f>
        <v>Weekday</v>
      </c>
      <c r="K222" s="6" t="s">
        <v>33</v>
      </c>
      <c r="L222" s="6">
        <v>0.16</v>
      </c>
      <c r="M222" s="35" t="s">
        <v>40</v>
      </c>
      <c r="N222" s="7">
        <v>0.13639999999999999</v>
      </c>
      <c r="O222" s="32">
        <v>0.47</v>
      </c>
      <c r="P222" s="7">
        <v>0.28360000000000002</v>
      </c>
      <c r="Q222" s="8">
        <v>2</v>
      </c>
      <c r="R222" s="8">
        <v>28</v>
      </c>
      <c r="S222" s="8">
        <f>SUM(Dataset_AFinal[[#This Row],[Casual_user]:[Registered_user]])</f>
        <v>30</v>
      </c>
    </row>
    <row r="223" spans="1:19" x14ac:dyDescent="0.3">
      <c r="A223" s="4">
        <v>222</v>
      </c>
      <c r="B223" s="7" t="s">
        <v>88</v>
      </c>
      <c r="C223" s="6" t="s">
        <v>78</v>
      </c>
      <c r="D223" s="6" t="s">
        <v>79</v>
      </c>
      <c r="E223" s="6" t="s">
        <v>31</v>
      </c>
      <c r="F223" s="35">
        <v>12</v>
      </c>
      <c r="G223" s="15" t="str">
        <f t="shared" si="3"/>
        <v>Afternoon</v>
      </c>
      <c r="H223" s="6" t="b">
        <v>0</v>
      </c>
      <c r="I223" s="6" t="s">
        <v>54</v>
      </c>
      <c r="J223" s="6" t="str">
        <f>IF(OR(Dataset_AFinal[[#This Row],[Weekday]]="Sat",Dataset_AFinal[[#This Row],[Weekday]]="Sun"),"Weekend", "Weekday")</f>
        <v>Weekday</v>
      </c>
      <c r="K223" s="6" t="s">
        <v>33</v>
      </c>
      <c r="L223" s="6">
        <v>0.2</v>
      </c>
      <c r="M223" s="35" t="s">
        <v>40</v>
      </c>
      <c r="N223" s="7">
        <v>0.18179999999999999</v>
      </c>
      <c r="O223" s="32">
        <v>0.4</v>
      </c>
      <c r="P223" s="7">
        <v>0.28360000000000002</v>
      </c>
      <c r="Q223" s="8">
        <v>5</v>
      </c>
      <c r="R223" s="8">
        <v>47</v>
      </c>
      <c r="S223" s="8">
        <f>SUM(Dataset_AFinal[[#This Row],[Casual_user]:[Registered_user]])</f>
        <v>52</v>
      </c>
    </row>
    <row r="224" spans="1:19" x14ac:dyDescent="0.3">
      <c r="A224" s="4">
        <v>223</v>
      </c>
      <c r="B224" s="7" t="s">
        <v>88</v>
      </c>
      <c r="C224" s="6" t="s">
        <v>78</v>
      </c>
      <c r="D224" s="6" t="s">
        <v>79</v>
      </c>
      <c r="E224" s="6" t="s">
        <v>31</v>
      </c>
      <c r="F224" s="35">
        <v>13</v>
      </c>
      <c r="G224" s="15" t="str">
        <f t="shared" si="3"/>
        <v>Afternoon</v>
      </c>
      <c r="H224" s="6" t="b">
        <v>0</v>
      </c>
      <c r="I224" s="6" t="s">
        <v>54</v>
      </c>
      <c r="J224" s="6" t="str">
        <f>IF(OR(Dataset_AFinal[[#This Row],[Weekday]]="Sat",Dataset_AFinal[[#This Row],[Weekday]]="Sun"),"Weekend", "Weekday")</f>
        <v>Weekday</v>
      </c>
      <c r="K224" s="6" t="s">
        <v>33</v>
      </c>
      <c r="L224" s="6">
        <v>0.2</v>
      </c>
      <c r="M224" s="35" t="s">
        <v>40</v>
      </c>
      <c r="N224" s="7">
        <v>0.18179999999999999</v>
      </c>
      <c r="O224" s="32">
        <v>0.4</v>
      </c>
      <c r="P224" s="7">
        <v>0.28360000000000002</v>
      </c>
      <c r="Q224" s="8">
        <v>4</v>
      </c>
      <c r="R224" s="8">
        <v>50</v>
      </c>
      <c r="S224" s="8">
        <f>SUM(Dataset_AFinal[[#This Row],[Casual_user]:[Registered_user]])</f>
        <v>54</v>
      </c>
    </row>
    <row r="225" spans="1:19" x14ac:dyDescent="0.3">
      <c r="A225" s="4">
        <v>224</v>
      </c>
      <c r="B225" s="7" t="s">
        <v>88</v>
      </c>
      <c r="C225" s="6" t="s">
        <v>78</v>
      </c>
      <c r="D225" s="6" t="s">
        <v>79</v>
      </c>
      <c r="E225" s="6" t="s">
        <v>31</v>
      </c>
      <c r="F225" s="35">
        <v>14</v>
      </c>
      <c r="G225" s="15" t="str">
        <f t="shared" si="3"/>
        <v>Afternoon</v>
      </c>
      <c r="H225" s="6" t="b">
        <v>0</v>
      </c>
      <c r="I225" s="6" t="s">
        <v>54</v>
      </c>
      <c r="J225" s="6" t="str">
        <f>IF(OR(Dataset_AFinal[[#This Row],[Weekday]]="Sat",Dataset_AFinal[[#This Row],[Weekday]]="Sun"),"Weekend", "Weekday")</f>
        <v>Weekday</v>
      </c>
      <c r="K225" s="6" t="s">
        <v>33</v>
      </c>
      <c r="L225" s="6">
        <v>0.2</v>
      </c>
      <c r="M225" s="35" t="s">
        <v>40</v>
      </c>
      <c r="N225" s="7">
        <v>0.19700000000000001</v>
      </c>
      <c r="O225" s="32">
        <v>0.4</v>
      </c>
      <c r="P225" s="7">
        <v>0.22389999999999999</v>
      </c>
      <c r="Q225" s="8">
        <v>0</v>
      </c>
      <c r="R225" s="8">
        <v>47</v>
      </c>
      <c r="S225" s="8">
        <f>SUM(Dataset_AFinal[[#This Row],[Casual_user]:[Registered_user]])</f>
        <v>47</v>
      </c>
    </row>
    <row r="226" spans="1:19" x14ac:dyDescent="0.3">
      <c r="A226" s="4">
        <v>225</v>
      </c>
      <c r="B226" s="7" t="s">
        <v>88</v>
      </c>
      <c r="C226" s="6" t="s">
        <v>78</v>
      </c>
      <c r="D226" s="6" t="s">
        <v>79</v>
      </c>
      <c r="E226" s="6" t="s">
        <v>31</v>
      </c>
      <c r="F226" s="35">
        <v>15</v>
      </c>
      <c r="G226" s="15" t="str">
        <f t="shared" si="3"/>
        <v>Afternoon</v>
      </c>
      <c r="H226" s="6" t="b">
        <v>0</v>
      </c>
      <c r="I226" s="6" t="s">
        <v>54</v>
      </c>
      <c r="J226" s="6" t="str">
        <f>IF(OR(Dataset_AFinal[[#This Row],[Weekday]]="Sat",Dataset_AFinal[[#This Row],[Weekday]]="Sun"),"Weekend", "Weekday")</f>
        <v>Weekday</v>
      </c>
      <c r="K226" s="6" t="s">
        <v>33</v>
      </c>
      <c r="L226" s="6">
        <v>0.2</v>
      </c>
      <c r="M226" s="35" t="s">
        <v>40</v>
      </c>
      <c r="N226" s="7">
        <v>0.19700000000000001</v>
      </c>
      <c r="O226" s="32">
        <v>0.4</v>
      </c>
      <c r="P226" s="7">
        <v>0.22389999999999999</v>
      </c>
      <c r="Q226" s="8">
        <v>2</v>
      </c>
      <c r="R226" s="8">
        <v>43</v>
      </c>
      <c r="S226" s="8">
        <f>SUM(Dataset_AFinal[[#This Row],[Casual_user]:[Registered_user]])</f>
        <v>45</v>
      </c>
    </row>
    <row r="227" spans="1:19" x14ac:dyDescent="0.3">
      <c r="A227" s="4">
        <v>226</v>
      </c>
      <c r="B227" s="7" t="s">
        <v>88</v>
      </c>
      <c r="C227" s="6" t="s">
        <v>78</v>
      </c>
      <c r="D227" s="6" t="s">
        <v>79</v>
      </c>
      <c r="E227" s="6" t="s">
        <v>31</v>
      </c>
      <c r="F227" s="35">
        <v>16</v>
      </c>
      <c r="G227" s="15" t="str">
        <f t="shared" si="3"/>
        <v>Afternoon</v>
      </c>
      <c r="H227" s="6" t="b">
        <v>0</v>
      </c>
      <c r="I227" s="6" t="s">
        <v>54</v>
      </c>
      <c r="J227" s="6" t="str">
        <f>IF(OR(Dataset_AFinal[[#This Row],[Weekday]]="Sat",Dataset_AFinal[[#This Row],[Weekday]]="Sun"),"Weekend", "Weekday")</f>
        <v>Weekday</v>
      </c>
      <c r="K227" s="6" t="s">
        <v>32</v>
      </c>
      <c r="L227" s="6">
        <v>0.2</v>
      </c>
      <c r="M227" s="35" t="s">
        <v>40</v>
      </c>
      <c r="N227" s="7">
        <v>0.21210000000000001</v>
      </c>
      <c r="O227" s="32">
        <v>0.4</v>
      </c>
      <c r="P227" s="7">
        <v>0.1343</v>
      </c>
      <c r="Q227" s="8">
        <v>4</v>
      </c>
      <c r="R227" s="8">
        <v>70</v>
      </c>
      <c r="S227" s="8">
        <f>SUM(Dataset_AFinal[[#This Row],[Casual_user]:[Registered_user]])</f>
        <v>74</v>
      </c>
    </row>
    <row r="228" spans="1:19" x14ac:dyDescent="0.3">
      <c r="A228" s="4">
        <v>227</v>
      </c>
      <c r="B228" s="7" t="s">
        <v>88</v>
      </c>
      <c r="C228" s="6" t="s">
        <v>78</v>
      </c>
      <c r="D228" s="6" t="s">
        <v>79</v>
      </c>
      <c r="E228" s="6" t="s">
        <v>31</v>
      </c>
      <c r="F228" s="35">
        <v>17</v>
      </c>
      <c r="G228" s="15" t="str">
        <f t="shared" si="3"/>
        <v>Afternoon</v>
      </c>
      <c r="H228" s="6" t="b">
        <v>0</v>
      </c>
      <c r="I228" s="6" t="s">
        <v>54</v>
      </c>
      <c r="J228" s="6" t="str">
        <f>IF(OR(Dataset_AFinal[[#This Row],[Weekday]]="Sat",Dataset_AFinal[[#This Row],[Weekday]]="Sun"),"Weekend", "Weekday")</f>
        <v>Weekday</v>
      </c>
      <c r="K228" s="6" t="s">
        <v>32</v>
      </c>
      <c r="L228" s="6">
        <v>0.2</v>
      </c>
      <c r="M228" s="35" t="s">
        <v>40</v>
      </c>
      <c r="N228" s="7">
        <v>0.2273</v>
      </c>
      <c r="O228" s="32">
        <v>0.4</v>
      </c>
      <c r="P228" s="7">
        <v>0.1045</v>
      </c>
      <c r="Q228" s="8">
        <v>4</v>
      </c>
      <c r="R228" s="8">
        <v>174</v>
      </c>
      <c r="S228" s="8">
        <f>SUM(Dataset_AFinal[[#This Row],[Casual_user]:[Registered_user]])</f>
        <v>178</v>
      </c>
    </row>
    <row r="229" spans="1:19" x14ac:dyDescent="0.3">
      <c r="A229" s="4">
        <v>228</v>
      </c>
      <c r="B229" s="7" t="s">
        <v>88</v>
      </c>
      <c r="C229" s="6" t="s">
        <v>78</v>
      </c>
      <c r="D229" s="6" t="s">
        <v>79</v>
      </c>
      <c r="E229" s="6" t="s">
        <v>31</v>
      </c>
      <c r="F229" s="35">
        <v>18</v>
      </c>
      <c r="G229" s="15" t="str">
        <f t="shared" si="3"/>
        <v>Evening</v>
      </c>
      <c r="H229" s="6" t="b">
        <v>0</v>
      </c>
      <c r="I229" s="6" t="s">
        <v>54</v>
      </c>
      <c r="J229" s="6" t="str">
        <f>IF(OR(Dataset_AFinal[[#This Row],[Weekday]]="Sat",Dataset_AFinal[[#This Row],[Weekday]]="Sun"),"Weekend", "Weekday")</f>
        <v>Weekday</v>
      </c>
      <c r="K229" s="6" t="s">
        <v>32</v>
      </c>
      <c r="L229" s="6">
        <v>0.2</v>
      </c>
      <c r="M229" s="35" t="s">
        <v>40</v>
      </c>
      <c r="N229" s="7">
        <v>0.19700000000000001</v>
      </c>
      <c r="O229" s="32">
        <v>0.4</v>
      </c>
      <c r="P229" s="7">
        <v>0.22389999999999999</v>
      </c>
      <c r="Q229" s="8">
        <v>1</v>
      </c>
      <c r="R229" s="8">
        <v>154</v>
      </c>
      <c r="S229" s="8">
        <f>SUM(Dataset_AFinal[[#This Row],[Casual_user]:[Registered_user]])</f>
        <v>155</v>
      </c>
    </row>
    <row r="230" spans="1:19" x14ac:dyDescent="0.3">
      <c r="A230" s="4">
        <v>229</v>
      </c>
      <c r="B230" s="7" t="s">
        <v>88</v>
      </c>
      <c r="C230" s="6" t="s">
        <v>78</v>
      </c>
      <c r="D230" s="6" t="s">
        <v>79</v>
      </c>
      <c r="E230" s="6" t="s">
        <v>31</v>
      </c>
      <c r="F230" s="35">
        <v>19</v>
      </c>
      <c r="G230" s="15" t="str">
        <f t="shared" si="3"/>
        <v>Evening</v>
      </c>
      <c r="H230" s="6" t="b">
        <v>0</v>
      </c>
      <c r="I230" s="6" t="s">
        <v>54</v>
      </c>
      <c r="J230" s="6" t="str">
        <f>IF(OR(Dataset_AFinal[[#This Row],[Weekday]]="Sat",Dataset_AFinal[[#This Row],[Weekday]]="Sun"),"Weekend", "Weekday")</f>
        <v>Weekday</v>
      </c>
      <c r="K230" s="6" t="s">
        <v>32</v>
      </c>
      <c r="L230" s="6">
        <v>0.16</v>
      </c>
      <c r="M230" s="35" t="s">
        <v>40</v>
      </c>
      <c r="N230" s="7">
        <v>0.16669999999999999</v>
      </c>
      <c r="O230" s="32">
        <v>0.47</v>
      </c>
      <c r="P230" s="7">
        <v>0.16420000000000001</v>
      </c>
      <c r="Q230" s="8">
        <v>3</v>
      </c>
      <c r="R230" s="8">
        <v>92</v>
      </c>
      <c r="S230" s="8">
        <f>SUM(Dataset_AFinal[[#This Row],[Casual_user]:[Registered_user]])</f>
        <v>95</v>
      </c>
    </row>
    <row r="231" spans="1:19" x14ac:dyDescent="0.3">
      <c r="A231" s="4">
        <v>230</v>
      </c>
      <c r="B231" s="7" t="s">
        <v>88</v>
      </c>
      <c r="C231" s="6" t="s">
        <v>78</v>
      </c>
      <c r="D231" s="6" t="s">
        <v>79</v>
      </c>
      <c r="E231" s="6" t="s">
        <v>31</v>
      </c>
      <c r="F231" s="35">
        <v>20</v>
      </c>
      <c r="G231" s="15" t="str">
        <f t="shared" si="3"/>
        <v>Evening</v>
      </c>
      <c r="H231" s="6" t="b">
        <v>0</v>
      </c>
      <c r="I231" s="6" t="s">
        <v>54</v>
      </c>
      <c r="J231" s="6" t="str">
        <f>IF(OR(Dataset_AFinal[[#This Row],[Weekday]]="Sat",Dataset_AFinal[[#This Row],[Weekday]]="Sun"),"Weekend", "Weekday")</f>
        <v>Weekday</v>
      </c>
      <c r="K231" s="6" t="s">
        <v>32</v>
      </c>
      <c r="L231" s="6">
        <v>0.16</v>
      </c>
      <c r="M231" s="35" t="s">
        <v>40</v>
      </c>
      <c r="N231" s="7">
        <v>0.16669999999999999</v>
      </c>
      <c r="O231" s="32">
        <v>0.5</v>
      </c>
      <c r="P231" s="7">
        <v>0.16420000000000001</v>
      </c>
      <c r="Q231" s="8">
        <v>1</v>
      </c>
      <c r="R231" s="8">
        <v>73</v>
      </c>
      <c r="S231" s="8">
        <f>SUM(Dataset_AFinal[[#This Row],[Casual_user]:[Registered_user]])</f>
        <v>74</v>
      </c>
    </row>
    <row r="232" spans="1:19" x14ac:dyDescent="0.3">
      <c r="A232" s="4">
        <v>231</v>
      </c>
      <c r="B232" s="7" t="s">
        <v>88</v>
      </c>
      <c r="C232" s="6" t="s">
        <v>78</v>
      </c>
      <c r="D232" s="6" t="s">
        <v>79</v>
      </c>
      <c r="E232" s="6" t="s">
        <v>31</v>
      </c>
      <c r="F232" s="35">
        <v>21</v>
      </c>
      <c r="G232" s="15" t="str">
        <f t="shared" si="3"/>
        <v>Evening</v>
      </c>
      <c r="H232" s="6" t="b">
        <v>0</v>
      </c>
      <c r="I232" s="6" t="s">
        <v>54</v>
      </c>
      <c r="J232" s="6" t="str">
        <f>IF(OR(Dataset_AFinal[[#This Row],[Weekday]]="Sat",Dataset_AFinal[[#This Row],[Weekday]]="Sun"),"Weekend", "Weekday")</f>
        <v>Weekday</v>
      </c>
      <c r="K232" s="6" t="s">
        <v>32</v>
      </c>
      <c r="L232" s="6">
        <v>0.14000000000000001</v>
      </c>
      <c r="M232" s="35" t="s">
        <v>44</v>
      </c>
      <c r="N232" s="7">
        <v>0.13639999999999999</v>
      </c>
      <c r="O232" s="32">
        <v>0.59</v>
      </c>
      <c r="P232" s="7">
        <v>0.19400000000000001</v>
      </c>
      <c r="Q232" s="8">
        <v>1</v>
      </c>
      <c r="R232" s="8">
        <v>37</v>
      </c>
      <c r="S232" s="8">
        <f>SUM(Dataset_AFinal[[#This Row],[Casual_user]:[Registered_user]])</f>
        <v>38</v>
      </c>
    </row>
    <row r="233" spans="1:19" x14ac:dyDescent="0.3">
      <c r="A233" s="4">
        <v>232</v>
      </c>
      <c r="B233" s="7" t="s">
        <v>88</v>
      </c>
      <c r="C233" s="6" t="s">
        <v>78</v>
      </c>
      <c r="D233" s="6" t="s">
        <v>79</v>
      </c>
      <c r="E233" s="6" t="s">
        <v>31</v>
      </c>
      <c r="F233" s="35">
        <v>22</v>
      </c>
      <c r="G233" s="15" t="str">
        <f t="shared" si="3"/>
        <v>Evening</v>
      </c>
      <c r="H233" s="6" t="b">
        <v>0</v>
      </c>
      <c r="I233" s="6" t="s">
        <v>54</v>
      </c>
      <c r="J233" s="6" t="str">
        <f>IF(OR(Dataset_AFinal[[#This Row],[Weekday]]="Sat",Dataset_AFinal[[#This Row],[Weekday]]="Sun"),"Weekend", "Weekday")</f>
        <v>Weekday</v>
      </c>
      <c r="K233" s="6" t="s">
        <v>32</v>
      </c>
      <c r="L233" s="6">
        <v>0.14000000000000001</v>
      </c>
      <c r="M233" s="35" t="s">
        <v>44</v>
      </c>
      <c r="N233" s="7">
        <v>0.1515</v>
      </c>
      <c r="O233" s="32">
        <v>0.59</v>
      </c>
      <c r="P233" s="7">
        <v>0.16420000000000001</v>
      </c>
      <c r="Q233" s="8">
        <v>2</v>
      </c>
      <c r="R233" s="8">
        <v>22</v>
      </c>
      <c r="S233" s="8">
        <f>SUM(Dataset_AFinal[[#This Row],[Casual_user]:[Registered_user]])</f>
        <v>24</v>
      </c>
    </row>
    <row r="234" spans="1:19" x14ac:dyDescent="0.3">
      <c r="A234" s="4">
        <v>233</v>
      </c>
      <c r="B234" s="7" t="s">
        <v>88</v>
      </c>
      <c r="C234" s="6" t="s">
        <v>78</v>
      </c>
      <c r="D234" s="6" t="s">
        <v>79</v>
      </c>
      <c r="E234" s="6" t="s">
        <v>31</v>
      </c>
      <c r="F234" s="35">
        <v>23</v>
      </c>
      <c r="G234" s="15" t="str">
        <f t="shared" si="3"/>
        <v>Evening</v>
      </c>
      <c r="H234" s="6" t="b">
        <v>0</v>
      </c>
      <c r="I234" s="6" t="s">
        <v>54</v>
      </c>
      <c r="J234" s="6" t="str">
        <f>IF(OR(Dataset_AFinal[[#This Row],[Weekday]]="Sat",Dataset_AFinal[[#This Row],[Weekday]]="Sun"),"Weekend", "Weekday")</f>
        <v>Weekday</v>
      </c>
      <c r="K234" s="6" t="s">
        <v>32</v>
      </c>
      <c r="L234" s="6">
        <v>0.14000000000000001</v>
      </c>
      <c r="M234" s="35" t="s">
        <v>44</v>
      </c>
      <c r="N234" s="7">
        <v>0.1515</v>
      </c>
      <c r="O234" s="32">
        <v>0.59</v>
      </c>
      <c r="P234" s="7">
        <v>0.16420000000000001</v>
      </c>
      <c r="Q234" s="8">
        <v>0</v>
      </c>
      <c r="R234" s="8">
        <v>18</v>
      </c>
      <c r="S234" s="8">
        <f>SUM(Dataset_AFinal[[#This Row],[Casual_user]:[Registered_user]])</f>
        <v>18</v>
      </c>
    </row>
    <row r="235" spans="1:19" x14ac:dyDescent="0.3">
      <c r="A235" s="4">
        <v>234</v>
      </c>
      <c r="B235" s="7" t="s">
        <v>89</v>
      </c>
      <c r="C235" s="6" t="s">
        <v>78</v>
      </c>
      <c r="D235" s="6" t="s">
        <v>79</v>
      </c>
      <c r="E235" s="6" t="s">
        <v>31</v>
      </c>
      <c r="F235" s="35">
        <v>0</v>
      </c>
      <c r="G235" s="15" t="str">
        <f t="shared" si="3"/>
        <v>Night</v>
      </c>
      <c r="H235" s="6" t="b">
        <v>0</v>
      </c>
      <c r="I235" s="6" t="s">
        <v>55</v>
      </c>
      <c r="J235" s="6" t="str">
        <f>IF(OR(Dataset_AFinal[[#This Row],[Weekday]]="Sat",Dataset_AFinal[[#This Row],[Weekday]]="Sun"),"Weekend", "Weekday")</f>
        <v>Weekday</v>
      </c>
      <c r="K235" s="6" t="s">
        <v>32</v>
      </c>
      <c r="L235" s="6">
        <v>0.14000000000000001</v>
      </c>
      <c r="M235" s="35" t="s">
        <v>44</v>
      </c>
      <c r="N235" s="7">
        <v>0.16669999999999999</v>
      </c>
      <c r="O235" s="32">
        <v>0.59</v>
      </c>
      <c r="P235" s="7">
        <v>0.1045</v>
      </c>
      <c r="Q235" s="8">
        <v>2</v>
      </c>
      <c r="R235" s="8">
        <v>10</v>
      </c>
      <c r="S235" s="8">
        <f>SUM(Dataset_AFinal[[#This Row],[Casual_user]:[Registered_user]])</f>
        <v>12</v>
      </c>
    </row>
    <row r="236" spans="1:19" x14ac:dyDescent="0.3">
      <c r="A236" s="4">
        <v>235</v>
      </c>
      <c r="B236" s="7" t="s">
        <v>89</v>
      </c>
      <c r="C236" s="6" t="s">
        <v>78</v>
      </c>
      <c r="D236" s="6" t="s">
        <v>79</v>
      </c>
      <c r="E236" s="6" t="s">
        <v>31</v>
      </c>
      <c r="F236" s="35">
        <v>1</v>
      </c>
      <c r="G236" s="15" t="str">
        <f t="shared" si="3"/>
        <v>Night</v>
      </c>
      <c r="H236" s="6" t="b">
        <v>0</v>
      </c>
      <c r="I236" s="6" t="s">
        <v>55</v>
      </c>
      <c r="J236" s="6" t="str">
        <f>IF(OR(Dataset_AFinal[[#This Row],[Weekday]]="Sat",Dataset_AFinal[[#This Row],[Weekday]]="Sun"),"Weekend", "Weekday")</f>
        <v>Weekday</v>
      </c>
      <c r="K236" s="6" t="s">
        <v>32</v>
      </c>
      <c r="L236" s="6">
        <v>0.14000000000000001</v>
      </c>
      <c r="M236" s="35" t="s">
        <v>44</v>
      </c>
      <c r="N236" s="7">
        <v>0.1515</v>
      </c>
      <c r="O236" s="32">
        <v>0.59</v>
      </c>
      <c r="P236" s="7">
        <v>0.16420000000000001</v>
      </c>
      <c r="Q236" s="8">
        <v>0</v>
      </c>
      <c r="R236" s="8">
        <v>3</v>
      </c>
      <c r="S236" s="8">
        <f>SUM(Dataset_AFinal[[#This Row],[Casual_user]:[Registered_user]])</f>
        <v>3</v>
      </c>
    </row>
    <row r="237" spans="1:19" x14ac:dyDescent="0.3">
      <c r="A237" s="4">
        <v>236</v>
      </c>
      <c r="B237" s="7" t="s">
        <v>89</v>
      </c>
      <c r="C237" s="6" t="s">
        <v>78</v>
      </c>
      <c r="D237" s="6" t="s">
        <v>79</v>
      </c>
      <c r="E237" s="6" t="s">
        <v>31</v>
      </c>
      <c r="F237" s="35">
        <v>2</v>
      </c>
      <c r="G237" s="15" t="str">
        <f t="shared" si="3"/>
        <v>Night</v>
      </c>
      <c r="H237" s="6" t="b">
        <v>0</v>
      </c>
      <c r="I237" s="6" t="s">
        <v>55</v>
      </c>
      <c r="J237" s="6" t="str">
        <f>IF(OR(Dataset_AFinal[[#This Row],[Weekday]]="Sat",Dataset_AFinal[[#This Row],[Weekday]]="Sun"),"Weekend", "Weekday")</f>
        <v>Weekday</v>
      </c>
      <c r="K237" s="6" t="s">
        <v>33</v>
      </c>
      <c r="L237" s="6">
        <v>0.16</v>
      </c>
      <c r="M237" s="35" t="s">
        <v>40</v>
      </c>
      <c r="N237" s="7">
        <v>0.1515</v>
      </c>
      <c r="O237" s="32">
        <v>0.55000000000000004</v>
      </c>
      <c r="P237" s="7">
        <v>0.19400000000000001</v>
      </c>
      <c r="Q237" s="8">
        <v>0</v>
      </c>
      <c r="R237" s="8">
        <v>3</v>
      </c>
      <c r="S237" s="8">
        <f>SUM(Dataset_AFinal[[#This Row],[Casual_user]:[Registered_user]])</f>
        <v>3</v>
      </c>
    </row>
    <row r="238" spans="1:19" x14ac:dyDescent="0.3">
      <c r="A238" s="4">
        <v>237</v>
      </c>
      <c r="B238" s="7" t="s">
        <v>89</v>
      </c>
      <c r="C238" s="6" t="s">
        <v>78</v>
      </c>
      <c r="D238" s="6" t="s">
        <v>79</v>
      </c>
      <c r="E238" s="6" t="s">
        <v>31</v>
      </c>
      <c r="F238" s="35">
        <v>5</v>
      </c>
      <c r="G238" s="15" t="str">
        <f t="shared" si="3"/>
        <v>Night</v>
      </c>
      <c r="H238" s="6" t="b">
        <v>0</v>
      </c>
      <c r="I238" s="6" t="s">
        <v>55</v>
      </c>
      <c r="J238" s="6" t="str">
        <f>IF(OR(Dataset_AFinal[[#This Row],[Weekday]]="Sat",Dataset_AFinal[[#This Row],[Weekday]]="Sun"),"Weekend", "Weekday")</f>
        <v>Weekday</v>
      </c>
      <c r="K238" s="6" t="s">
        <v>33</v>
      </c>
      <c r="L238" s="6">
        <v>0.16</v>
      </c>
      <c r="M238" s="35" t="s">
        <v>40</v>
      </c>
      <c r="N238" s="7">
        <v>0.18179999999999999</v>
      </c>
      <c r="O238" s="32">
        <v>0.55000000000000004</v>
      </c>
      <c r="P238" s="7">
        <v>0.1343</v>
      </c>
      <c r="Q238" s="8">
        <v>0</v>
      </c>
      <c r="R238" s="8">
        <v>6</v>
      </c>
      <c r="S238" s="8">
        <f>SUM(Dataset_AFinal[[#This Row],[Casual_user]:[Registered_user]])</f>
        <v>6</v>
      </c>
    </row>
    <row r="239" spans="1:19" x14ac:dyDescent="0.3">
      <c r="A239" s="4">
        <v>238</v>
      </c>
      <c r="B239" s="7" t="s">
        <v>89</v>
      </c>
      <c r="C239" s="6" t="s">
        <v>78</v>
      </c>
      <c r="D239" s="6" t="s">
        <v>79</v>
      </c>
      <c r="E239" s="6" t="s">
        <v>31</v>
      </c>
      <c r="F239" s="35">
        <v>6</v>
      </c>
      <c r="G239" s="15" t="str">
        <f t="shared" si="3"/>
        <v>Morning</v>
      </c>
      <c r="H239" s="6" t="b">
        <v>0</v>
      </c>
      <c r="I239" s="6" t="s">
        <v>55</v>
      </c>
      <c r="J239" s="6" t="str">
        <f>IF(OR(Dataset_AFinal[[#This Row],[Weekday]]="Sat",Dataset_AFinal[[#This Row],[Weekday]]="Sun"),"Weekend", "Weekday")</f>
        <v>Weekday</v>
      </c>
      <c r="K239" s="6" t="s">
        <v>33</v>
      </c>
      <c r="L239" s="6">
        <v>0.16</v>
      </c>
      <c r="M239" s="35" t="s">
        <v>40</v>
      </c>
      <c r="N239" s="7">
        <v>0.18179999999999999</v>
      </c>
      <c r="O239" s="32">
        <v>0.55000000000000004</v>
      </c>
      <c r="P239" s="7">
        <v>0.1343</v>
      </c>
      <c r="Q239" s="8">
        <v>0</v>
      </c>
      <c r="R239" s="8">
        <v>27</v>
      </c>
      <c r="S239" s="8">
        <f>SUM(Dataset_AFinal[[#This Row],[Casual_user]:[Registered_user]])</f>
        <v>27</v>
      </c>
    </row>
    <row r="240" spans="1:19" x14ac:dyDescent="0.3">
      <c r="A240" s="4">
        <v>239</v>
      </c>
      <c r="B240" s="7" t="s">
        <v>89</v>
      </c>
      <c r="C240" s="6" t="s">
        <v>78</v>
      </c>
      <c r="D240" s="6" t="s">
        <v>79</v>
      </c>
      <c r="E240" s="6" t="s">
        <v>31</v>
      </c>
      <c r="F240" s="35">
        <v>7</v>
      </c>
      <c r="G240" s="15" t="str">
        <f t="shared" si="3"/>
        <v>Morning</v>
      </c>
      <c r="H240" s="6" t="b">
        <v>0</v>
      </c>
      <c r="I240" s="6" t="s">
        <v>55</v>
      </c>
      <c r="J240" s="6" t="str">
        <f>IF(OR(Dataset_AFinal[[#This Row],[Weekday]]="Sat",Dataset_AFinal[[#This Row],[Weekday]]="Sun"),"Weekend", "Weekday")</f>
        <v>Weekday</v>
      </c>
      <c r="K240" s="6" t="s">
        <v>33</v>
      </c>
      <c r="L240" s="6">
        <v>0.16</v>
      </c>
      <c r="M240" s="35" t="s">
        <v>40</v>
      </c>
      <c r="N240" s="7">
        <v>0.2273</v>
      </c>
      <c r="O240" s="32">
        <v>0.55000000000000004</v>
      </c>
      <c r="P240" s="7">
        <v>0</v>
      </c>
      <c r="Q240" s="8">
        <v>2</v>
      </c>
      <c r="R240" s="8">
        <v>97</v>
      </c>
      <c r="S240" s="8">
        <f>SUM(Dataset_AFinal[[#This Row],[Casual_user]:[Registered_user]])</f>
        <v>99</v>
      </c>
    </row>
    <row r="241" spans="1:19" x14ac:dyDescent="0.3">
      <c r="A241" s="4">
        <v>240</v>
      </c>
      <c r="B241" s="7" t="s">
        <v>89</v>
      </c>
      <c r="C241" s="6" t="s">
        <v>78</v>
      </c>
      <c r="D241" s="6" t="s">
        <v>79</v>
      </c>
      <c r="E241" s="6" t="s">
        <v>31</v>
      </c>
      <c r="F241" s="35">
        <v>8</v>
      </c>
      <c r="G241" s="15" t="str">
        <f t="shared" si="3"/>
        <v>Morning</v>
      </c>
      <c r="H241" s="6" t="b">
        <v>0</v>
      </c>
      <c r="I241" s="6" t="s">
        <v>55</v>
      </c>
      <c r="J241" s="6" t="str">
        <f>IF(OR(Dataset_AFinal[[#This Row],[Weekday]]="Sat",Dataset_AFinal[[#This Row],[Weekday]]="Sun"),"Weekend", "Weekday")</f>
        <v>Weekday</v>
      </c>
      <c r="K241" s="6" t="s">
        <v>33</v>
      </c>
      <c r="L241" s="6">
        <v>0.18</v>
      </c>
      <c r="M241" s="35" t="s">
        <v>40</v>
      </c>
      <c r="N241" s="7">
        <v>0.21210000000000001</v>
      </c>
      <c r="O241" s="32">
        <v>0.51</v>
      </c>
      <c r="P241" s="7">
        <v>8.9599999999999999E-2</v>
      </c>
      <c r="Q241" s="8">
        <v>3</v>
      </c>
      <c r="R241" s="8">
        <v>214</v>
      </c>
      <c r="S241" s="8">
        <f>SUM(Dataset_AFinal[[#This Row],[Casual_user]:[Registered_user]])</f>
        <v>217</v>
      </c>
    </row>
    <row r="242" spans="1:19" x14ac:dyDescent="0.3">
      <c r="A242" s="4">
        <v>241</v>
      </c>
      <c r="B242" s="7" t="s">
        <v>89</v>
      </c>
      <c r="C242" s="6" t="s">
        <v>78</v>
      </c>
      <c r="D242" s="6" t="s">
        <v>79</v>
      </c>
      <c r="E242" s="6" t="s">
        <v>31</v>
      </c>
      <c r="F242" s="35">
        <v>9</v>
      </c>
      <c r="G242" s="15" t="str">
        <f t="shared" si="3"/>
        <v>Morning</v>
      </c>
      <c r="H242" s="6" t="b">
        <v>0</v>
      </c>
      <c r="I242" s="6" t="s">
        <v>55</v>
      </c>
      <c r="J242" s="6" t="str">
        <f>IF(OR(Dataset_AFinal[[#This Row],[Weekday]]="Sat",Dataset_AFinal[[#This Row],[Weekday]]="Sun"),"Weekend", "Weekday")</f>
        <v>Weekday</v>
      </c>
      <c r="K242" s="6" t="s">
        <v>33</v>
      </c>
      <c r="L242" s="6">
        <v>0.18</v>
      </c>
      <c r="M242" s="35" t="s">
        <v>40</v>
      </c>
      <c r="N242" s="7">
        <v>0.19700000000000001</v>
      </c>
      <c r="O242" s="32">
        <v>0.51</v>
      </c>
      <c r="P242" s="7">
        <v>0.16420000000000001</v>
      </c>
      <c r="Q242" s="8">
        <v>3</v>
      </c>
      <c r="R242" s="8">
        <v>127</v>
      </c>
      <c r="S242" s="8">
        <f>SUM(Dataset_AFinal[[#This Row],[Casual_user]:[Registered_user]])</f>
        <v>130</v>
      </c>
    </row>
    <row r="243" spans="1:19" x14ac:dyDescent="0.3">
      <c r="A243" s="4">
        <v>242</v>
      </c>
      <c r="B243" s="7" t="s">
        <v>89</v>
      </c>
      <c r="C243" s="6" t="s">
        <v>78</v>
      </c>
      <c r="D243" s="6" t="s">
        <v>79</v>
      </c>
      <c r="E243" s="6" t="s">
        <v>31</v>
      </c>
      <c r="F243" s="35">
        <v>10</v>
      </c>
      <c r="G243" s="15" t="str">
        <f t="shared" si="3"/>
        <v>Morning</v>
      </c>
      <c r="H243" s="6" t="b">
        <v>0</v>
      </c>
      <c r="I243" s="6" t="s">
        <v>55</v>
      </c>
      <c r="J243" s="6" t="str">
        <f>IF(OR(Dataset_AFinal[[#This Row],[Weekday]]="Sat",Dataset_AFinal[[#This Row],[Weekday]]="Sun"),"Weekend", "Weekday")</f>
        <v>Weekday</v>
      </c>
      <c r="K243" s="6" t="s">
        <v>33</v>
      </c>
      <c r="L243" s="6">
        <v>0.2</v>
      </c>
      <c r="M243" s="35" t="s">
        <v>40</v>
      </c>
      <c r="N243" s="7">
        <v>0.21210000000000001</v>
      </c>
      <c r="O243" s="32">
        <v>0.51</v>
      </c>
      <c r="P243" s="7">
        <v>0.16420000000000001</v>
      </c>
      <c r="Q243" s="8">
        <v>3</v>
      </c>
      <c r="R243" s="8">
        <v>51</v>
      </c>
      <c r="S243" s="8">
        <f>SUM(Dataset_AFinal[[#This Row],[Casual_user]:[Registered_user]])</f>
        <v>54</v>
      </c>
    </row>
    <row r="244" spans="1:19" x14ac:dyDescent="0.3">
      <c r="A244" s="4">
        <v>243</v>
      </c>
      <c r="B244" s="7" t="s">
        <v>89</v>
      </c>
      <c r="C244" s="6" t="s">
        <v>78</v>
      </c>
      <c r="D244" s="6" t="s">
        <v>79</v>
      </c>
      <c r="E244" s="6" t="s">
        <v>31</v>
      </c>
      <c r="F244" s="35">
        <v>11</v>
      </c>
      <c r="G244" s="15" t="str">
        <f t="shared" si="3"/>
        <v>Morning</v>
      </c>
      <c r="H244" s="6" t="b">
        <v>0</v>
      </c>
      <c r="I244" s="6" t="s">
        <v>55</v>
      </c>
      <c r="J244" s="6" t="str">
        <f>IF(OR(Dataset_AFinal[[#This Row],[Weekday]]="Sat",Dataset_AFinal[[#This Row],[Weekday]]="Sun"),"Weekend", "Weekday")</f>
        <v>Weekday</v>
      </c>
      <c r="K244" s="6" t="s">
        <v>33</v>
      </c>
      <c r="L244" s="6">
        <v>0.2</v>
      </c>
      <c r="M244" s="35" t="s">
        <v>40</v>
      </c>
      <c r="N244" s="7">
        <v>0.21210000000000001</v>
      </c>
      <c r="O244" s="32">
        <v>0.47</v>
      </c>
      <c r="P244" s="7">
        <v>0.1343</v>
      </c>
      <c r="Q244" s="8">
        <v>4</v>
      </c>
      <c r="R244" s="8">
        <v>31</v>
      </c>
      <c r="S244" s="8">
        <f>SUM(Dataset_AFinal[[#This Row],[Casual_user]:[Registered_user]])</f>
        <v>35</v>
      </c>
    </row>
    <row r="245" spans="1:19" x14ac:dyDescent="0.3">
      <c r="A245" s="4">
        <v>244</v>
      </c>
      <c r="B245" s="7" t="s">
        <v>89</v>
      </c>
      <c r="C245" s="6" t="s">
        <v>78</v>
      </c>
      <c r="D245" s="6" t="s">
        <v>79</v>
      </c>
      <c r="E245" s="6" t="s">
        <v>31</v>
      </c>
      <c r="F245" s="35">
        <v>12</v>
      </c>
      <c r="G245" s="15" t="str">
        <f t="shared" si="3"/>
        <v>Afternoon</v>
      </c>
      <c r="H245" s="6" t="b">
        <v>0</v>
      </c>
      <c r="I245" s="6" t="s">
        <v>55</v>
      </c>
      <c r="J245" s="6" t="str">
        <f>IF(OR(Dataset_AFinal[[#This Row],[Weekday]]="Sat",Dataset_AFinal[[#This Row],[Weekday]]="Sun"),"Weekend", "Weekday")</f>
        <v>Weekday</v>
      </c>
      <c r="K245" s="6" t="s">
        <v>33</v>
      </c>
      <c r="L245" s="6">
        <v>0.2</v>
      </c>
      <c r="M245" s="35" t="s">
        <v>40</v>
      </c>
      <c r="N245" s="7">
        <v>0.2273</v>
      </c>
      <c r="O245" s="32">
        <v>0.51</v>
      </c>
      <c r="P245" s="7">
        <v>0.1045</v>
      </c>
      <c r="Q245" s="8">
        <v>2</v>
      </c>
      <c r="R245" s="8">
        <v>55</v>
      </c>
      <c r="S245" s="8">
        <f>SUM(Dataset_AFinal[[#This Row],[Casual_user]:[Registered_user]])</f>
        <v>57</v>
      </c>
    </row>
    <row r="246" spans="1:19" x14ac:dyDescent="0.3">
      <c r="A246" s="4">
        <v>245</v>
      </c>
      <c r="B246" s="7" t="s">
        <v>89</v>
      </c>
      <c r="C246" s="6" t="s">
        <v>78</v>
      </c>
      <c r="D246" s="6" t="s">
        <v>79</v>
      </c>
      <c r="E246" s="6" t="s">
        <v>31</v>
      </c>
      <c r="F246" s="35">
        <v>13</v>
      </c>
      <c r="G246" s="15" t="str">
        <f t="shared" si="3"/>
        <v>Afternoon</v>
      </c>
      <c r="H246" s="6" t="b">
        <v>0</v>
      </c>
      <c r="I246" s="6" t="s">
        <v>55</v>
      </c>
      <c r="J246" s="6" t="str">
        <f>IF(OR(Dataset_AFinal[[#This Row],[Weekday]]="Sat",Dataset_AFinal[[#This Row],[Weekday]]="Sun"),"Weekend", "Weekday")</f>
        <v>Weekday</v>
      </c>
      <c r="K246" s="6" t="s">
        <v>33</v>
      </c>
      <c r="L246" s="6">
        <v>0.2</v>
      </c>
      <c r="M246" s="35" t="s">
        <v>40</v>
      </c>
      <c r="N246" s="7">
        <v>0.2273</v>
      </c>
      <c r="O246" s="32">
        <v>0.59</v>
      </c>
      <c r="P246" s="7">
        <v>8.9599999999999999E-2</v>
      </c>
      <c r="Q246" s="8">
        <v>6</v>
      </c>
      <c r="R246" s="8">
        <v>46</v>
      </c>
      <c r="S246" s="8">
        <f>SUM(Dataset_AFinal[[#This Row],[Casual_user]:[Registered_user]])</f>
        <v>52</v>
      </c>
    </row>
    <row r="247" spans="1:19" x14ac:dyDescent="0.3">
      <c r="A247" s="4">
        <v>246</v>
      </c>
      <c r="B247" s="7" t="s">
        <v>89</v>
      </c>
      <c r="C247" s="6" t="s">
        <v>78</v>
      </c>
      <c r="D247" s="6" t="s">
        <v>79</v>
      </c>
      <c r="E247" s="6" t="s">
        <v>31</v>
      </c>
      <c r="F247" s="35">
        <v>14</v>
      </c>
      <c r="G247" s="15" t="str">
        <f t="shared" si="3"/>
        <v>Afternoon</v>
      </c>
      <c r="H247" s="6" t="b">
        <v>0</v>
      </c>
      <c r="I247" s="6" t="s">
        <v>55</v>
      </c>
      <c r="J247" s="6" t="str">
        <f>IF(OR(Dataset_AFinal[[#This Row],[Weekday]]="Sat",Dataset_AFinal[[#This Row],[Weekday]]="Sun"),"Weekend", "Weekday")</f>
        <v>Weekday</v>
      </c>
      <c r="K247" s="6" t="s">
        <v>33</v>
      </c>
      <c r="L247" s="6">
        <v>0.2</v>
      </c>
      <c r="M247" s="35" t="s">
        <v>40</v>
      </c>
      <c r="N247" s="7">
        <v>0.2273</v>
      </c>
      <c r="O247" s="32">
        <v>0.59</v>
      </c>
      <c r="P247" s="7">
        <v>8.9599999999999999E-2</v>
      </c>
      <c r="Q247" s="8">
        <v>3</v>
      </c>
      <c r="R247" s="8">
        <v>60</v>
      </c>
      <c r="S247" s="8">
        <f>SUM(Dataset_AFinal[[#This Row],[Casual_user]:[Registered_user]])</f>
        <v>63</v>
      </c>
    </row>
    <row r="248" spans="1:19" x14ac:dyDescent="0.3">
      <c r="A248" s="4">
        <v>247</v>
      </c>
      <c r="B248" s="7" t="s">
        <v>89</v>
      </c>
      <c r="C248" s="6" t="s">
        <v>78</v>
      </c>
      <c r="D248" s="6" t="s">
        <v>79</v>
      </c>
      <c r="E248" s="6" t="s">
        <v>31</v>
      </c>
      <c r="F248" s="35">
        <v>15</v>
      </c>
      <c r="G248" s="15" t="str">
        <f t="shared" si="3"/>
        <v>Afternoon</v>
      </c>
      <c r="H248" s="6" t="b">
        <v>0</v>
      </c>
      <c r="I248" s="6" t="s">
        <v>55</v>
      </c>
      <c r="J248" s="6" t="str">
        <f>IF(OR(Dataset_AFinal[[#This Row],[Weekday]]="Sat",Dataset_AFinal[[#This Row],[Weekday]]="Sun"),"Weekend", "Weekday")</f>
        <v>Weekday</v>
      </c>
      <c r="K248" s="6" t="s">
        <v>33</v>
      </c>
      <c r="L248" s="6">
        <v>0.16</v>
      </c>
      <c r="M248" s="35" t="s">
        <v>40</v>
      </c>
      <c r="N248" s="7">
        <v>0.19700000000000001</v>
      </c>
      <c r="O248" s="32">
        <v>0.8</v>
      </c>
      <c r="P248" s="7">
        <v>8.9599999999999999E-2</v>
      </c>
      <c r="Q248" s="8">
        <v>2</v>
      </c>
      <c r="R248" s="8">
        <v>45</v>
      </c>
      <c r="S248" s="8">
        <f>SUM(Dataset_AFinal[[#This Row],[Casual_user]:[Registered_user]])</f>
        <v>47</v>
      </c>
    </row>
    <row r="249" spans="1:19" x14ac:dyDescent="0.3">
      <c r="A249" s="4">
        <v>248</v>
      </c>
      <c r="B249" s="7" t="s">
        <v>89</v>
      </c>
      <c r="C249" s="6" t="s">
        <v>78</v>
      </c>
      <c r="D249" s="6" t="s">
        <v>79</v>
      </c>
      <c r="E249" s="6" t="s">
        <v>31</v>
      </c>
      <c r="F249" s="35">
        <v>16</v>
      </c>
      <c r="G249" s="15" t="str">
        <f t="shared" si="3"/>
        <v>Afternoon</v>
      </c>
      <c r="H249" s="6" t="b">
        <v>0</v>
      </c>
      <c r="I249" s="6" t="s">
        <v>55</v>
      </c>
      <c r="J249" s="6" t="str">
        <f>IF(OR(Dataset_AFinal[[#This Row],[Weekday]]="Sat",Dataset_AFinal[[#This Row],[Weekday]]="Sun"),"Weekend", "Weekday")</f>
        <v>Weekday</v>
      </c>
      <c r="K249" s="6" t="s">
        <v>33</v>
      </c>
      <c r="L249" s="6">
        <v>0.16</v>
      </c>
      <c r="M249" s="35" t="s">
        <v>40</v>
      </c>
      <c r="N249" s="7">
        <v>0.1515</v>
      </c>
      <c r="O249" s="32">
        <v>0.86</v>
      </c>
      <c r="P249" s="7">
        <v>0.22389999999999999</v>
      </c>
      <c r="Q249" s="8">
        <v>4</v>
      </c>
      <c r="R249" s="8">
        <v>72</v>
      </c>
      <c r="S249" s="8">
        <f>SUM(Dataset_AFinal[[#This Row],[Casual_user]:[Registered_user]])</f>
        <v>76</v>
      </c>
    </row>
    <row r="250" spans="1:19" x14ac:dyDescent="0.3">
      <c r="A250" s="4">
        <v>249</v>
      </c>
      <c r="B250" s="7" t="s">
        <v>89</v>
      </c>
      <c r="C250" s="6" t="s">
        <v>78</v>
      </c>
      <c r="D250" s="6" t="s">
        <v>79</v>
      </c>
      <c r="E250" s="6" t="s">
        <v>31</v>
      </c>
      <c r="F250" s="35">
        <v>17</v>
      </c>
      <c r="G250" s="15" t="str">
        <f t="shared" si="3"/>
        <v>Afternoon</v>
      </c>
      <c r="H250" s="6" t="b">
        <v>0</v>
      </c>
      <c r="I250" s="6" t="s">
        <v>55</v>
      </c>
      <c r="J250" s="6" t="str">
        <f>IF(OR(Dataset_AFinal[[#This Row],[Weekday]]="Sat",Dataset_AFinal[[#This Row],[Weekday]]="Sun"),"Weekend", "Weekday")</f>
        <v>Weekday</v>
      </c>
      <c r="K250" s="6" t="s">
        <v>33</v>
      </c>
      <c r="L250" s="6">
        <v>0.16</v>
      </c>
      <c r="M250" s="35" t="s">
        <v>40</v>
      </c>
      <c r="N250" s="7">
        <v>0.1515</v>
      </c>
      <c r="O250" s="32">
        <v>0.86</v>
      </c>
      <c r="P250" s="7">
        <v>0.22389999999999999</v>
      </c>
      <c r="Q250" s="8">
        <v>6</v>
      </c>
      <c r="R250" s="8">
        <v>130</v>
      </c>
      <c r="S250" s="8">
        <f>SUM(Dataset_AFinal[[#This Row],[Casual_user]:[Registered_user]])</f>
        <v>136</v>
      </c>
    </row>
    <row r="251" spans="1:19" x14ac:dyDescent="0.3">
      <c r="A251" s="4">
        <v>250</v>
      </c>
      <c r="B251" s="7" t="s">
        <v>89</v>
      </c>
      <c r="C251" s="6" t="s">
        <v>78</v>
      </c>
      <c r="D251" s="6" t="s">
        <v>79</v>
      </c>
      <c r="E251" s="6" t="s">
        <v>31</v>
      </c>
      <c r="F251" s="35">
        <v>18</v>
      </c>
      <c r="G251" s="15" t="str">
        <f t="shared" si="3"/>
        <v>Evening</v>
      </c>
      <c r="H251" s="6" t="b">
        <v>0</v>
      </c>
      <c r="I251" s="6" t="s">
        <v>55</v>
      </c>
      <c r="J251" s="6" t="str">
        <f>IF(OR(Dataset_AFinal[[#This Row],[Weekday]]="Sat",Dataset_AFinal[[#This Row],[Weekday]]="Sun"),"Weekend", "Weekday")</f>
        <v>Weekday</v>
      </c>
      <c r="K251" s="6" t="s">
        <v>34</v>
      </c>
      <c r="L251" s="6">
        <v>0.16</v>
      </c>
      <c r="M251" s="35" t="s">
        <v>40</v>
      </c>
      <c r="N251" s="7">
        <v>0.18179999999999999</v>
      </c>
      <c r="O251" s="32">
        <v>0.93</v>
      </c>
      <c r="P251" s="7">
        <v>0.1045</v>
      </c>
      <c r="Q251" s="8">
        <v>1</v>
      </c>
      <c r="R251" s="8">
        <v>94</v>
      </c>
      <c r="S251" s="8">
        <f>SUM(Dataset_AFinal[[#This Row],[Casual_user]:[Registered_user]])</f>
        <v>95</v>
      </c>
    </row>
    <row r="252" spans="1:19" x14ac:dyDescent="0.3">
      <c r="A252" s="4">
        <v>251</v>
      </c>
      <c r="B252" s="7" t="s">
        <v>89</v>
      </c>
      <c r="C252" s="6" t="s">
        <v>78</v>
      </c>
      <c r="D252" s="6" t="s">
        <v>79</v>
      </c>
      <c r="E252" s="6" t="s">
        <v>31</v>
      </c>
      <c r="F252" s="35">
        <v>19</v>
      </c>
      <c r="G252" s="15" t="str">
        <f t="shared" si="3"/>
        <v>Evening</v>
      </c>
      <c r="H252" s="6" t="b">
        <v>0</v>
      </c>
      <c r="I252" s="6" t="s">
        <v>55</v>
      </c>
      <c r="J252" s="6" t="str">
        <f>IF(OR(Dataset_AFinal[[#This Row],[Weekday]]="Sat",Dataset_AFinal[[#This Row],[Weekday]]="Sun"),"Weekend", "Weekday")</f>
        <v>Weekday</v>
      </c>
      <c r="K252" s="6" t="s">
        <v>34</v>
      </c>
      <c r="L252" s="6">
        <v>0.16</v>
      </c>
      <c r="M252" s="35" t="s">
        <v>40</v>
      </c>
      <c r="N252" s="7">
        <v>0.2273</v>
      </c>
      <c r="O252" s="32">
        <v>0.93</v>
      </c>
      <c r="P252" s="7">
        <v>0</v>
      </c>
      <c r="Q252" s="8">
        <v>0</v>
      </c>
      <c r="R252" s="8">
        <v>51</v>
      </c>
      <c r="S252" s="8">
        <f>SUM(Dataset_AFinal[[#This Row],[Casual_user]:[Registered_user]])</f>
        <v>51</v>
      </c>
    </row>
    <row r="253" spans="1:19" x14ac:dyDescent="0.3">
      <c r="A253" s="4">
        <v>252</v>
      </c>
      <c r="B253" s="7" t="s">
        <v>89</v>
      </c>
      <c r="C253" s="6" t="s">
        <v>78</v>
      </c>
      <c r="D253" s="6" t="s">
        <v>79</v>
      </c>
      <c r="E253" s="6" t="s">
        <v>31</v>
      </c>
      <c r="F253" s="35">
        <v>20</v>
      </c>
      <c r="G253" s="15" t="str">
        <f t="shared" si="3"/>
        <v>Evening</v>
      </c>
      <c r="H253" s="6" t="b">
        <v>0</v>
      </c>
      <c r="I253" s="6" t="s">
        <v>55</v>
      </c>
      <c r="J253" s="6" t="str">
        <f>IF(OR(Dataset_AFinal[[#This Row],[Weekday]]="Sat",Dataset_AFinal[[#This Row],[Weekday]]="Sun"),"Weekend", "Weekday")</f>
        <v>Weekday</v>
      </c>
      <c r="K253" s="6" t="s">
        <v>34</v>
      </c>
      <c r="L253" s="6">
        <v>0.16</v>
      </c>
      <c r="M253" s="35" t="s">
        <v>40</v>
      </c>
      <c r="N253" s="7">
        <v>0.1515</v>
      </c>
      <c r="O253" s="32">
        <v>0.93</v>
      </c>
      <c r="P253" s="7">
        <v>0.19400000000000001</v>
      </c>
      <c r="Q253" s="8">
        <v>0</v>
      </c>
      <c r="R253" s="8">
        <v>32</v>
      </c>
      <c r="S253" s="8">
        <f>SUM(Dataset_AFinal[[#This Row],[Casual_user]:[Registered_user]])</f>
        <v>32</v>
      </c>
    </row>
    <row r="254" spans="1:19" x14ac:dyDescent="0.3">
      <c r="A254" s="4">
        <v>253</v>
      </c>
      <c r="B254" s="7" t="s">
        <v>89</v>
      </c>
      <c r="C254" s="6" t="s">
        <v>78</v>
      </c>
      <c r="D254" s="6" t="s">
        <v>79</v>
      </c>
      <c r="E254" s="6" t="s">
        <v>31</v>
      </c>
      <c r="F254" s="35">
        <v>21</v>
      </c>
      <c r="G254" s="15" t="str">
        <f t="shared" si="3"/>
        <v>Evening</v>
      </c>
      <c r="H254" s="6" t="b">
        <v>0</v>
      </c>
      <c r="I254" s="6" t="s">
        <v>55</v>
      </c>
      <c r="J254" s="6" t="str">
        <f>IF(OR(Dataset_AFinal[[#This Row],[Weekday]]="Sat",Dataset_AFinal[[#This Row],[Weekday]]="Sun"),"Weekend", "Weekday")</f>
        <v>Weekday</v>
      </c>
      <c r="K254" s="6" t="s">
        <v>34</v>
      </c>
      <c r="L254" s="6">
        <v>0.16</v>
      </c>
      <c r="M254" s="35" t="s">
        <v>40</v>
      </c>
      <c r="N254" s="7">
        <v>0.19700000000000001</v>
      </c>
      <c r="O254" s="32">
        <v>0.86</v>
      </c>
      <c r="P254" s="7">
        <v>8.9599999999999999E-2</v>
      </c>
      <c r="Q254" s="8">
        <v>0</v>
      </c>
      <c r="R254" s="8">
        <v>20</v>
      </c>
      <c r="S254" s="8">
        <f>SUM(Dataset_AFinal[[#This Row],[Casual_user]:[Registered_user]])</f>
        <v>20</v>
      </c>
    </row>
    <row r="255" spans="1:19" x14ac:dyDescent="0.3">
      <c r="A255" s="4">
        <v>254</v>
      </c>
      <c r="B255" s="7" t="s">
        <v>89</v>
      </c>
      <c r="C255" s="6" t="s">
        <v>78</v>
      </c>
      <c r="D255" s="6" t="s">
        <v>79</v>
      </c>
      <c r="E255" s="6" t="s">
        <v>31</v>
      </c>
      <c r="F255" s="35">
        <v>22</v>
      </c>
      <c r="G255" s="15" t="str">
        <f t="shared" si="3"/>
        <v>Evening</v>
      </c>
      <c r="H255" s="6" t="b">
        <v>0</v>
      </c>
      <c r="I255" s="6" t="s">
        <v>55</v>
      </c>
      <c r="J255" s="6" t="str">
        <f>IF(OR(Dataset_AFinal[[#This Row],[Weekday]]="Sat",Dataset_AFinal[[#This Row],[Weekday]]="Sun"),"Weekend", "Weekday")</f>
        <v>Weekday</v>
      </c>
      <c r="K255" s="6" t="s">
        <v>34</v>
      </c>
      <c r="L255" s="6">
        <v>0.16</v>
      </c>
      <c r="M255" s="35" t="s">
        <v>40</v>
      </c>
      <c r="N255" s="7">
        <v>0.18179999999999999</v>
      </c>
      <c r="O255" s="32">
        <v>0.93</v>
      </c>
      <c r="P255" s="7">
        <v>0.1045</v>
      </c>
      <c r="Q255" s="8">
        <v>1</v>
      </c>
      <c r="R255" s="8">
        <v>28</v>
      </c>
      <c r="S255" s="8">
        <f>SUM(Dataset_AFinal[[#This Row],[Casual_user]:[Registered_user]])</f>
        <v>29</v>
      </c>
    </row>
    <row r="256" spans="1:19" x14ac:dyDescent="0.3">
      <c r="A256" s="4">
        <v>255</v>
      </c>
      <c r="B256" s="7" t="s">
        <v>89</v>
      </c>
      <c r="C256" s="6" t="s">
        <v>78</v>
      </c>
      <c r="D256" s="6" t="s">
        <v>79</v>
      </c>
      <c r="E256" s="6" t="s">
        <v>31</v>
      </c>
      <c r="F256" s="35">
        <v>23</v>
      </c>
      <c r="G256" s="15" t="str">
        <f t="shared" si="3"/>
        <v>Evening</v>
      </c>
      <c r="H256" s="6" t="b">
        <v>0</v>
      </c>
      <c r="I256" s="6" t="s">
        <v>55</v>
      </c>
      <c r="J256" s="6" t="str">
        <f>IF(OR(Dataset_AFinal[[#This Row],[Weekday]]="Sat",Dataset_AFinal[[#This Row],[Weekday]]="Sun"),"Weekend", "Weekday")</f>
        <v>Weekday</v>
      </c>
      <c r="K256" s="6" t="s">
        <v>34</v>
      </c>
      <c r="L256" s="6">
        <v>0.16</v>
      </c>
      <c r="M256" s="35" t="s">
        <v>40</v>
      </c>
      <c r="N256" s="7">
        <v>0.19700000000000001</v>
      </c>
      <c r="O256" s="32">
        <v>0.93</v>
      </c>
      <c r="P256" s="7">
        <v>8.9599999999999999E-2</v>
      </c>
      <c r="Q256" s="8">
        <v>1</v>
      </c>
      <c r="R256" s="8">
        <v>18</v>
      </c>
      <c r="S256" s="8">
        <f>SUM(Dataset_AFinal[[#This Row],[Casual_user]:[Registered_user]])</f>
        <v>19</v>
      </c>
    </row>
    <row r="257" spans="1:19" x14ac:dyDescent="0.3">
      <c r="A257" s="4">
        <v>256</v>
      </c>
      <c r="B257" s="7" t="s">
        <v>90</v>
      </c>
      <c r="C257" s="6" t="s">
        <v>78</v>
      </c>
      <c r="D257" s="6" t="s">
        <v>79</v>
      </c>
      <c r="E257" s="6" t="s">
        <v>31</v>
      </c>
      <c r="F257" s="35">
        <v>0</v>
      </c>
      <c r="G257" s="15" t="str">
        <f t="shared" si="3"/>
        <v>Night</v>
      </c>
      <c r="H257" s="6" t="b">
        <v>0</v>
      </c>
      <c r="I257" s="6" t="s">
        <v>56</v>
      </c>
      <c r="J257" s="6" t="str">
        <f>IF(OR(Dataset_AFinal[[#This Row],[Weekday]]="Sat",Dataset_AFinal[[#This Row],[Weekday]]="Sun"),"Weekend", "Weekday")</f>
        <v>Weekday</v>
      </c>
      <c r="K257" s="6" t="s">
        <v>33</v>
      </c>
      <c r="L257" s="6">
        <v>0.16</v>
      </c>
      <c r="M257" s="35" t="s">
        <v>40</v>
      </c>
      <c r="N257" s="7">
        <v>0.19700000000000001</v>
      </c>
      <c r="O257" s="32">
        <v>0.86</v>
      </c>
      <c r="P257" s="7">
        <v>8.9599999999999999E-2</v>
      </c>
      <c r="Q257" s="8">
        <v>0</v>
      </c>
      <c r="R257" s="8">
        <v>7</v>
      </c>
      <c r="S257" s="8">
        <f>SUM(Dataset_AFinal[[#This Row],[Casual_user]:[Registered_user]])</f>
        <v>7</v>
      </c>
    </row>
    <row r="258" spans="1:19" x14ac:dyDescent="0.3">
      <c r="A258" s="4">
        <v>257</v>
      </c>
      <c r="B258" s="7" t="s">
        <v>90</v>
      </c>
      <c r="C258" s="6" t="s">
        <v>78</v>
      </c>
      <c r="D258" s="6" t="s">
        <v>79</v>
      </c>
      <c r="E258" s="6" t="s">
        <v>31</v>
      </c>
      <c r="F258" s="35">
        <v>1</v>
      </c>
      <c r="G258" s="15" t="str">
        <f t="shared" ref="G258:G321" si="4">IF(F258&lt;6,"Night",IF(F258&lt;12,"Morning",IF(F258&lt;18,"Afternoon","Evening")))</f>
        <v>Night</v>
      </c>
      <c r="H258" s="6" t="b">
        <v>0</v>
      </c>
      <c r="I258" s="6" t="s">
        <v>56</v>
      </c>
      <c r="J258" s="6" t="str">
        <f>IF(OR(Dataset_AFinal[[#This Row],[Weekday]]="Sat",Dataset_AFinal[[#This Row],[Weekday]]="Sun"),"Weekend", "Weekday")</f>
        <v>Weekday</v>
      </c>
      <c r="K258" s="6" t="s">
        <v>33</v>
      </c>
      <c r="L258" s="6">
        <v>0.16</v>
      </c>
      <c r="M258" s="35" t="s">
        <v>40</v>
      </c>
      <c r="N258" s="7">
        <v>0.18179999999999999</v>
      </c>
      <c r="O258" s="32">
        <v>0.86</v>
      </c>
      <c r="P258" s="7">
        <v>0.1045</v>
      </c>
      <c r="Q258" s="8">
        <v>0</v>
      </c>
      <c r="R258" s="8">
        <v>6</v>
      </c>
      <c r="S258" s="8">
        <f>SUM(Dataset_AFinal[[#This Row],[Casual_user]:[Registered_user]])</f>
        <v>6</v>
      </c>
    </row>
    <row r="259" spans="1:19" x14ac:dyDescent="0.3">
      <c r="A259" s="4">
        <v>258</v>
      </c>
      <c r="B259" s="7" t="s">
        <v>90</v>
      </c>
      <c r="C259" s="6" t="s">
        <v>78</v>
      </c>
      <c r="D259" s="6" t="s">
        <v>79</v>
      </c>
      <c r="E259" s="6" t="s">
        <v>31</v>
      </c>
      <c r="F259" s="35">
        <v>2</v>
      </c>
      <c r="G259" s="15" t="str">
        <f t="shared" si="4"/>
        <v>Night</v>
      </c>
      <c r="H259" s="6" t="b">
        <v>0</v>
      </c>
      <c r="I259" s="6" t="s">
        <v>56</v>
      </c>
      <c r="J259" s="6" t="str">
        <f>IF(OR(Dataset_AFinal[[#This Row],[Weekday]]="Sat",Dataset_AFinal[[#This Row],[Weekday]]="Sun"),"Weekend", "Weekday")</f>
        <v>Weekday</v>
      </c>
      <c r="K259" s="6" t="s">
        <v>32</v>
      </c>
      <c r="L259" s="6">
        <v>0.14000000000000001</v>
      </c>
      <c r="M259" s="35" t="s">
        <v>44</v>
      </c>
      <c r="N259" s="7">
        <v>0.1515</v>
      </c>
      <c r="O259" s="32">
        <v>0.86</v>
      </c>
      <c r="P259" s="7">
        <v>0.1343</v>
      </c>
      <c r="Q259" s="8">
        <v>0</v>
      </c>
      <c r="R259" s="8">
        <v>1</v>
      </c>
      <c r="S259" s="8">
        <f>SUM(Dataset_AFinal[[#This Row],[Casual_user]:[Registered_user]])</f>
        <v>1</v>
      </c>
    </row>
    <row r="260" spans="1:19" x14ac:dyDescent="0.3">
      <c r="A260" s="4">
        <v>259</v>
      </c>
      <c r="B260" s="7" t="s">
        <v>90</v>
      </c>
      <c r="C260" s="6" t="s">
        <v>78</v>
      </c>
      <c r="D260" s="6" t="s">
        <v>79</v>
      </c>
      <c r="E260" s="6" t="s">
        <v>31</v>
      </c>
      <c r="F260" s="35">
        <v>5</v>
      </c>
      <c r="G260" s="15" t="str">
        <f t="shared" si="4"/>
        <v>Night</v>
      </c>
      <c r="H260" s="6" t="b">
        <v>0</v>
      </c>
      <c r="I260" s="6" t="s">
        <v>56</v>
      </c>
      <c r="J260" s="6" t="str">
        <f>IF(OR(Dataset_AFinal[[#This Row],[Weekday]]="Sat",Dataset_AFinal[[#This Row],[Weekday]]="Sun"),"Weekend", "Weekday")</f>
        <v>Weekday</v>
      </c>
      <c r="K260" s="6" t="s">
        <v>32</v>
      </c>
      <c r="L260" s="6">
        <v>0.14000000000000001</v>
      </c>
      <c r="M260" s="35" t="s">
        <v>44</v>
      </c>
      <c r="N260" s="7">
        <v>0.1515</v>
      </c>
      <c r="O260" s="32">
        <v>0.86</v>
      </c>
      <c r="P260" s="7">
        <v>0.16420000000000001</v>
      </c>
      <c r="Q260" s="8">
        <v>0</v>
      </c>
      <c r="R260" s="8">
        <v>5</v>
      </c>
      <c r="S260" s="8">
        <f>SUM(Dataset_AFinal[[#This Row],[Casual_user]:[Registered_user]])</f>
        <v>5</v>
      </c>
    </row>
    <row r="261" spans="1:19" x14ac:dyDescent="0.3">
      <c r="A261" s="4">
        <v>260</v>
      </c>
      <c r="B261" s="7" t="s">
        <v>90</v>
      </c>
      <c r="C261" s="6" t="s">
        <v>78</v>
      </c>
      <c r="D261" s="6" t="s">
        <v>79</v>
      </c>
      <c r="E261" s="6" t="s">
        <v>31</v>
      </c>
      <c r="F261" s="35">
        <v>6</v>
      </c>
      <c r="G261" s="15" t="str">
        <f t="shared" si="4"/>
        <v>Morning</v>
      </c>
      <c r="H261" s="6" t="b">
        <v>0</v>
      </c>
      <c r="I261" s="6" t="s">
        <v>56</v>
      </c>
      <c r="J261" s="6" t="str">
        <f>IF(OR(Dataset_AFinal[[#This Row],[Weekday]]="Sat",Dataset_AFinal[[#This Row],[Weekday]]="Sun"),"Weekend", "Weekday")</f>
        <v>Weekday</v>
      </c>
      <c r="K261" s="6" t="s">
        <v>32</v>
      </c>
      <c r="L261" s="6">
        <v>0.12</v>
      </c>
      <c r="M261" s="35" t="s">
        <v>44</v>
      </c>
      <c r="N261" s="7">
        <v>0.1515</v>
      </c>
      <c r="O261" s="32">
        <v>0.93</v>
      </c>
      <c r="P261" s="7">
        <v>0.1343</v>
      </c>
      <c r="Q261" s="8">
        <v>0</v>
      </c>
      <c r="R261" s="8">
        <v>16</v>
      </c>
      <c r="S261" s="8">
        <f>SUM(Dataset_AFinal[[#This Row],[Casual_user]:[Registered_user]])</f>
        <v>16</v>
      </c>
    </row>
    <row r="262" spans="1:19" x14ac:dyDescent="0.3">
      <c r="A262" s="4">
        <v>261</v>
      </c>
      <c r="B262" s="7" t="s">
        <v>90</v>
      </c>
      <c r="C262" s="6" t="s">
        <v>78</v>
      </c>
      <c r="D262" s="6" t="s">
        <v>79</v>
      </c>
      <c r="E262" s="6" t="s">
        <v>31</v>
      </c>
      <c r="F262" s="35">
        <v>7</v>
      </c>
      <c r="G262" s="15" t="str">
        <f t="shared" si="4"/>
        <v>Morning</v>
      </c>
      <c r="H262" s="6" t="b">
        <v>0</v>
      </c>
      <c r="I262" s="6" t="s">
        <v>56</v>
      </c>
      <c r="J262" s="6" t="str">
        <f>IF(OR(Dataset_AFinal[[#This Row],[Weekday]]="Sat",Dataset_AFinal[[#This Row],[Weekday]]="Sun"),"Weekend", "Weekday")</f>
        <v>Weekday</v>
      </c>
      <c r="K262" s="6" t="s">
        <v>32</v>
      </c>
      <c r="L262" s="6">
        <v>0.14000000000000001</v>
      </c>
      <c r="M262" s="35" t="s">
        <v>44</v>
      </c>
      <c r="N262" s="7">
        <v>0.1515</v>
      </c>
      <c r="O262" s="32">
        <v>0.69</v>
      </c>
      <c r="P262" s="7">
        <v>0.1343</v>
      </c>
      <c r="Q262" s="8">
        <v>0</v>
      </c>
      <c r="R262" s="8">
        <v>54</v>
      </c>
      <c r="S262" s="8">
        <f>SUM(Dataset_AFinal[[#This Row],[Casual_user]:[Registered_user]])</f>
        <v>54</v>
      </c>
    </row>
    <row r="263" spans="1:19" x14ac:dyDescent="0.3">
      <c r="A263" s="4">
        <v>262</v>
      </c>
      <c r="B263" s="7" t="s">
        <v>90</v>
      </c>
      <c r="C263" s="6" t="s">
        <v>78</v>
      </c>
      <c r="D263" s="6" t="s">
        <v>79</v>
      </c>
      <c r="E263" s="6" t="s">
        <v>31</v>
      </c>
      <c r="F263" s="35">
        <v>8</v>
      </c>
      <c r="G263" s="15" t="str">
        <f t="shared" si="4"/>
        <v>Morning</v>
      </c>
      <c r="H263" s="6" t="b">
        <v>0</v>
      </c>
      <c r="I263" s="6" t="s">
        <v>56</v>
      </c>
      <c r="J263" s="6" t="str">
        <f>IF(OR(Dataset_AFinal[[#This Row],[Weekday]]="Sat",Dataset_AFinal[[#This Row],[Weekday]]="Sun"),"Weekend", "Weekday")</f>
        <v>Weekday</v>
      </c>
      <c r="K263" s="6" t="s">
        <v>32</v>
      </c>
      <c r="L263" s="6">
        <v>0.16</v>
      </c>
      <c r="M263" s="35" t="s">
        <v>40</v>
      </c>
      <c r="N263" s="7">
        <v>0.16669999999999999</v>
      </c>
      <c r="O263" s="32">
        <v>0.59</v>
      </c>
      <c r="P263" s="7">
        <v>0.16420000000000001</v>
      </c>
      <c r="Q263" s="8">
        <v>3</v>
      </c>
      <c r="R263" s="8">
        <v>125</v>
      </c>
      <c r="S263" s="8">
        <f>SUM(Dataset_AFinal[[#This Row],[Casual_user]:[Registered_user]])</f>
        <v>128</v>
      </c>
    </row>
    <row r="264" spans="1:19" x14ac:dyDescent="0.3">
      <c r="A264" s="4">
        <v>263</v>
      </c>
      <c r="B264" s="7" t="s">
        <v>90</v>
      </c>
      <c r="C264" s="6" t="s">
        <v>78</v>
      </c>
      <c r="D264" s="6" t="s">
        <v>79</v>
      </c>
      <c r="E264" s="6" t="s">
        <v>31</v>
      </c>
      <c r="F264" s="35">
        <v>9</v>
      </c>
      <c r="G264" s="15" t="str">
        <f t="shared" si="4"/>
        <v>Morning</v>
      </c>
      <c r="H264" s="6" t="b">
        <v>0</v>
      </c>
      <c r="I264" s="6" t="s">
        <v>56</v>
      </c>
      <c r="J264" s="6" t="str">
        <f>IF(OR(Dataset_AFinal[[#This Row],[Weekday]]="Sat",Dataset_AFinal[[#This Row],[Weekday]]="Sun"),"Weekend", "Weekday")</f>
        <v>Weekday</v>
      </c>
      <c r="K264" s="6" t="s">
        <v>32</v>
      </c>
      <c r="L264" s="6">
        <v>0.16</v>
      </c>
      <c r="M264" s="35" t="s">
        <v>40</v>
      </c>
      <c r="N264" s="7">
        <v>0.13639999999999999</v>
      </c>
      <c r="O264" s="32">
        <v>0.59</v>
      </c>
      <c r="P264" s="7">
        <v>0.32840000000000003</v>
      </c>
      <c r="Q264" s="8">
        <v>3</v>
      </c>
      <c r="R264" s="8">
        <v>78</v>
      </c>
      <c r="S264" s="8">
        <f>SUM(Dataset_AFinal[[#This Row],[Casual_user]:[Registered_user]])</f>
        <v>81</v>
      </c>
    </row>
    <row r="265" spans="1:19" x14ac:dyDescent="0.3">
      <c r="A265" s="4">
        <v>264</v>
      </c>
      <c r="B265" s="7" t="s">
        <v>90</v>
      </c>
      <c r="C265" s="6" t="s">
        <v>78</v>
      </c>
      <c r="D265" s="6" t="s">
        <v>79</v>
      </c>
      <c r="E265" s="6" t="s">
        <v>31</v>
      </c>
      <c r="F265" s="35">
        <v>10</v>
      </c>
      <c r="G265" s="15" t="str">
        <f t="shared" si="4"/>
        <v>Morning</v>
      </c>
      <c r="H265" s="6" t="b">
        <v>0</v>
      </c>
      <c r="I265" s="6" t="s">
        <v>56</v>
      </c>
      <c r="J265" s="6" t="str">
        <f>IF(OR(Dataset_AFinal[[#This Row],[Weekday]]="Sat",Dataset_AFinal[[#This Row],[Weekday]]="Sun"),"Weekend", "Weekday")</f>
        <v>Weekday</v>
      </c>
      <c r="K265" s="6" t="s">
        <v>32</v>
      </c>
      <c r="L265" s="6">
        <v>0.18</v>
      </c>
      <c r="M265" s="35" t="s">
        <v>40</v>
      </c>
      <c r="N265" s="7">
        <v>0.18179999999999999</v>
      </c>
      <c r="O265" s="32">
        <v>0.55000000000000004</v>
      </c>
      <c r="P265" s="7">
        <v>0.22389999999999999</v>
      </c>
      <c r="Q265" s="8">
        <v>0</v>
      </c>
      <c r="R265" s="8">
        <v>39</v>
      </c>
      <c r="S265" s="8">
        <f>SUM(Dataset_AFinal[[#This Row],[Casual_user]:[Registered_user]])</f>
        <v>39</v>
      </c>
    </row>
    <row r="266" spans="1:19" x14ac:dyDescent="0.3">
      <c r="A266" s="4">
        <v>265</v>
      </c>
      <c r="B266" s="7" t="s">
        <v>90</v>
      </c>
      <c r="C266" s="6" t="s">
        <v>78</v>
      </c>
      <c r="D266" s="6" t="s">
        <v>79</v>
      </c>
      <c r="E266" s="6" t="s">
        <v>31</v>
      </c>
      <c r="F266" s="35">
        <v>11</v>
      </c>
      <c r="G266" s="15" t="str">
        <f t="shared" si="4"/>
        <v>Morning</v>
      </c>
      <c r="H266" s="6" t="b">
        <v>0</v>
      </c>
      <c r="I266" s="6" t="s">
        <v>56</v>
      </c>
      <c r="J266" s="6" t="str">
        <f>IF(OR(Dataset_AFinal[[#This Row],[Weekday]]="Sat",Dataset_AFinal[[#This Row],[Weekday]]="Sun"),"Weekend", "Weekday")</f>
        <v>Weekday</v>
      </c>
      <c r="K266" s="6" t="s">
        <v>32</v>
      </c>
      <c r="L266" s="6">
        <v>0.2</v>
      </c>
      <c r="M266" s="35" t="s">
        <v>40</v>
      </c>
      <c r="N266" s="7">
        <v>0.18179999999999999</v>
      </c>
      <c r="O266" s="32">
        <v>0.51</v>
      </c>
      <c r="P266" s="7">
        <v>0.3881</v>
      </c>
      <c r="Q266" s="8">
        <v>3</v>
      </c>
      <c r="R266" s="8">
        <v>32</v>
      </c>
      <c r="S266" s="8">
        <f>SUM(Dataset_AFinal[[#This Row],[Casual_user]:[Registered_user]])</f>
        <v>35</v>
      </c>
    </row>
    <row r="267" spans="1:19" x14ac:dyDescent="0.3">
      <c r="A267" s="4">
        <v>266</v>
      </c>
      <c r="B267" s="7" t="s">
        <v>90</v>
      </c>
      <c r="C267" s="6" t="s">
        <v>78</v>
      </c>
      <c r="D267" s="6" t="s">
        <v>79</v>
      </c>
      <c r="E267" s="6" t="s">
        <v>31</v>
      </c>
      <c r="F267" s="35">
        <v>12</v>
      </c>
      <c r="G267" s="15" t="str">
        <f t="shared" si="4"/>
        <v>Afternoon</v>
      </c>
      <c r="H267" s="6" t="b">
        <v>0</v>
      </c>
      <c r="I267" s="6" t="s">
        <v>56</v>
      </c>
      <c r="J267" s="6" t="str">
        <f>IF(OR(Dataset_AFinal[[#This Row],[Weekday]]="Sat",Dataset_AFinal[[#This Row],[Weekday]]="Sun"),"Weekend", "Weekday")</f>
        <v>Weekday</v>
      </c>
      <c r="K267" s="6" t="s">
        <v>32</v>
      </c>
      <c r="L267" s="6">
        <v>0.2</v>
      </c>
      <c r="M267" s="35" t="s">
        <v>40</v>
      </c>
      <c r="N267" s="7">
        <v>0.1515</v>
      </c>
      <c r="O267" s="32">
        <v>0.47</v>
      </c>
      <c r="P267" s="7">
        <v>0.58209999999999995</v>
      </c>
      <c r="Q267" s="8">
        <v>3</v>
      </c>
      <c r="R267" s="8">
        <v>52</v>
      </c>
      <c r="S267" s="8">
        <f>SUM(Dataset_AFinal[[#This Row],[Casual_user]:[Registered_user]])</f>
        <v>55</v>
      </c>
    </row>
    <row r="268" spans="1:19" x14ac:dyDescent="0.3">
      <c r="A268" s="4">
        <v>267</v>
      </c>
      <c r="B268" s="7" t="s">
        <v>90</v>
      </c>
      <c r="C268" s="6" t="s">
        <v>78</v>
      </c>
      <c r="D268" s="6" t="s">
        <v>79</v>
      </c>
      <c r="E268" s="6" t="s">
        <v>31</v>
      </c>
      <c r="F268" s="35">
        <v>13</v>
      </c>
      <c r="G268" s="15" t="str">
        <f t="shared" si="4"/>
        <v>Afternoon</v>
      </c>
      <c r="H268" s="6" t="b">
        <v>0</v>
      </c>
      <c r="I268" s="6" t="s">
        <v>56</v>
      </c>
      <c r="J268" s="6" t="str">
        <f>IF(OR(Dataset_AFinal[[#This Row],[Weekday]]="Sat",Dataset_AFinal[[#This Row],[Weekday]]="Sun"),"Weekend", "Weekday")</f>
        <v>Weekday</v>
      </c>
      <c r="K268" s="6" t="s">
        <v>32</v>
      </c>
      <c r="L268" s="6">
        <v>0.22</v>
      </c>
      <c r="M268" s="35" t="s">
        <v>40</v>
      </c>
      <c r="N268" s="7">
        <v>0.19700000000000001</v>
      </c>
      <c r="O268" s="32">
        <v>0.44</v>
      </c>
      <c r="P268" s="7">
        <v>0.35820000000000002</v>
      </c>
      <c r="Q268" s="8">
        <v>0</v>
      </c>
      <c r="R268" s="8">
        <v>49</v>
      </c>
      <c r="S268" s="8">
        <f>SUM(Dataset_AFinal[[#This Row],[Casual_user]:[Registered_user]])</f>
        <v>49</v>
      </c>
    </row>
    <row r="269" spans="1:19" x14ac:dyDescent="0.3">
      <c r="A269" s="4">
        <v>268</v>
      </c>
      <c r="B269" s="7" t="s">
        <v>90</v>
      </c>
      <c r="C269" s="6" t="s">
        <v>78</v>
      </c>
      <c r="D269" s="6" t="s">
        <v>79</v>
      </c>
      <c r="E269" s="6" t="s">
        <v>31</v>
      </c>
      <c r="F269" s="35">
        <v>14</v>
      </c>
      <c r="G269" s="15" t="str">
        <f t="shared" si="4"/>
        <v>Afternoon</v>
      </c>
      <c r="H269" s="6" t="b">
        <v>0</v>
      </c>
      <c r="I269" s="6" t="s">
        <v>56</v>
      </c>
      <c r="J269" s="6" t="str">
        <f>IF(OR(Dataset_AFinal[[#This Row],[Weekday]]="Sat",Dataset_AFinal[[#This Row],[Weekday]]="Sun"),"Weekend", "Weekday")</f>
        <v>Weekday</v>
      </c>
      <c r="K269" s="6" t="s">
        <v>32</v>
      </c>
      <c r="L269" s="6">
        <v>0.2</v>
      </c>
      <c r="M269" s="35" t="s">
        <v>40</v>
      </c>
      <c r="N269" s="7">
        <v>0.18179999999999999</v>
      </c>
      <c r="O269" s="32">
        <v>0.47</v>
      </c>
      <c r="P269" s="7">
        <v>0.32840000000000003</v>
      </c>
      <c r="Q269" s="8">
        <v>0</v>
      </c>
      <c r="R269" s="8">
        <v>44</v>
      </c>
      <c r="S269" s="8">
        <f>SUM(Dataset_AFinal[[#This Row],[Casual_user]:[Registered_user]])</f>
        <v>44</v>
      </c>
    </row>
    <row r="270" spans="1:19" x14ac:dyDescent="0.3">
      <c r="A270" s="4">
        <v>269</v>
      </c>
      <c r="B270" s="7" t="s">
        <v>90</v>
      </c>
      <c r="C270" s="6" t="s">
        <v>78</v>
      </c>
      <c r="D270" s="6" t="s">
        <v>79</v>
      </c>
      <c r="E270" s="6" t="s">
        <v>31</v>
      </c>
      <c r="F270" s="35">
        <v>15</v>
      </c>
      <c r="G270" s="15" t="str">
        <f t="shared" si="4"/>
        <v>Afternoon</v>
      </c>
      <c r="H270" s="6" t="b">
        <v>0</v>
      </c>
      <c r="I270" s="6" t="s">
        <v>56</v>
      </c>
      <c r="J270" s="6" t="str">
        <f>IF(OR(Dataset_AFinal[[#This Row],[Weekday]]="Sat",Dataset_AFinal[[#This Row],[Weekday]]="Sun"),"Weekend", "Weekday")</f>
        <v>Weekday</v>
      </c>
      <c r="K270" s="6" t="s">
        <v>32</v>
      </c>
      <c r="L270" s="6">
        <v>0.2</v>
      </c>
      <c r="M270" s="35" t="s">
        <v>40</v>
      </c>
      <c r="N270" s="7">
        <v>0.16669999999999999</v>
      </c>
      <c r="O270" s="32">
        <v>0.47</v>
      </c>
      <c r="P270" s="7">
        <v>0.41789999999999999</v>
      </c>
      <c r="Q270" s="8">
        <v>1</v>
      </c>
      <c r="R270" s="8">
        <v>48</v>
      </c>
      <c r="S270" s="8">
        <f>SUM(Dataset_AFinal[[#This Row],[Casual_user]:[Registered_user]])</f>
        <v>49</v>
      </c>
    </row>
    <row r="271" spans="1:19" x14ac:dyDescent="0.3">
      <c r="A271" s="4">
        <v>270</v>
      </c>
      <c r="B271" s="7" t="s">
        <v>90</v>
      </c>
      <c r="C271" s="6" t="s">
        <v>78</v>
      </c>
      <c r="D271" s="6" t="s">
        <v>79</v>
      </c>
      <c r="E271" s="6" t="s">
        <v>31</v>
      </c>
      <c r="F271" s="35">
        <v>16</v>
      </c>
      <c r="G271" s="15" t="str">
        <f t="shared" si="4"/>
        <v>Afternoon</v>
      </c>
      <c r="H271" s="6" t="b">
        <v>0</v>
      </c>
      <c r="I271" s="6" t="s">
        <v>56</v>
      </c>
      <c r="J271" s="6" t="str">
        <f>IF(OR(Dataset_AFinal[[#This Row],[Weekday]]="Sat",Dataset_AFinal[[#This Row],[Weekday]]="Sun"),"Weekend", "Weekday")</f>
        <v>Weekday</v>
      </c>
      <c r="K271" s="6" t="s">
        <v>32</v>
      </c>
      <c r="L271" s="6">
        <v>0.22</v>
      </c>
      <c r="M271" s="35" t="s">
        <v>40</v>
      </c>
      <c r="N271" s="7">
        <v>0.19700000000000001</v>
      </c>
      <c r="O271" s="32">
        <v>0.44</v>
      </c>
      <c r="P271" s="7">
        <v>0.32840000000000003</v>
      </c>
      <c r="Q271" s="8">
        <v>5</v>
      </c>
      <c r="R271" s="8">
        <v>63</v>
      </c>
      <c r="S271" s="8">
        <f>SUM(Dataset_AFinal[[#This Row],[Casual_user]:[Registered_user]])</f>
        <v>68</v>
      </c>
    </row>
    <row r="272" spans="1:19" x14ac:dyDescent="0.3">
      <c r="A272" s="4">
        <v>271</v>
      </c>
      <c r="B272" s="7" t="s">
        <v>90</v>
      </c>
      <c r="C272" s="6" t="s">
        <v>78</v>
      </c>
      <c r="D272" s="6" t="s">
        <v>79</v>
      </c>
      <c r="E272" s="6" t="s">
        <v>31</v>
      </c>
      <c r="F272" s="35">
        <v>17</v>
      </c>
      <c r="G272" s="15" t="str">
        <f t="shared" si="4"/>
        <v>Afternoon</v>
      </c>
      <c r="H272" s="6" t="b">
        <v>0</v>
      </c>
      <c r="I272" s="6" t="s">
        <v>56</v>
      </c>
      <c r="J272" s="6" t="str">
        <f>IF(OR(Dataset_AFinal[[#This Row],[Weekday]]="Sat",Dataset_AFinal[[#This Row],[Weekday]]="Sun"),"Weekend", "Weekday")</f>
        <v>Weekday</v>
      </c>
      <c r="K272" s="6" t="s">
        <v>32</v>
      </c>
      <c r="L272" s="6">
        <v>0.2</v>
      </c>
      <c r="M272" s="35" t="s">
        <v>40</v>
      </c>
      <c r="N272" s="7">
        <v>0.18179999999999999</v>
      </c>
      <c r="O272" s="32">
        <v>0.47</v>
      </c>
      <c r="P272" s="7">
        <v>0.35820000000000002</v>
      </c>
      <c r="Q272" s="8">
        <v>0</v>
      </c>
      <c r="R272" s="8">
        <v>139</v>
      </c>
      <c r="S272" s="8">
        <f>SUM(Dataset_AFinal[[#This Row],[Casual_user]:[Registered_user]])</f>
        <v>139</v>
      </c>
    </row>
    <row r="273" spans="1:19" x14ac:dyDescent="0.3">
      <c r="A273" s="4">
        <v>272</v>
      </c>
      <c r="B273" s="7" t="s">
        <v>90</v>
      </c>
      <c r="C273" s="6" t="s">
        <v>78</v>
      </c>
      <c r="D273" s="6" t="s">
        <v>79</v>
      </c>
      <c r="E273" s="6" t="s">
        <v>31</v>
      </c>
      <c r="F273" s="35">
        <v>18</v>
      </c>
      <c r="G273" s="15" t="str">
        <f t="shared" si="4"/>
        <v>Evening</v>
      </c>
      <c r="H273" s="6" t="b">
        <v>0</v>
      </c>
      <c r="I273" s="6" t="s">
        <v>56</v>
      </c>
      <c r="J273" s="6" t="str">
        <f>IF(OR(Dataset_AFinal[[#This Row],[Weekday]]="Sat",Dataset_AFinal[[#This Row],[Weekday]]="Sun"),"Weekend", "Weekday")</f>
        <v>Weekday</v>
      </c>
      <c r="K273" s="6" t="s">
        <v>32</v>
      </c>
      <c r="L273" s="6">
        <v>0.2</v>
      </c>
      <c r="M273" s="35" t="s">
        <v>40</v>
      </c>
      <c r="N273" s="7">
        <v>0.1515</v>
      </c>
      <c r="O273" s="32">
        <v>0.47</v>
      </c>
      <c r="P273" s="7">
        <v>0.52239999999999998</v>
      </c>
      <c r="Q273" s="8">
        <v>2</v>
      </c>
      <c r="R273" s="8">
        <v>135</v>
      </c>
      <c r="S273" s="8">
        <f>SUM(Dataset_AFinal[[#This Row],[Casual_user]:[Registered_user]])</f>
        <v>137</v>
      </c>
    </row>
    <row r="274" spans="1:19" x14ac:dyDescent="0.3">
      <c r="A274" s="4">
        <v>273</v>
      </c>
      <c r="B274" s="7" t="s">
        <v>90</v>
      </c>
      <c r="C274" s="6" t="s">
        <v>78</v>
      </c>
      <c r="D274" s="6" t="s">
        <v>79</v>
      </c>
      <c r="E274" s="6" t="s">
        <v>31</v>
      </c>
      <c r="F274" s="35">
        <v>19</v>
      </c>
      <c r="G274" s="15" t="str">
        <f t="shared" si="4"/>
        <v>Evening</v>
      </c>
      <c r="H274" s="6" t="b">
        <v>0</v>
      </c>
      <c r="I274" s="6" t="s">
        <v>56</v>
      </c>
      <c r="J274" s="6" t="str">
        <f>IF(OR(Dataset_AFinal[[#This Row],[Weekday]]="Sat",Dataset_AFinal[[#This Row],[Weekday]]="Sun"),"Weekend", "Weekday")</f>
        <v>Weekday</v>
      </c>
      <c r="K274" s="6" t="s">
        <v>32</v>
      </c>
      <c r="L274" s="6">
        <v>0.18</v>
      </c>
      <c r="M274" s="35" t="s">
        <v>40</v>
      </c>
      <c r="N274" s="7">
        <v>0.1515</v>
      </c>
      <c r="O274" s="32">
        <v>0.47</v>
      </c>
      <c r="P274" s="7">
        <v>0.41789999999999999</v>
      </c>
      <c r="Q274" s="8">
        <v>1</v>
      </c>
      <c r="R274" s="8">
        <v>82</v>
      </c>
      <c r="S274" s="8">
        <f>SUM(Dataset_AFinal[[#This Row],[Casual_user]:[Registered_user]])</f>
        <v>83</v>
      </c>
    </row>
    <row r="275" spans="1:19" x14ac:dyDescent="0.3">
      <c r="A275" s="4">
        <v>274</v>
      </c>
      <c r="B275" s="7" t="s">
        <v>90</v>
      </c>
      <c r="C275" s="6" t="s">
        <v>78</v>
      </c>
      <c r="D275" s="6" t="s">
        <v>79</v>
      </c>
      <c r="E275" s="6" t="s">
        <v>31</v>
      </c>
      <c r="F275" s="35">
        <v>20</v>
      </c>
      <c r="G275" s="15" t="str">
        <f t="shared" si="4"/>
        <v>Evening</v>
      </c>
      <c r="H275" s="6" t="b">
        <v>0</v>
      </c>
      <c r="I275" s="6" t="s">
        <v>56</v>
      </c>
      <c r="J275" s="6" t="str">
        <f>IF(OR(Dataset_AFinal[[#This Row],[Weekday]]="Sat",Dataset_AFinal[[#This Row],[Weekday]]="Sun"),"Weekend", "Weekday")</f>
        <v>Weekday</v>
      </c>
      <c r="K275" s="6" t="s">
        <v>32</v>
      </c>
      <c r="L275" s="6">
        <v>0.16</v>
      </c>
      <c r="M275" s="35" t="s">
        <v>40</v>
      </c>
      <c r="N275" s="7">
        <v>0.13639999999999999</v>
      </c>
      <c r="O275" s="32">
        <v>0.5</v>
      </c>
      <c r="P275" s="7">
        <v>0.32840000000000003</v>
      </c>
      <c r="Q275" s="8">
        <v>2</v>
      </c>
      <c r="R275" s="8">
        <v>54</v>
      </c>
      <c r="S275" s="8">
        <f>SUM(Dataset_AFinal[[#This Row],[Casual_user]:[Registered_user]])</f>
        <v>56</v>
      </c>
    </row>
    <row r="276" spans="1:19" x14ac:dyDescent="0.3">
      <c r="A276" s="4">
        <v>275</v>
      </c>
      <c r="B276" s="7" t="s">
        <v>90</v>
      </c>
      <c r="C276" s="6" t="s">
        <v>78</v>
      </c>
      <c r="D276" s="6" t="s">
        <v>79</v>
      </c>
      <c r="E276" s="6" t="s">
        <v>31</v>
      </c>
      <c r="F276" s="35">
        <v>21</v>
      </c>
      <c r="G276" s="15" t="str">
        <f t="shared" si="4"/>
        <v>Evening</v>
      </c>
      <c r="H276" s="6" t="b">
        <v>0</v>
      </c>
      <c r="I276" s="6" t="s">
        <v>56</v>
      </c>
      <c r="J276" s="6" t="str">
        <f>IF(OR(Dataset_AFinal[[#This Row],[Weekday]]="Sat",Dataset_AFinal[[#This Row],[Weekday]]="Sun"),"Weekend", "Weekday")</f>
        <v>Weekday</v>
      </c>
      <c r="K276" s="6" t="s">
        <v>32</v>
      </c>
      <c r="L276" s="6">
        <v>0.16</v>
      </c>
      <c r="M276" s="35" t="s">
        <v>40</v>
      </c>
      <c r="N276" s="7">
        <v>0.13639999999999999</v>
      </c>
      <c r="O276" s="32">
        <v>0.55000000000000004</v>
      </c>
      <c r="P276" s="7">
        <v>0.32840000000000003</v>
      </c>
      <c r="Q276" s="8">
        <v>0</v>
      </c>
      <c r="R276" s="8">
        <v>57</v>
      </c>
      <c r="S276" s="8">
        <f>SUM(Dataset_AFinal[[#This Row],[Casual_user]:[Registered_user]])</f>
        <v>57</v>
      </c>
    </row>
    <row r="277" spans="1:19" x14ac:dyDescent="0.3">
      <c r="A277" s="4">
        <v>276</v>
      </c>
      <c r="B277" s="7" t="s">
        <v>90</v>
      </c>
      <c r="C277" s="6" t="s">
        <v>78</v>
      </c>
      <c r="D277" s="6" t="s">
        <v>79</v>
      </c>
      <c r="E277" s="6" t="s">
        <v>31</v>
      </c>
      <c r="F277" s="35">
        <v>22</v>
      </c>
      <c r="G277" s="15" t="str">
        <f t="shared" si="4"/>
        <v>Evening</v>
      </c>
      <c r="H277" s="6" t="b">
        <v>0</v>
      </c>
      <c r="I277" s="6" t="s">
        <v>56</v>
      </c>
      <c r="J277" s="6" t="str">
        <f>IF(OR(Dataset_AFinal[[#This Row],[Weekday]]="Sat",Dataset_AFinal[[#This Row],[Weekday]]="Sun"),"Weekend", "Weekday")</f>
        <v>Weekday</v>
      </c>
      <c r="K277" s="6" t="s">
        <v>32</v>
      </c>
      <c r="L277" s="6">
        <v>0.16</v>
      </c>
      <c r="M277" s="35" t="s">
        <v>40</v>
      </c>
      <c r="N277" s="7">
        <v>0.1212</v>
      </c>
      <c r="O277" s="32">
        <v>0.55000000000000004</v>
      </c>
      <c r="P277" s="7">
        <v>0.44779999999999998</v>
      </c>
      <c r="Q277" s="8">
        <v>1</v>
      </c>
      <c r="R277" s="8">
        <v>32</v>
      </c>
      <c r="S277" s="8">
        <f>SUM(Dataset_AFinal[[#This Row],[Casual_user]:[Registered_user]])</f>
        <v>33</v>
      </c>
    </row>
    <row r="278" spans="1:19" x14ac:dyDescent="0.3">
      <c r="A278" s="4">
        <v>277</v>
      </c>
      <c r="B278" s="7" t="s">
        <v>90</v>
      </c>
      <c r="C278" s="6" t="s">
        <v>78</v>
      </c>
      <c r="D278" s="6" t="s">
        <v>79</v>
      </c>
      <c r="E278" s="6" t="s">
        <v>31</v>
      </c>
      <c r="F278" s="35">
        <v>23</v>
      </c>
      <c r="G278" s="15" t="str">
        <f t="shared" si="4"/>
        <v>Evening</v>
      </c>
      <c r="H278" s="6" t="b">
        <v>0</v>
      </c>
      <c r="I278" s="6" t="s">
        <v>56</v>
      </c>
      <c r="J278" s="6" t="str">
        <f>IF(OR(Dataset_AFinal[[#This Row],[Weekday]]="Sat",Dataset_AFinal[[#This Row],[Weekday]]="Sun"),"Weekend", "Weekday")</f>
        <v>Weekday</v>
      </c>
      <c r="K278" s="6" t="s">
        <v>32</v>
      </c>
      <c r="L278" s="6">
        <v>0.14000000000000001</v>
      </c>
      <c r="M278" s="35" t="s">
        <v>44</v>
      </c>
      <c r="N278" s="7">
        <v>0.1061</v>
      </c>
      <c r="O278" s="32">
        <v>0.59</v>
      </c>
      <c r="P278" s="7">
        <v>0.41789999999999999</v>
      </c>
      <c r="Q278" s="8">
        <v>1</v>
      </c>
      <c r="R278" s="8">
        <v>19</v>
      </c>
      <c r="S278" s="8">
        <f>SUM(Dataset_AFinal[[#This Row],[Casual_user]:[Registered_user]])</f>
        <v>20</v>
      </c>
    </row>
    <row r="279" spans="1:19" x14ac:dyDescent="0.3">
      <c r="A279" s="4">
        <v>278</v>
      </c>
      <c r="B279" s="7" t="s">
        <v>91</v>
      </c>
      <c r="C279" s="6" t="s">
        <v>78</v>
      </c>
      <c r="D279" s="6" t="s">
        <v>79</v>
      </c>
      <c r="E279" s="6" t="s">
        <v>31</v>
      </c>
      <c r="F279" s="35">
        <v>0</v>
      </c>
      <c r="G279" s="15" t="str">
        <f t="shared" si="4"/>
        <v>Night</v>
      </c>
      <c r="H279" s="6" t="b">
        <v>0</v>
      </c>
      <c r="I279" s="6" t="s">
        <v>57</v>
      </c>
      <c r="J279" s="6" t="str">
        <f>IF(OR(Dataset_AFinal[[#This Row],[Weekday]]="Sat",Dataset_AFinal[[#This Row],[Weekday]]="Sun"),"Weekend", "Weekday")</f>
        <v>Weekday</v>
      </c>
      <c r="K279" s="6" t="s">
        <v>32</v>
      </c>
      <c r="L279" s="6">
        <v>0.14000000000000001</v>
      </c>
      <c r="M279" s="35" t="s">
        <v>44</v>
      </c>
      <c r="N279" s="7">
        <v>0.1212</v>
      </c>
      <c r="O279" s="32">
        <v>0.59</v>
      </c>
      <c r="P279" s="7">
        <v>0.28360000000000002</v>
      </c>
      <c r="Q279" s="8">
        <v>1</v>
      </c>
      <c r="R279" s="8">
        <v>6</v>
      </c>
      <c r="S279" s="8">
        <f>SUM(Dataset_AFinal[[#This Row],[Casual_user]:[Registered_user]])</f>
        <v>7</v>
      </c>
    </row>
    <row r="280" spans="1:19" x14ac:dyDescent="0.3">
      <c r="A280" s="4">
        <v>279</v>
      </c>
      <c r="B280" s="7" t="s">
        <v>91</v>
      </c>
      <c r="C280" s="6" t="s">
        <v>78</v>
      </c>
      <c r="D280" s="6" t="s">
        <v>79</v>
      </c>
      <c r="E280" s="6" t="s">
        <v>31</v>
      </c>
      <c r="F280" s="35">
        <v>1</v>
      </c>
      <c r="G280" s="15" t="str">
        <f t="shared" si="4"/>
        <v>Night</v>
      </c>
      <c r="H280" s="6" t="b">
        <v>0</v>
      </c>
      <c r="I280" s="6" t="s">
        <v>57</v>
      </c>
      <c r="J280" s="6" t="str">
        <f>IF(OR(Dataset_AFinal[[#This Row],[Weekday]]="Sat",Dataset_AFinal[[#This Row],[Weekday]]="Sun"),"Weekend", "Weekday")</f>
        <v>Weekday</v>
      </c>
      <c r="K280" s="6" t="s">
        <v>32</v>
      </c>
      <c r="L280" s="6">
        <v>0.14000000000000001</v>
      </c>
      <c r="M280" s="35" t="s">
        <v>44</v>
      </c>
      <c r="N280" s="7">
        <v>0.1212</v>
      </c>
      <c r="O280" s="32">
        <v>0.5</v>
      </c>
      <c r="P280" s="7">
        <v>0.28360000000000002</v>
      </c>
      <c r="Q280" s="8">
        <v>0</v>
      </c>
      <c r="R280" s="8">
        <v>2</v>
      </c>
      <c r="S280" s="8">
        <f>SUM(Dataset_AFinal[[#This Row],[Casual_user]:[Registered_user]])</f>
        <v>2</v>
      </c>
    </row>
    <row r="281" spans="1:19" x14ac:dyDescent="0.3">
      <c r="A281" s="4">
        <v>280</v>
      </c>
      <c r="B281" s="7" t="s">
        <v>91</v>
      </c>
      <c r="C281" s="6" t="s">
        <v>78</v>
      </c>
      <c r="D281" s="6" t="s">
        <v>79</v>
      </c>
      <c r="E281" s="6" t="s">
        <v>31</v>
      </c>
      <c r="F281" s="35">
        <v>2</v>
      </c>
      <c r="G281" s="15" t="str">
        <f t="shared" si="4"/>
        <v>Night</v>
      </c>
      <c r="H281" s="6" t="b">
        <v>0</v>
      </c>
      <c r="I281" s="6" t="s">
        <v>57</v>
      </c>
      <c r="J281" s="6" t="str">
        <f>IF(OR(Dataset_AFinal[[#This Row],[Weekday]]="Sat",Dataset_AFinal[[#This Row],[Weekday]]="Sun"),"Weekend", "Weekday")</f>
        <v>Weekday</v>
      </c>
      <c r="K281" s="6" t="s">
        <v>32</v>
      </c>
      <c r="L281" s="6">
        <v>0.14000000000000001</v>
      </c>
      <c r="M281" s="35" t="s">
        <v>44</v>
      </c>
      <c r="N281" s="7">
        <v>0.1212</v>
      </c>
      <c r="O281" s="32">
        <v>0.5</v>
      </c>
      <c r="P281" s="7">
        <v>0.35820000000000002</v>
      </c>
      <c r="Q281" s="8">
        <v>0</v>
      </c>
      <c r="R281" s="8">
        <v>2</v>
      </c>
      <c r="S281" s="8">
        <f>SUM(Dataset_AFinal[[#This Row],[Casual_user]:[Registered_user]])</f>
        <v>2</v>
      </c>
    </row>
    <row r="282" spans="1:19" x14ac:dyDescent="0.3">
      <c r="A282" s="4">
        <v>281</v>
      </c>
      <c r="B282" s="7" t="s">
        <v>91</v>
      </c>
      <c r="C282" s="6" t="s">
        <v>78</v>
      </c>
      <c r="D282" s="6" t="s">
        <v>79</v>
      </c>
      <c r="E282" s="6" t="s">
        <v>31</v>
      </c>
      <c r="F282" s="35">
        <v>3</v>
      </c>
      <c r="G282" s="15" t="str">
        <f t="shared" si="4"/>
        <v>Night</v>
      </c>
      <c r="H282" s="6" t="b">
        <v>0</v>
      </c>
      <c r="I282" s="6" t="s">
        <v>57</v>
      </c>
      <c r="J282" s="6" t="str">
        <f>IF(OR(Dataset_AFinal[[#This Row],[Weekday]]="Sat",Dataset_AFinal[[#This Row],[Weekday]]="Sun"),"Weekend", "Weekday")</f>
        <v>Weekday</v>
      </c>
      <c r="K282" s="6" t="s">
        <v>32</v>
      </c>
      <c r="L282" s="6">
        <v>0.14000000000000001</v>
      </c>
      <c r="M282" s="35" t="s">
        <v>44</v>
      </c>
      <c r="N282" s="7">
        <v>0.1212</v>
      </c>
      <c r="O282" s="32">
        <v>0.5</v>
      </c>
      <c r="P282" s="7">
        <v>0.32840000000000003</v>
      </c>
      <c r="Q282" s="8">
        <v>0</v>
      </c>
      <c r="R282" s="8">
        <v>3</v>
      </c>
      <c r="S282" s="8">
        <f>SUM(Dataset_AFinal[[#This Row],[Casual_user]:[Registered_user]])</f>
        <v>3</v>
      </c>
    </row>
    <row r="283" spans="1:19" x14ac:dyDescent="0.3">
      <c r="A283" s="4">
        <v>282</v>
      </c>
      <c r="B283" s="7" t="s">
        <v>91</v>
      </c>
      <c r="C283" s="6" t="s">
        <v>78</v>
      </c>
      <c r="D283" s="6" t="s">
        <v>79</v>
      </c>
      <c r="E283" s="6" t="s">
        <v>31</v>
      </c>
      <c r="F283" s="35">
        <v>4</v>
      </c>
      <c r="G283" s="15" t="str">
        <f t="shared" si="4"/>
        <v>Night</v>
      </c>
      <c r="H283" s="6" t="b">
        <v>0</v>
      </c>
      <c r="I283" s="6" t="s">
        <v>57</v>
      </c>
      <c r="J283" s="6" t="str">
        <f>IF(OR(Dataset_AFinal[[#This Row],[Weekday]]="Sat",Dataset_AFinal[[#This Row],[Weekday]]="Sun"),"Weekend", "Weekday")</f>
        <v>Weekday</v>
      </c>
      <c r="K283" s="6" t="s">
        <v>32</v>
      </c>
      <c r="L283" s="6">
        <v>0.14000000000000001</v>
      </c>
      <c r="M283" s="35" t="s">
        <v>44</v>
      </c>
      <c r="N283" s="7">
        <v>0.1212</v>
      </c>
      <c r="O283" s="32">
        <v>0.5</v>
      </c>
      <c r="P283" s="7">
        <v>0.25369999999999998</v>
      </c>
      <c r="Q283" s="8">
        <v>0</v>
      </c>
      <c r="R283" s="8">
        <v>4</v>
      </c>
      <c r="S283" s="8">
        <f>SUM(Dataset_AFinal[[#This Row],[Casual_user]:[Registered_user]])</f>
        <v>4</v>
      </c>
    </row>
    <row r="284" spans="1:19" x14ac:dyDescent="0.3">
      <c r="A284" s="4">
        <v>283</v>
      </c>
      <c r="B284" s="7" t="s">
        <v>91</v>
      </c>
      <c r="C284" s="6" t="s">
        <v>78</v>
      </c>
      <c r="D284" s="6" t="s">
        <v>79</v>
      </c>
      <c r="E284" s="6" t="s">
        <v>31</v>
      </c>
      <c r="F284" s="35">
        <v>5</v>
      </c>
      <c r="G284" s="15" t="str">
        <f t="shared" si="4"/>
        <v>Night</v>
      </c>
      <c r="H284" s="6" t="b">
        <v>0</v>
      </c>
      <c r="I284" s="6" t="s">
        <v>57</v>
      </c>
      <c r="J284" s="6" t="str">
        <f>IF(OR(Dataset_AFinal[[#This Row],[Weekday]]="Sat",Dataset_AFinal[[#This Row],[Weekday]]="Sun"),"Weekend", "Weekday")</f>
        <v>Weekday</v>
      </c>
      <c r="K284" s="6" t="s">
        <v>32</v>
      </c>
      <c r="L284" s="6">
        <v>0.14000000000000001</v>
      </c>
      <c r="M284" s="35" t="s">
        <v>44</v>
      </c>
      <c r="N284" s="7">
        <v>0.1212</v>
      </c>
      <c r="O284" s="32">
        <v>0.5</v>
      </c>
      <c r="P284" s="7">
        <v>0.29849999999999999</v>
      </c>
      <c r="Q284" s="8">
        <v>0</v>
      </c>
      <c r="R284" s="8">
        <v>3</v>
      </c>
      <c r="S284" s="8">
        <f>SUM(Dataset_AFinal[[#This Row],[Casual_user]:[Registered_user]])</f>
        <v>3</v>
      </c>
    </row>
    <row r="285" spans="1:19" x14ac:dyDescent="0.3">
      <c r="A285" s="4">
        <v>284</v>
      </c>
      <c r="B285" s="7" t="s">
        <v>91</v>
      </c>
      <c r="C285" s="6" t="s">
        <v>78</v>
      </c>
      <c r="D285" s="6" t="s">
        <v>79</v>
      </c>
      <c r="E285" s="6" t="s">
        <v>31</v>
      </c>
      <c r="F285" s="35">
        <v>6</v>
      </c>
      <c r="G285" s="15" t="str">
        <f t="shared" si="4"/>
        <v>Morning</v>
      </c>
      <c r="H285" s="6" t="b">
        <v>0</v>
      </c>
      <c r="I285" s="6" t="s">
        <v>57</v>
      </c>
      <c r="J285" s="6" t="str">
        <f>IF(OR(Dataset_AFinal[[#This Row],[Weekday]]="Sat",Dataset_AFinal[[#This Row],[Weekday]]="Sun"),"Weekend", "Weekday")</f>
        <v>Weekday</v>
      </c>
      <c r="K285" s="6" t="s">
        <v>32</v>
      </c>
      <c r="L285" s="6">
        <v>0.12</v>
      </c>
      <c r="M285" s="35" t="s">
        <v>44</v>
      </c>
      <c r="N285" s="7">
        <v>0.1515</v>
      </c>
      <c r="O285" s="32">
        <v>0.54</v>
      </c>
      <c r="P285" s="7">
        <v>0.1343</v>
      </c>
      <c r="Q285" s="8">
        <v>0</v>
      </c>
      <c r="R285" s="8">
        <v>28</v>
      </c>
      <c r="S285" s="8">
        <f>SUM(Dataset_AFinal[[#This Row],[Casual_user]:[Registered_user]])</f>
        <v>28</v>
      </c>
    </row>
    <row r="286" spans="1:19" x14ac:dyDescent="0.3">
      <c r="A286" s="4">
        <v>285</v>
      </c>
      <c r="B286" s="7" t="s">
        <v>91</v>
      </c>
      <c r="C286" s="6" t="s">
        <v>78</v>
      </c>
      <c r="D286" s="6" t="s">
        <v>79</v>
      </c>
      <c r="E286" s="6" t="s">
        <v>31</v>
      </c>
      <c r="F286" s="35">
        <v>7</v>
      </c>
      <c r="G286" s="15" t="str">
        <f t="shared" si="4"/>
        <v>Morning</v>
      </c>
      <c r="H286" s="6" t="b">
        <v>0</v>
      </c>
      <c r="I286" s="6" t="s">
        <v>57</v>
      </c>
      <c r="J286" s="6" t="str">
        <f>IF(OR(Dataset_AFinal[[#This Row],[Weekday]]="Sat",Dataset_AFinal[[#This Row],[Weekday]]="Sun"),"Weekend", "Weekday")</f>
        <v>Weekday</v>
      </c>
      <c r="K286" s="6" t="s">
        <v>32</v>
      </c>
      <c r="L286" s="6">
        <v>0.12</v>
      </c>
      <c r="M286" s="35" t="s">
        <v>44</v>
      </c>
      <c r="N286" s="7">
        <v>0.1515</v>
      </c>
      <c r="O286" s="32">
        <v>0.54</v>
      </c>
      <c r="P286" s="7">
        <v>0.1343</v>
      </c>
      <c r="Q286" s="8">
        <v>0</v>
      </c>
      <c r="R286" s="8">
        <v>72</v>
      </c>
      <c r="S286" s="8">
        <f>SUM(Dataset_AFinal[[#This Row],[Casual_user]:[Registered_user]])</f>
        <v>72</v>
      </c>
    </row>
    <row r="287" spans="1:19" x14ac:dyDescent="0.3">
      <c r="A287" s="4">
        <v>286</v>
      </c>
      <c r="B287" s="7" t="s">
        <v>91</v>
      </c>
      <c r="C287" s="6" t="s">
        <v>78</v>
      </c>
      <c r="D287" s="6" t="s">
        <v>79</v>
      </c>
      <c r="E287" s="6" t="s">
        <v>31</v>
      </c>
      <c r="F287" s="35">
        <v>8</v>
      </c>
      <c r="G287" s="15" t="str">
        <f t="shared" si="4"/>
        <v>Morning</v>
      </c>
      <c r="H287" s="6" t="b">
        <v>0</v>
      </c>
      <c r="I287" s="6" t="s">
        <v>57</v>
      </c>
      <c r="J287" s="6" t="str">
        <f>IF(OR(Dataset_AFinal[[#This Row],[Weekday]]="Sat",Dataset_AFinal[[#This Row],[Weekday]]="Sun"),"Weekend", "Weekday")</f>
        <v>Weekday</v>
      </c>
      <c r="K287" s="6" t="s">
        <v>32</v>
      </c>
      <c r="L287" s="6">
        <v>0.14000000000000001</v>
      </c>
      <c r="M287" s="35" t="s">
        <v>44</v>
      </c>
      <c r="N287" s="7">
        <v>0.13639999999999999</v>
      </c>
      <c r="O287" s="32">
        <v>0.5</v>
      </c>
      <c r="P287" s="7">
        <v>0.19400000000000001</v>
      </c>
      <c r="Q287" s="8">
        <v>5</v>
      </c>
      <c r="R287" s="8">
        <v>197</v>
      </c>
      <c r="S287" s="8">
        <f>SUM(Dataset_AFinal[[#This Row],[Casual_user]:[Registered_user]])</f>
        <v>202</v>
      </c>
    </row>
    <row r="288" spans="1:19" x14ac:dyDescent="0.3">
      <c r="A288" s="4">
        <v>287</v>
      </c>
      <c r="B288" s="7" t="s">
        <v>91</v>
      </c>
      <c r="C288" s="6" t="s">
        <v>78</v>
      </c>
      <c r="D288" s="6" t="s">
        <v>79</v>
      </c>
      <c r="E288" s="6" t="s">
        <v>31</v>
      </c>
      <c r="F288" s="35">
        <v>9</v>
      </c>
      <c r="G288" s="15" t="str">
        <f t="shared" si="4"/>
        <v>Morning</v>
      </c>
      <c r="H288" s="6" t="b">
        <v>0</v>
      </c>
      <c r="I288" s="6" t="s">
        <v>57</v>
      </c>
      <c r="J288" s="6" t="str">
        <f>IF(OR(Dataset_AFinal[[#This Row],[Weekday]]="Sat",Dataset_AFinal[[#This Row],[Weekday]]="Sun"),"Weekend", "Weekday")</f>
        <v>Weekday</v>
      </c>
      <c r="K288" s="6" t="s">
        <v>32</v>
      </c>
      <c r="L288" s="6">
        <v>0.14000000000000001</v>
      </c>
      <c r="M288" s="35" t="s">
        <v>44</v>
      </c>
      <c r="N288" s="7">
        <v>0.1212</v>
      </c>
      <c r="O288" s="32">
        <v>0.5</v>
      </c>
      <c r="P288" s="7">
        <v>0.32840000000000003</v>
      </c>
      <c r="Q288" s="8">
        <v>2</v>
      </c>
      <c r="R288" s="8">
        <v>137</v>
      </c>
      <c r="S288" s="8">
        <f>SUM(Dataset_AFinal[[#This Row],[Casual_user]:[Registered_user]])</f>
        <v>139</v>
      </c>
    </row>
    <row r="289" spans="1:19" x14ac:dyDescent="0.3">
      <c r="A289" s="4">
        <v>288</v>
      </c>
      <c r="B289" s="7" t="s">
        <v>91</v>
      </c>
      <c r="C289" s="6" t="s">
        <v>78</v>
      </c>
      <c r="D289" s="6" t="s">
        <v>79</v>
      </c>
      <c r="E289" s="6" t="s">
        <v>31</v>
      </c>
      <c r="F289" s="35">
        <v>10</v>
      </c>
      <c r="G289" s="15" t="str">
        <f t="shared" si="4"/>
        <v>Morning</v>
      </c>
      <c r="H289" s="6" t="b">
        <v>0</v>
      </c>
      <c r="I289" s="6" t="s">
        <v>57</v>
      </c>
      <c r="J289" s="6" t="str">
        <f>IF(OR(Dataset_AFinal[[#This Row],[Weekday]]="Sat",Dataset_AFinal[[#This Row],[Weekday]]="Sun"),"Weekend", "Weekday")</f>
        <v>Weekday</v>
      </c>
      <c r="K289" s="6" t="s">
        <v>33</v>
      </c>
      <c r="L289" s="6">
        <v>0.16</v>
      </c>
      <c r="M289" s="35" t="s">
        <v>40</v>
      </c>
      <c r="N289" s="7">
        <v>0.13639999999999999</v>
      </c>
      <c r="O289" s="32">
        <v>0.5</v>
      </c>
      <c r="P289" s="7">
        <v>0.35820000000000002</v>
      </c>
      <c r="Q289" s="8">
        <v>2</v>
      </c>
      <c r="R289" s="8">
        <v>36</v>
      </c>
      <c r="S289" s="8">
        <f>SUM(Dataset_AFinal[[#This Row],[Casual_user]:[Registered_user]])</f>
        <v>38</v>
      </c>
    </row>
    <row r="290" spans="1:19" x14ac:dyDescent="0.3">
      <c r="A290" s="4">
        <v>289</v>
      </c>
      <c r="B290" s="7" t="s">
        <v>91</v>
      </c>
      <c r="C290" s="6" t="s">
        <v>78</v>
      </c>
      <c r="D290" s="6" t="s">
        <v>79</v>
      </c>
      <c r="E290" s="6" t="s">
        <v>31</v>
      </c>
      <c r="F290" s="35">
        <v>11</v>
      </c>
      <c r="G290" s="15" t="str">
        <f t="shared" si="4"/>
        <v>Morning</v>
      </c>
      <c r="H290" s="6" t="b">
        <v>0</v>
      </c>
      <c r="I290" s="6" t="s">
        <v>57</v>
      </c>
      <c r="J290" s="6" t="str">
        <f>IF(OR(Dataset_AFinal[[#This Row],[Weekday]]="Sat",Dataset_AFinal[[#This Row],[Weekday]]="Sun"),"Weekend", "Weekday")</f>
        <v>Weekday</v>
      </c>
      <c r="K290" s="6" t="s">
        <v>33</v>
      </c>
      <c r="L290" s="6">
        <v>0.2</v>
      </c>
      <c r="M290" s="35" t="s">
        <v>40</v>
      </c>
      <c r="N290" s="7">
        <v>0.16669999999999999</v>
      </c>
      <c r="O290" s="32">
        <v>0.44</v>
      </c>
      <c r="P290" s="7">
        <v>0.44779999999999998</v>
      </c>
      <c r="Q290" s="8">
        <v>4</v>
      </c>
      <c r="R290" s="8">
        <v>33</v>
      </c>
      <c r="S290" s="8">
        <f>SUM(Dataset_AFinal[[#This Row],[Casual_user]:[Registered_user]])</f>
        <v>37</v>
      </c>
    </row>
    <row r="291" spans="1:19" x14ac:dyDescent="0.3">
      <c r="A291" s="4">
        <v>290</v>
      </c>
      <c r="B291" s="7" t="s">
        <v>91</v>
      </c>
      <c r="C291" s="6" t="s">
        <v>78</v>
      </c>
      <c r="D291" s="6" t="s">
        <v>79</v>
      </c>
      <c r="E291" s="6" t="s">
        <v>31</v>
      </c>
      <c r="F291" s="35">
        <v>12</v>
      </c>
      <c r="G291" s="15" t="str">
        <f t="shared" si="4"/>
        <v>Afternoon</v>
      </c>
      <c r="H291" s="6" t="b">
        <v>0</v>
      </c>
      <c r="I291" s="6" t="s">
        <v>57</v>
      </c>
      <c r="J291" s="6" t="str">
        <f>IF(OR(Dataset_AFinal[[#This Row],[Weekday]]="Sat",Dataset_AFinal[[#This Row],[Weekday]]="Sun"),"Weekend", "Weekday")</f>
        <v>Weekday</v>
      </c>
      <c r="K291" s="6" t="s">
        <v>32</v>
      </c>
      <c r="L291" s="6">
        <v>0.2</v>
      </c>
      <c r="M291" s="35" t="s">
        <v>40</v>
      </c>
      <c r="N291" s="7">
        <v>0.16669999999999999</v>
      </c>
      <c r="O291" s="32">
        <v>0.44</v>
      </c>
      <c r="P291" s="7">
        <v>0.41789999999999999</v>
      </c>
      <c r="Q291" s="8">
        <v>3</v>
      </c>
      <c r="R291" s="8">
        <v>49</v>
      </c>
      <c r="S291" s="8">
        <f>SUM(Dataset_AFinal[[#This Row],[Casual_user]:[Registered_user]])</f>
        <v>52</v>
      </c>
    </row>
    <row r="292" spans="1:19" x14ac:dyDescent="0.3">
      <c r="A292" s="4">
        <v>291</v>
      </c>
      <c r="B292" s="7" t="s">
        <v>91</v>
      </c>
      <c r="C292" s="6" t="s">
        <v>78</v>
      </c>
      <c r="D292" s="6" t="s">
        <v>79</v>
      </c>
      <c r="E292" s="6" t="s">
        <v>31</v>
      </c>
      <c r="F292" s="35">
        <v>13</v>
      </c>
      <c r="G292" s="15" t="str">
        <f t="shared" si="4"/>
        <v>Afternoon</v>
      </c>
      <c r="H292" s="6" t="b">
        <v>0</v>
      </c>
      <c r="I292" s="6" t="s">
        <v>57</v>
      </c>
      <c r="J292" s="6" t="str">
        <f>IF(OR(Dataset_AFinal[[#This Row],[Weekday]]="Sat",Dataset_AFinal[[#This Row],[Weekday]]="Sun"),"Weekend", "Weekday")</f>
        <v>Weekday</v>
      </c>
      <c r="K292" s="6" t="s">
        <v>32</v>
      </c>
      <c r="L292" s="6">
        <v>0.22</v>
      </c>
      <c r="M292" s="35" t="s">
        <v>40</v>
      </c>
      <c r="N292" s="7">
        <v>0.19700000000000001</v>
      </c>
      <c r="O292" s="32">
        <v>0.41</v>
      </c>
      <c r="P292" s="7">
        <v>0.44779999999999998</v>
      </c>
      <c r="Q292" s="8">
        <v>2</v>
      </c>
      <c r="R292" s="8">
        <v>81</v>
      </c>
      <c r="S292" s="8">
        <f>SUM(Dataset_AFinal[[#This Row],[Casual_user]:[Registered_user]])</f>
        <v>83</v>
      </c>
    </row>
    <row r="293" spans="1:19" x14ac:dyDescent="0.3">
      <c r="A293" s="4">
        <v>292</v>
      </c>
      <c r="B293" s="7" t="s">
        <v>91</v>
      </c>
      <c r="C293" s="6" t="s">
        <v>78</v>
      </c>
      <c r="D293" s="6" t="s">
        <v>79</v>
      </c>
      <c r="E293" s="6" t="s">
        <v>31</v>
      </c>
      <c r="F293" s="35">
        <v>14</v>
      </c>
      <c r="G293" s="15" t="str">
        <f t="shared" si="4"/>
        <v>Afternoon</v>
      </c>
      <c r="H293" s="6" t="b">
        <v>0</v>
      </c>
      <c r="I293" s="6" t="s">
        <v>57</v>
      </c>
      <c r="J293" s="6" t="str">
        <f>IF(OR(Dataset_AFinal[[#This Row],[Weekday]]="Sat",Dataset_AFinal[[#This Row],[Weekday]]="Sun"),"Weekend", "Weekday")</f>
        <v>Weekday</v>
      </c>
      <c r="K293" s="6" t="s">
        <v>32</v>
      </c>
      <c r="L293" s="6">
        <v>0.22</v>
      </c>
      <c r="M293" s="35" t="s">
        <v>40</v>
      </c>
      <c r="N293" s="7">
        <v>0.19700000000000001</v>
      </c>
      <c r="O293" s="32">
        <v>0.41</v>
      </c>
      <c r="P293" s="7">
        <v>0.3881</v>
      </c>
      <c r="Q293" s="8">
        <v>3</v>
      </c>
      <c r="R293" s="8">
        <v>39</v>
      </c>
      <c r="S293" s="8">
        <f>SUM(Dataset_AFinal[[#This Row],[Casual_user]:[Registered_user]])</f>
        <v>42</v>
      </c>
    </row>
    <row r="294" spans="1:19" x14ac:dyDescent="0.3">
      <c r="A294" s="4">
        <v>293</v>
      </c>
      <c r="B294" s="7" t="s">
        <v>91</v>
      </c>
      <c r="C294" s="6" t="s">
        <v>78</v>
      </c>
      <c r="D294" s="6" t="s">
        <v>79</v>
      </c>
      <c r="E294" s="6" t="s">
        <v>31</v>
      </c>
      <c r="F294" s="35">
        <v>15</v>
      </c>
      <c r="G294" s="15" t="str">
        <f t="shared" si="4"/>
        <v>Afternoon</v>
      </c>
      <c r="H294" s="6" t="b">
        <v>0</v>
      </c>
      <c r="I294" s="6" t="s">
        <v>57</v>
      </c>
      <c r="J294" s="6" t="str">
        <f>IF(OR(Dataset_AFinal[[#This Row],[Weekday]]="Sat",Dataset_AFinal[[#This Row],[Weekday]]="Sun"),"Weekend", "Weekday")</f>
        <v>Weekday</v>
      </c>
      <c r="K294" s="6" t="s">
        <v>32</v>
      </c>
      <c r="L294" s="6">
        <v>0.24</v>
      </c>
      <c r="M294" s="35" t="s">
        <v>40</v>
      </c>
      <c r="N294" s="7">
        <v>0.21210000000000001</v>
      </c>
      <c r="O294" s="32">
        <v>0.38</v>
      </c>
      <c r="P294" s="7">
        <v>0.29849999999999999</v>
      </c>
      <c r="Q294" s="8">
        <v>5</v>
      </c>
      <c r="R294" s="8">
        <v>55</v>
      </c>
      <c r="S294" s="8">
        <f>SUM(Dataset_AFinal[[#This Row],[Casual_user]:[Registered_user]])</f>
        <v>60</v>
      </c>
    </row>
    <row r="295" spans="1:19" x14ac:dyDescent="0.3">
      <c r="A295" s="4">
        <v>294</v>
      </c>
      <c r="B295" s="7" t="s">
        <v>91</v>
      </c>
      <c r="C295" s="6" t="s">
        <v>78</v>
      </c>
      <c r="D295" s="6" t="s">
        <v>79</v>
      </c>
      <c r="E295" s="6" t="s">
        <v>31</v>
      </c>
      <c r="F295" s="35">
        <v>16</v>
      </c>
      <c r="G295" s="15" t="str">
        <f t="shared" si="4"/>
        <v>Afternoon</v>
      </c>
      <c r="H295" s="6" t="b">
        <v>0</v>
      </c>
      <c r="I295" s="6" t="s">
        <v>57</v>
      </c>
      <c r="J295" s="6" t="str">
        <f>IF(OR(Dataset_AFinal[[#This Row],[Weekday]]="Sat",Dataset_AFinal[[#This Row],[Weekday]]="Sun"),"Weekend", "Weekday")</f>
        <v>Weekday</v>
      </c>
      <c r="K295" s="6" t="s">
        <v>32</v>
      </c>
      <c r="L295" s="6">
        <v>0.24</v>
      </c>
      <c r="M295" s="35" t="s">
        <v>40</v>
      </c>
      <c r="N295" s="7">
        <v>0.21210000000000001</v>
      </c>
      <c r="O295" s="32">
        <v>0.38</v>
      </c>
      <c r="P295" s="7">
        <v>0.35820000000000002</v>
      </c>
      <c r="Q295" s="8">
        <v>2</v>
      </c>
      <c r="R295" s="8">
        <v>76</v>
      </c>
      <c r="S295" s="8">
        <f>SUM(Dataset_AFinal[[#This Row],[Casual_user]:[Registered_user]])</f>
        <v>78</v>
      </c>
    </row>
    <row r="296" spans="1:19" x14ac:dyDescent="0.3">
      <c r="A296" s="4">
        <v>295</v>
      </c>
      <c r="B296" s="7" t="s">
        <v>91</v>
      </c>
      <c r="C296" s="6" t="s">
        <v>78</v>
      </c>
      <c r="D296" s="6" t="s">
        <v>79</v>
      </c>
      <c r="E296" s="6" t="s">
        <v>31</v>
      </c>
      <c r="F296" s="35">
        <v>17</v>
      </c>
      <c r="G296" s="15" t="str">
        <f t="shared" si="4"/>
        <v>Afternoon</v>
      </c>
      <c r="H296" s="6" t="b">
        <v>0</v>
      </c>
      <c r="I296" s="6" t="s">
        <v>57</v>
      </c>
      <c r="J296" s="6" t="str">
        <f>IF(OR(Dataset_AFinal[[#This Row],[Weekday]]="Sat",Dataset_AFinal[[#This Row],[Weekday]]="Sun"),"Weekend", "Weekday")</f>
        <v>Weekday</v>
      </c>
      <c r="K296" s="6" t="s">
        <v>32</v>
      </c>
      <c r="L296" s="6">
        <v>0.2</v>
      </c>
      <c r="M296" s="35" t="s">
        <v>40</v>
      </c>
      <c r="N296" s="7">
        <v>0.18179999999999999</v>
      </c>
      <c r="O296" s="32">
        <v>0.4</v>
      </c>
      <c r="P296" s="7">
        <v>0.28360000000000002</v>
      </c>
      <c r="Q296" s="8">
        <v>4</v>
      </c>
      <c r="R296" s="8">
        <v>158</v>
      </c>
      <c r="S296" s="8">
        <f>SUM(Dataset_AFinal[[#This Row],[Casual_user]:[Registered_user]])</f>
        <v>162</v>
      </c>
    </row>
    <row r="297" spans="1:19" x14ac:dyDescent="0.3">
      <c r="A297" s="4">
        <v>296</v>
      </c>
      <c r="B297" s="7" t="s">
        <v>91</v>
      </c>
      <c r="C297" s="6" t="s">
        <v>78</v>
      </c>
      <c r="D297" s="6" t="s">
        <v>79</v>
      </c>
      <c r="E297" s="6" t="s">
        <v>31</v>
      </c>
      <c r="F297" s="35">
        <v>18</v>
      </c>
      <c r="G297" s="15" t="str">
        <f t="shared" si="4"/>
        <v>Evening</v>
      </c>
      <c r="H297" s="6" t="b">
        <v>0</v>
      </c>
      <c r="I297" s="6" t="s">
        <v>57</v>
      </c>
      <c r="J297" s="6" t="str">
        <f>IF(OR(Dataset_AFinal[[#This Row],[Weekday]]="Sat",Dataset_AFinal[[#This Row],[Weekday]]="Sun"),"Weekend", "Weekday")</f>
        <v>Weekday</v>
      </c>
      <c r="K297" s="6" t="s">
        <v>32</v>
      </c>
      <c r="L297" s="6">
        <v>0.2</v>
      </c>
      <c r="M297" s="35" t="s">
        <v>40</v>
      </c>
      <c r="N297" s="7">
        <v>0.18179999999999999</v>
      </c>
      <c r="O297" s="32">
        <v>0.4</v>
      </c>
      <c r="P297" s="7">
        <v>0.32840000000000003</v>
      </c>
      <c r="Q297" s="8">
        <v>3</v>
      </c>
      <c r="R297" s="8">
        <v>141</v>
      </c>
      <c r="S297" s="8">
        <f>SUM(Dataset_AFinal[[#This Row],[Casual_user]:[Registered_user]])</f>
        <v>144</v>
      </c>
    </row>
    <row r="298" spans="1:19" x14ac:dyDescent="0.3">
      <c r="A298" s="4">
        <v>297</v>
      </c>
      <c r="B298" s="7" t="s">
        <v>91</v>
      </c>
      <c r="C298" s="6" t="s">
        <v>78</v>
      </c>
      <c r="D298" s="6" t="s">
        <v>79</v>
      </c>
      <c r="E298" s="6" t="s">
        <v>31</v>
      </c>
      <c r="F298" s="35">
        <v>19</v>
      </c>
      <c r="G298" s="15" t="str">
        <f t="shared" si="4"/>
        <v>Evening</v>
      </c>
      <c r="H298" s="6" t="b">
        <v>0</v>
      </c>
      <c r="I298" s="6" t="s">
        <v>57</v>
      </c>
      <c r="J298" s="6" t="str">
        <f>IF(OR(Dataset_AFinal[[#This Row],[Weekday]]="Sat",Dataset_AFinal[[#This Row],[Weekday]]="Sun"),"Weekend", "Weekday")</f>
        <v>Weekday</v>
      </c>
      <c r="K298" s="6" t="s">
        <v>32</v>
      </c>
      <c r="L298" s="6">
        <v>0.16</v>
      </c>
      <c r="M298" s="35" t="s">
        <v>40</v>
      </c>
      <c r="N298" s="7">
        <v>0.1515</v>
      </c>
      <c r="O298" s="32">
        <v>0.47</v>
      </c>
      <c r="P298" s="7">
        <v>0.25369999999999998</v>
      </c>
      <c r="Q298" s="8">
        <v>1</v>
      </c>
      <c r="R298" s="8">
        <v>98</v>
      </c>
      <c r="S298" s="8">
        <f>SUM(Dataset_AFinal[[#This Row],[Casual_user]:[Registered_user]])</f>
        <v>99</v>
      </c>
    </row>
    <row r="299" spans="1:19" x14ac:dyDescent="0.3">
      <c r="A299" s="4">
        <v>298</v>
      </c>
      <c r="B299" s="7" t="s">
        <v>91</v>
      </c>
      <c r="C299" s="6" t="s">
        <v>78</v>
      </c>
      <c r="D299" s="6" t="s">
        <v>79</v>
      </c>
      <c r="E299" s="6" t="s">
        <v>31</v>
      </c>
      <c r="F299" s="35">
        <v>20</v>
      </c>
      <c r="G299" s="15" t="str">
        <f t="shared" si="4"/>
        <v>Evening</v>
      </c>
      <c r="H299" s="6" t="b">
        <v>0</v>
      </c>
      <c r="I299" s="6" t="s">
        <v>57</v>
      </c>
      <c r="J299" s="6" t="str">
        <f>IF(OR(Dataset_AFinal[[#This Row],[Weekday]]="Sat",Dataset_AFinal[[#This Row],[Weekday]]="Sun"),"Weekend", "Weekday")</f>
        <v>Weekday</v>
      </c>
      <c r="K299" s="6" t="s">
        <v>32</v>
      </c>
      <c r="L299" s="6">
        <v>0.16</v>
      </c>
      <c r="M299" s="35" t="s">
        <v>40</v>
      </c>
      <c r="N299" s="7">
        <v>0.1515</v>
      </c>
      <c r="O299" s="32">
        <v>0.47</v>
      </c>
      <c r="P299" s="7">
        <v>0.22389999999999999</v>
      </c>
      <c r="Q299" s="8">
        <v>0</v>
      </c>
      <c r="R299" s="8">
        <v>64</v>
      </c>
      <c r="S299" s="8">
        <f>SUM(Dataset_AFinal[[#This Row],[Casual_user]:[Registered_user]])</f>
        <v>64</v>
      </c>
    </row>
    <row r="300" spans="1:19" x14ac:dyDescent="0.3">
      <c r="A300" s="4">
        <v>299</v>
      </c>
      <c r="B300" s="7" t="s">
        <v>91</v>
      </c>
      <c r="C300" s="6" t="s">
        <v>78</v>
      </c>
      <c r="D300" s="6" t="s">
        <v>79</v>
      </c>
      <c r="E300" s="6" t="s">
        <v>31</v>
      </c>
      <c r="F300" s="35">
        <v>21</v>
      </c>
      <c r="G300" s="15" t="str">
        <f t="shared" si="4"/>
        <v>Evening</v>
      </c>
      <c r="H300" s="6" t="b">
        <v>0</v>
      </c>
      <c r="I300" s="6" t="s">
        <v>57</v>
      </c>
      <c r="J300" s="6" t="str">
        <f>IF(OR(Dataset_AFinal[[#This Row],[Weekday]]="Sat",Dataset_AFinal[[#This Row],[Weekday]]="Sun"),"Weekend", "Weekday")</f>
        <v>Weekday</v>
      </c>
      <c r="K300" s="6" t="s">
        <v>32</v>
      </c>
      <c r="L300" s="6">
        <v>0.14000000000000001</v>
      </c>
      <c r="M300" s="35" t="s">
        <v>44</v>
      </c>
      <c r="N300" s="7">
        <v>0.1212</v>
      </c>
      <c r="O300" s="32">
        <v>0.46</v>
      </c>
      <c r="P300" s="7">
        <v>0.29849999999999999</v>
      </c>
      <c r="Q300" s="8">
        <v>0</v>
      </c>
      <c r="R300" s="8">
        <v>40</v>
      </c>
      <c r="S300" s="8">
        <f>SUM(Dataset_AFinal[[#This Row],[Casual_user]:[Registered_user]])</f>
        <v>40</v>
      </c>
    </row>
    <row r="301" spans="1:19" x14ac:dyDescent="0.3">
      <c r="A301" s="4">
        <v>300</v>
      </c>
      <c r="B301" s="7" t="s">
        <v>91</v>
      </c>
      <c r="C301" s="6" t="s">
        <v>78</v>
      </c>
      <c r="D301" s="6" t="s">
        <v>79</v>
      </c>
      <c r="E301" s="6" t="s">
        <v>31</v>
      </c>
      <c r="F301" s="35">
        <v>22</v>
      </c>
      <c r="G301" s="15" t="str">
        <f t="shared" si="4"/>
        <v>Evening</v>
      </c>
      <c r="H301" s="6" t="b">
        <v>0</v>
      </c>
      <c r="I301" s="6" t="s">
        <v>57</v>
      </c>
      <c r="J301" s="6" t="str">
        <f>IF(OR(Dataset_AFinal[[#This Row],[Weekday]]="Sat",Dataset_AFinal[[#This Row],[Weekday]]="Sun"),"Weekend", "Weekday")</f>
        <v>Weekday</v>
      </c>
      <c r="K301" s="6" t="s">
        <v>32</v>
      </c>
      <c r="L301" s="6">
        <v>0.14000000000000001</v>
      </c>
      <c r="M301" s="35" t="s">
        <v>44</v>
      </c>
      <c r="N301" s="7">
        <v>0.1212</v>
      </c>
      <c r="O301" s="32">
        <v>0.46</v>
      </c>
      <c r="P301" s="7">
        <v>0.32840000000000003</v>
      </c>
      <c r="Q301" s="8">
        <v>0</v>
      </c>
      <c r="R301" s="8">
        <v>30</v>
      </c>
      <c r="S301" s="8">
        <f>SUM(Dataset_AFinal[[#This Row],[Casual_user]:[Registered_user]])</f>
        <v>30</v>
      </c>
    </row>
    <row r="302" spans="1:19" x14ac:dyDescent="0.3">
      <c r="A302" s="4">
        <v>301</v>
      </c>
      <c r="B302" s="7" t="s">
        <v>91</v>
      </c>
      <c r="C302" s="6" t="s">
        <v>78</v>
      </c>
      <c r="D302" s="6" t="s">
        <v>79</v>
      </c>
      <c r="E302" s="6" t="s">
        <v>31</v>
      </c>
      <c r="F302" s="35">
        <v>23</v>
      </c>
      <c r="G302" s="15" t="str">
        <f t="shared" si="4"/>
        <v>Evening</v>
      </c>
      <c r="H302" s="6" t="b">
        <v>0</v>
      </c>
      <c r="I302" s="6" t="s">
        <v>57</v>
      </c>
      <c r="J302" s="6" t="str">
        <f>IF(OR(Dataset_AFinal[[#This Row],[Weekday]]="Sat",Dataset_AFinal[[#This Row],[Weekday]]="Sun"),"Weekend", "Weekday")</f>
        <v>Weekday</v>
      </c>
      <c r="K302" s="6" t="s">
        <v>32</v>
      </c>
      <c r="L302" s="6">
        <v>0.12</v>
      </c>
      <c r="M302" s="35" t="s">
        <v>44</v>
      </c>
      <c r="N302" s="7">
        <v>0.13639999999999999</v>
      </c>
      <c r="O302" s="32">
        <v>0.5</v>
      </c>
      <c r="P302" s="7">
        <v>0.19400000000000001</v>
      </c>
      <c r="Q302" s="8">
        <v>1</v>
      </c>
      <c r="R302" s="8">
        <v>14</v>
      </c>
      <c r="S302" s="8">
        <f>SUM(Dataset_AFinal[[#This Row],[Casual_user]:[Registered_user]])</f>
        <v>15</v>
      </c>
    </row>
    <row r="303" spans="1:19" x14ac:dyDescent="0.3">
      <c r="A303" s="4">
        <v>302</v>
      </c>
      <c r="B303" s="7" t="s">
        <v>92</v>
      </c>
      <c r="C303" s="6" t="s">
        <v>78</v>
      </c>
      <c r="D303" s="6" t="s">
        <v>79</v>
      </c>
      <c r="E303" s="6" t="s">
        <v>31</v>
      </c>
      <c r="F303" s="35">
        <v>0</v>
      </c>
      <c r="G303" s="15" t="str">
        <f t="shared" si="4"/>
        <v>Night</v>
      </c>
      <c r="H303" s="6" t="b">
        <v>0</v>
      </c>
      <c r="I303" s="6" t="s">
        <v>58</v>
      </c>
      <c r="J303" s="6" t="str">
        <f>IF(OR(Dataset_AFinal[[#This Row],[Weekday]]="Sat",Dataset_AFinal[[#This Row],[Weekday]]="Sun"),"Weekend", "Weekday")</f>
        <v>Weekday</v>
      </c>
      <c r="K303" s="6" t="s">
        <v>32</v>
      </c>
      <c r="L303" s="6">
        <v>0.12</v>
      </c>
      <c r="M303" s="35" t="s">
        <v>44</v>
      </c>
      <c r="N303" s="7">
        <v>0.13639999999999999</v>
      </c>
      <c r="O303" s="32">
        <v>0.5</v>
      </c>
      <c r="P303" s="7">
        <v>0.19400000000000001</v>
      </c>
      <c r="Q303" s="8">
        <v>0</v>
      </c>
      <c r="R303" s="8">
        <v>14</v>
      </c>
      <c r="S303" s="8">
        <f>SUM(Dataset_AFinal[[#This Row],[Casual_user]:[Registered_user]])</f>
        <v>14</v>
      </c>
    </row>
    <row r="304" spans="1:19" x14ac:dyDescent="0.3">
      <c r="A304" s="4">
        <v>303</v>
      </c>
      <c r="B304" s="7" t="s">
        <v>92</v>
      </c>
      <c r="C304" s="6" t="s">
        <v>78</v>
      </c>
      <c r="D304" s="6" t="s">
        <v>79</v>
      </c>
      <c r="E304" s="6" t="s">
        <v>31</v>
      </c>
      <c r="F304" s="35">
        <v>1</v>
      </c>
      <c r="G304" s="15" t="str">
        <f t="shared" si="4"/>
        <v>Night</v>
      </c>
      <c r="H304" s="6" t="b">
        <v>0</v>
      </c>
      <c r="I304" s="6" t="s">
        <v>58</v>
      </c>
      <c r="J304" s="6" t="str">
        <f>IF(OR(Dataset_AFinal[[#This Row],[Weekday]]="Sat",Dataset_AFinal[[#This Row],[Weekday]]="Sun"),"Weekend", "Weekday")</f>
        <v>Weekday</v>
      </c>
      <c r="K304" s="6" t="s">
        <v>32</v>
      </c>
      <c r="L304" s="6">
        <v>0.1</v>
      </c>
      <c r="M304" s="35" t="s">
        <v>44</v>
      </c>
      <c r="N304" s="7">
        <v>0.1212</v>
      </c>
      <c r="O304" s="32">
        <v>0.54</v>
      </c>
      <c r="P304" s="7">
        <v>0.16420000000000001</v>
      </c>
      <c r="Q304" s="8">
        <v>0</v>
      </c>
      <c r="R304" s="8">
        <v>5</v>
      </c>
      <c r="S304" s="8">
        <f>SUM(Dataset_AFinal[[#This Row],[Casual_user]:[Registered_user]])</f>
        <v>5</v>
      </c>
    </row>
    <row r="305" spans="1:19" x14ac:dyDescent="0.3">
      <c r="A305" s="4">
        <v>304</v>
      </c>
      <c r="B305" s="7" t="s">
        <v>92</v>
      </c>
      <c r="C305" s="6" t="s">
        <v>78</v>
      </c>
      <c r="D305" s="6" t="s">
        <v>79</v>
      </c>
      <c r="E305" s="6" t="s">
        <v>31</v>
      </c>
      <c r="F305" s="35">
        <v>2</v>
      </c>
      <c r="G305" s="15" t="str">
        <f t="shared" si="4"/>
        <v>Night</v>
      </c>
      <c r="H305" s="6" t="b">
        <v>0</v>
      </c>
      <c r="I305" s="6" t="s">
        <v>58</v>
      </c>
      <c r="J305" s="6" t="str">
        <f>IF(OR(Dataset_AFinal[[#This Row],[Weekday]]="Sat",Dataset_AFinal[[#This Row],[Weekday]]="Sun"),"Weekend", "Weekday")</f>
        <v>Weekday</v>
      </c>
      <c r="K305" s="6" t="s">
        <v>32</v>
      </c>
      <c r="L305" s="6">
        <v>0.1</v>
      </c>
      <c r="M305" s="35" t="s">
        <v>44</v>
      </c>
      <c r="N305" s="7">
        <v>0.1212</v>
      </c>
      <c r="O305" s="32">
        <v>0.54</v>
      </c>
      <c r="P305" s="7">
        <v>0.1343</v>
      </c>
      <c r="Q305" s="8">
        <v>0</v>
      </c>
      <c r="R305" s="8">
        <v>1</v>
      </c>
      <c r="S305" s="8">
        <f>SUM(Dataset_AFinal[[#This Row],[Casual_user]:[Registered_user]])</f>
        <v>1</v>
      </c>
    </row>
    <row r="306" spans="1:19" x14ac:dyDescent="0.3">
      <c r="A306" s="4">
        <v>305</v>
      </c>
      <c r="B306" s="7" t="s">
        <v>92</v>
      </c>
      <c r="C306" s="6" t="s">
        <v>78</v>
      </c>
      <c r="D306" s="6" t="s">
        <v>79</v>
      </c>
      <c r="E306" s="6" t="s">
        <v>31</v>
      </c>
      <c r="F306" s="35">
        <v>3</v>
      </c>
      <c r="G306" s="15" t="str">
        <f t="shared" si="4"/>
        <v>Night</v>
      </c>
      <c r="H306" s="6" t="b">
        <v>0</v>
      </c>
      <c r="I306" s="6" t="s">
        <v>58</v>
      </c>
      <c r="J306" s="6" t="str">
        <f>IF(OR(Dataset_AFinal[[#This Row],[Weekday]]="Sat",Dataset_AFinal[[#This Row],[Weekday]]="Sun"),"Weekend", "Weekday")</f>
        <v>Weekday</v>
      </c>
      <c r="K306" s="6" t="s">
        <v>32</v>
      </c>
      <c r="L306" s="6">
        <v>0.1</v>
      </c>
      <c r="M306" s="35" t="s">
        <v>44</v>
      </c>
      <c r="N306" s="7">
        <v>0.13639999999999999</v>
      </c>
      <c r="O306" s="32">
        <v>0.54</v>
      </c>
      <c r="P306" s="7">
        <v>0.1045</v>
      </c>
      <c r="Q306" s="8">
        <v>0</v>
      </c>
      <c r="R306" s="8">
        <v>1</v>
      </c>
      <c r="S306" s="8">
        <f>SUM(Dataset_AFinal[[#This Row],[Casual_user]:[Registered_user]])</f>
        <v>1</v>
      </c>
    </row>
    <row r="307" spans="1:19" x14ac:dyDescent="0.3">
      <c r="A307" s="4">
        <v>306</v>
      </c>
      <c r="B307" s="7" t="s">
        <v>92</v>
      </c>
      <c r="C307" s="6" t="s">
        <v>78</v>
      </c>
      <c r="D307" s="6" t="s">
        <v>79</v>
      </c>
      <c r="E307" s="6" t="s">
        <v>31</v>
      </c>
      <c r="F307" s="35">
        <v>5</v>
      </c>
      <c r="G307" s="15" t="str">
        <f t="shared" si="4"/>
        <v>Night</v>
      </c>
      <c r="H307" s="6" t="b">
        <v>0</v>
      </c>
      <c r="I307" s="6" t="s">
        <v>58</v>
      </c>
      <c r="J307" s="6" t="str">
        <f>IF(OR(Dataset_AFinal[[#This Row],[Weekday]]="Sat",Dataset_AFinal[[#This Row],[Weekday]]="Sun"),"Weekend", "Weekday")</f>
        <v>Weekday</v>
      </c>
      <c r="K307" s="6" t="s">
        <v>32</v>
      </c>
      <c r="L307" s="6">
        <v>0.1</v>
      </c>
      <c r="M307" s="35" t="s">
        <v>44</v>
      </c>
      <c r="N307" s="7">
        <v>0.13639999999999999</v>
      </c>
      <c r="O307" s="32">
        <v>0.54</v>
      </c>
      <c r="P307" s="7">
        <v>8.9599999999999999E-2</v>
      </c>
      <c r="Q307" s="8">
        <v>0</v>
      </c>
      <c r="R307" s="8">
        <v>8</v>
      </c>
      <c r="S307" s="8">
        <f>SUM(Dataset_AFinal[[#This Row],[Casual_user]:[Registered_user]])</f>
        <v>8</v>
      </c>
    </row>
    <row r="308" spans="1:19" x14ac:dyDescent="0.3">
      <c r="A308" s="4">
        <v>307</v>
      </c>
      <c r="B308" s="7" t="s">
        <v>92</v>
      </c>
      <c r="C308" s="6" t="s">
        <v>78</v>
      </c>
      <c r="D308" s="6" t="s">
        <v>79</v>
      </c>
      <c r="E308" s="6" t="s">
        <v>31</v>
      </c>
      <c r="F308" s="35">
        <v>6</v>
      </c>
      <c r="G308" s="15" t="str">
        <f t="shared" si="4"/>
        <v>Morning</v>
      </c>
      <c r="H308" s="6" t="b">
        <v>0</v>
      </c>
      <c r="I308" s="6" t="s">
        <v>58</v>
      </c>
      <c r="J308" s="6" t="str">
        <f>IF(OR(Dataset_AFinal[[#This Row],[Weekday]]="Sat",Dataset_AFinal[[#This Row],[Weekday]]="Sun"),"Weekend", "Weekday")</f>
        <v>Weekday</v>
      </c>
      <c r="K308" s="6" t="s">
        <v>32</v>
      </c>
      <c r="L308" s="6">
        <v>0.1</v>
      </c>
      <c r="M308" s="35" t="s">
        <v>44</v>
      </c>
      <c r="N308" s="7">
        <v>0.18179999999999999</v>
      </c>
      <c r="O308" s="32">
        <v>0.54</v>
      </c>
      <c r="P308" s="7">
        <v>0</v>
      </c>
      <c r="Q308" s="8">
        <v>0</v>
      </c>
      <c r="R308" s="8">
        <v>17</v>
      </c>
      <c r="S308" s="8">
        <f>SUM(Dataset_AFinal[[#This Row],[Casual_user]:[Registered_user]])</f>
        <v>17</v>
      </c>
    </row>
    <row r="309" spans="1:19" x14ac:dyDescent="0.3">
      <c r="A309" s="4">
        <v>308</v>
      </c>
      <c r="B309" s="7" t="s">
        <v>92</v>
      </c>
      <c r="C309" s="6" t="s">
        <v>78</v>
      </c>
      <c r="D309" s="6" t="s">
        <v>79</v>
      </c>
      <c r="E309" s="6" t="s">
        <v>31</v>
      </c>
      <c r="F309" s="35">
        <v>7</v>
      </c>
      <c r="G309" s="15" t="str">
        <f t="shared" si="4"/>
        <v>Morning</v>
      </c>
      <c r="H309" s="6" t="b">
        <v>0</v>
      </c>
      <c r="I309" s="6" t="s">
        <v>58</v>
      </c>
      <c r="J309" s="6" t="str">
        <f>IF(OR(Dataset_AFinal[[#This Row],[Weekday]]="Sat",Dataset_AFinal[[#This Row],[Weekday]]="Sun"),"Weekend", "Weekday")</f>
        <v>Weekday</v>
      </c>
      <c r="K309" s="6" t="s">
        <v>32</v>
      </c>
      <c r="L309" s="6">
        <v>0.1</v>
      </c>
      <c r="M309" s="35" t="s">
        <v>44</v>
      </c>
      <c r="N309" s="7">
        <v>0.1212</v>
      </c>
      <c r="O309" s="32">
        <v>0.74</v>
      </c>
      <c r="P309" s="7">
        <v>0.16420000000000001</v>
      </c>
      <c r="Q309" s="8">
        <v>0</v>
      </c>
      <c r="R309" s="8">
        <v>70</v>
      </c>
      <c r="S309" s="8">
        <f>SUM(Dataset_AFinal[[#This Row],[Casual_user]:[Registered_user]])</f>
        <v>70</v>
      </c>
    </row>
    <row r="310" spans="1:19" x14ac:dyDescent="0.3">
      <c r="A310" s="4">
        <v>309</v>
      </c>
      <c r="B310" s="7" t="s">
        <v>92</v>
      </c>
      <c r="C310" s="6" t="s">
        <v>78</v>
      </c>
      <c r="D310" s="6" t="s">
        <v>79</v>
      </c>
      <c r="E310" s="6" t="s">
        <v>31</v>
      </c>
      <c r="F310" s="35">
        <v>8</v>
      </c>
      <c r="G310" s="15" t="str">
        <f t="shared" si="4"/>
        <v>Morning</v>
      </c>
      <c r="H310" s="6" t="b">
        <v>0</v>
      </c>
      <c r="I310" s="6" t="s">
        <v>58</v>
      </c>
      <c r="J310" s="6" t="str">
        <f>IF(OR(Dataset_AFinal[[#This Row],[Weekday]]="Sat",Dataset_AFinal[[#This Row],[Weekday]]="Sun"),"Weekend", "Weekday")</f>
        <v>Weekday</v>
      </c>
      <c r="K310" s="6" t="s">
        <v>32</v>
      </c>
      <c r="L310" s="6">
        <v>0.12</v>
      </c>
      <c r="M310" s="35" t="s">
        <v>44</v>
      </c>
      <c r="N310" s="7">
        <v>0.16669999999999999</v>
      </c>
      <c r="O310" s="32">
        <v>0.68</v>
      </c>
      <c r="P310" s="7">
        <v>0</v>
      </c>
      <c r="Q310" s="8">
        <v>2</v>
      </c>
      <c r="R310" s="8">
        <v>156</v>
      </c>
      <c r="S310" s="8">
        <f>SUM(Dataset_AFinal[[#This Row],[Casual_user]:[Registered_user]])</f>
        <v>158</v>
      </c>
    </row>
    <row r="311" spans="1:19" x14ac:dyDescent="0.3">
      <c r="A311" s="4">
        <v>310</v>
      </c>
      <c r="B311" s="7" t="s">
        <v>92</v>
      </c>
      <c r="C311" s="6" t="s">
        <v>78</v>
      </c>
      <c r="D311" s="6" t="s">
        <v>79</v>
      </c>
      <c r="E311" s="6" t="s">
        <v>31</v>
      </c>
      <c r="F311" s="35">
        <v>9</v>
      </c>
      <c r="G311" s="15" t="str">
        <f t="shared" si="4"/>
        <v>Morning</v>
      </c>
      <c r="H311" s="6" t="b">
        <v>0</v>
      </c>
      <c r="I311" s="6" t="s">
        <v>58</v>
      </c>
      <c r="J311" s="6" t="str">
        <f>IF(OR(Dataset_AFinal[[#This Row],[Weekday]]="Sat",Dataset_AFinal[[#This Row],[Weekday]]="Sun"),"Weekend", "Weekday")</f>
        <v>Weekday</v>
      </c>
      <c r="K311" s="6" t="s">
        <v>32</v>
      </c>
      <c r="L311" s="6">
        <v>0.14000000000000001</v>
      </c>
      <c r="M311" s="35" t="s">
        <v>44</v>
      </c>
      <c r="N311" s="7">
        <v>0.1515</v>
      </c>
      <c r="O311" s="32">
        <v>0.69</v>
      </c>
      <c r="P311" s="7">
        <v>0.1343</v>
      </c>
      <c r="Q311" s="8">
        <v>0</v>
      </c>
      <c r="R311" s="8">
        <v>117</v>
      </c>
      <c r="S311" s="8">
        <f>SUM(Dataset_AFinal[[#This Row],[Casual_user]:[Registered_user]])</f>
        <v>117</v>
      </c>
    </row>
    <row r="312" spans="1:19" x14ac:dyDescent="0.3">
      <c r="A312" s="4">
        <v>311</v>
      </c>
      <c r="B312" s="7" t="s">
        <v>92</v>
      </c>
      <c r="C312" s="6" t="s">
        <v>78</v>
      </c>
      <c r="D312" s="6" t="s">
        <v>79</v>
      </c>
      <c r="E312" s="6" t="s">
        <v>31</v>
      </c>
      <c r="F312" s="35">
        <v>10</v>
      </c>
      <c r="G312" s="15" t="str">
        <f t="shared" si="4"/>
        <v>Morning</v>
      </c>
      <c r="H312" s="6" t="b">
        <v>0</v>
      </c>
      <c r="I312" s="6" t="s">
        <v>58</v>
      </c>
      <c r="J312" s="6" t="str">
        <f>IF(OR(Dataset_AFinal[[#This Row],[Weekday]]="Sat",Dataset_AFinal[[#This Row],[Weekday]]="Sun"),"Weekend", "Weekday")</f>
        <v>Weekday</v>
      </c>
      <c r="K312" s="6" t="s">
        <v>32</v>
      </c>
      <c r="L312" s="6">
        <v>0.18</v>
      </c>
      <c r="M312" s="35" t="s">
        <v>40</v>
      </c>
      <c r="N312" s="7">
        <v>0.18179999999999999</v>
      </c>
      <c r="O312" s="32">
        <v>0.55000000000000004</v>
      </c>
      <c r="P312" s="7">
        <v>0.19400000000000001</v>
      </c>
      <c r="Q312" s="8">
        <v>4</v>
      </c>
      <c r="R312" s="8">
        <v>40</v>
      </c>
      <c r="S312" s="8">
        <f>SUM(Dataset_AFinal[[#This Row],[Casual_user]:[Registered_user]])</f>
        <v>44</v>
      </c>
    </row>
    <row r="313" spans="1:19" x14ac:dyDescent="0.3">
      <c r="A313" s="4">
        <v>312</v>
      </c>
      <c r="B313" s="7" t="s">
        <v>92</v>
      </c>
      <c r="C313" s="6" t="s">
        <v>78</v>
      </c>
      <c r="D313" s="6" t="s">
        <v>79</v>
      </c>
      <c r="E313" s="6" t="s">
        <v>31</v>
      </c>
      <c r="F313" s="35">
        <v>11</v>
      </c>
      <c r="G313" s="15" t="str">
        <f t="shared" si="4"/>
        <v>Morning</v>
      </c>
      <c r="H313" s="6" t="b">
        <v>0</v>
      </c>
      <c r="I313" s="6" t="s">
        <v>58</v>
      </c>
      <c r="J313" s="6" t="str">
        <f>IF(OR(Dataset_AFinal[[#This Row],[Weekday]]="Sat",Dataset_AFinal[[#This Row],[Weekday]]="Sun"),"Weekend", "Weekday")</f>
        <v>Weekday</v>
      </c>
      <c r="K313" s="6" t="s">
        <v>32</v>
      </c>
      <c r="L313" s="6">
        <v>0.18</v>
      </c>
      <c r="M313" s="35" t="s">
        <v>40</v>
      </c>
      <c r="N313" s="7">
        <v>0.16669999999999999</v>
      </c>
      <c r="O313" s="32">
        <v>0.51</v>
      </c>
      <c r="P313" s="7">
        <v>0.28360000000000002</v>
      </c>
      <c r="Q313" s="8">
        <v>6</v>
      </c>
      <c r="R313" s="8">
        <v>47</v>
      </c>
      <c r="S313" s="8">
        <f>SUM(Dataset_AFinal[[#This Row],[Casual_user]:[Registered_user]])</f>
        <v>53</v>
      </c>
    </row>
    <row r="314" spans="1:19" x14ac:dyDescent="0.3">
      <c r="A314" s="4">
        <v>313</v>
      </c>
      <c r="B314" s="7" t="s">
        <v>92</v>
      </c>
      <c r="C314" s="6" t="s">
        <v>78</v>
      </c>
      <c r="D314" s="6" t="s">
        <v>79</v>
      </c>
      <c r="E314" s="6" t="s">
        <v>31</v>
      </c>
      <c r="F314" s="35">
        <v>12</v>
      </c>
      <c r="G314" s="15" t="str">
        <f t="shared" si="4"/>
        <v>Afternoon</v>
      </c>
      <c r="H314" s="6" t="b">
        <v>0</v>
      </c>
      <c r="I314" s="6" t="s">
        <v>58</v>
      </c>
      <c r="J314" s="6" t="str">
        <f>IF(OR(Dataset_AFinal[[#This Row],[Weekday]]="Sat",Dataset_AFinal[[#This Row],[Weekday]]="Sun"),"Weekend", "Weekday")</f>
        <v>Weekday</v>
      </c>
      <c r="K314" s="6" t="s">
        <v>32</v>
      </c>
      <c r="L314" s="6">
        <v>0.2</v>
      </c>
      <c r="M314" s="35" t="s">
        <v>40</v>
      </c>
      <c r="N314" s="7">
        <v>0.19700000000000001</v>
      </c>
      <c r="O314" s="32">
        <v>0.44</v>
      </c>
      <c r="P314" s="7">
        <v>0.25369999999999998</v>
      </c>
      <c r="Q314" s="8">
        <v>2</v>
      </c>
      <c r="R314" s="8">
        <v>59</v>
      </c>
      <c r="S314" s="8">
        <f>SUM(Dataset_AFinal[[#This Row],[Casual_user]:[Registered_user]])</f>
        <v>61</v>
      </c>
    </row>
    <row r="315" spans="1:19" x14ac:dyDescent="0.3">
      <c r="A315" s="4">
        <v>314</v>
      </c>
      <c r="B315" s="7" t="s">
        <v>92</v>
      </c>
      <c r="C315" s="6" t="s">
        <v>78</v>
      </c>
      <c r="D315" s="6" t="s">
        <v>79</v>
      </c>
      <c r="E315" s="6" t="s">
        <v>31</v>
      </c>
      <c r="F315" s="35">
        <v>13</v>
      </c>
      <c r="G315" s="15" t="str">
        <f t="shared" si="4"/>
        <v>Afternoon</v>
      </c>
      <c r="H315" s="6" t="b">
        <v>0</v>
      </c>
      <c r="I315" s="6" t="s">
        <v>58</v>
      </c>
      <c r="J315" s="6" t="str">
        <f>IF(OR(Dataset_AFinal[[#This Row],[Weekday]]="Sat",Dataset_AFinal[[#This Row],[Weekday]]="Sun"),"Weekend", "Weekday")</f>
        <v>Weekday</v>
      </c>
      <c r="K315" s="6" t="s">
        <v>32</v>
      </c>
      <c r="L315" s="6">
        <v>0.22</v>
      </c>
      <c r="M315" s="35" t="s">
        <v>40</v>
      </c>
      <c r="N315" s="7">
        <v>0.19700000000000001</v>
      </c>
      <c r="O315" s="32">
        <v>0.37</v>
      </c>
      <c r="P315" s="7">
        <v>0.3881</v>
      </c>
      <c r="Q315" s="8">
        <v>4</v>
      </c>
      <c r="R315" s="8">
        <v>73</v>
      </c>
      <c r="S315" s="8">
        <f>SUM(Dataset_AFinal[[#This Row],[Casual_user]:[Registered_user]])</f>
        <v>77</v>
      </c>
    </row>
    <row r="316" spans="1:19" x14ac:dyDescent="0.3">
      <c r="A316" s="4">
        <v>315</v>
      </c>
      <c r="B316" s="7" t="s">
        <v>92</v>
      </c>
      <c r="C316" s="6" t="s">
        <v>78</v>
      </c>
      <c r="D316" s="6" t="s">
        <v>79</v>
      </c>
      <c r="E316" s="6" t="s">
        <v>31</v>
      </c>
      <c r="F316" s="35">
        <v>14</v>
      </c>
      <c r="G316" s="15" t="str">
        <f t="shared" si="4"/>
        <v>Afternoon</v>
      </c>
      <c r="H316" s="6" t="b">
        <v>0</v>
      </c>
      <c r="I316" s="6" t="s">
        <v>58</v>
      </c>
      <c r="J316" s="6" t="str">
        <f>IF(OR(Dataset_AFinal[[#This Row],[Weekday]]="Sat",Dataset_AFinal[[#This Row],[Weekday]]="Sun"),"Weekend", "Weekday")</f>
        <v>Weekday</v>
      </c>
      <c r="K316" s="6" t="s">
        <v>32</v>
      </c>
      <c r="L316" s="6">
        <v>0.22</v>
      </c>
      <c r="M316" s="35" t="s">
        <v>40</v>
      </c>
      <c r="N316" s="7">
        <v>0.21210000000000001</v>
      </c>
      <c r="O316" s="32">
        <v>0.41</v>
      </c>
      <c r="P316" s="7">
        <v>0.28360000000000002</v>
      </c>
      <c r="Q316" s="8">
        <v>5</v>
      </c>
      <c r="R316" s="8">
        <v>59</v>
      </c>
      <c r="S316" s="8">
        <f>SUM(Dataset_AFinal[[#This Row],[Casual_user]:[Registered_user]])</f>
        <v>64</v>
      </c>
    </row>
    <row r="317" spans="1:19" x14ac:dyDescent="0.3">
      <c r="A317" s="4">
        <v>316</v>
      </c>
      <c r="B317" s="7" t="s">
        <v>92</v>
      </c>
      <c r="C317" s="6" t="s">
        <v>78</v>
      </c>
      <c r="D317" s="6" t="s">
        <v>79</v>
      </c>
      <c r="E317" s="6" t="s">
        <v>31</v>
      </c>
      <c r="F317" s="35">
        <v>15</v>
      </c>
      <c r="G317" s="15" t="str">
        <f t="shared" si="4"/>
        <v>Afternoon</v>
      </c>
      <c r="H317" s="6" t="b">
        <v>0</v>
      </c>
      <c r="I317" s="6" t="s">
        <v>58</v>
      </c>
      <c r="J317" s="6" t="str">
        <f>IF(OR(Dataset_AFinal[[#This Row],[Weekday]]="Sat",Dataset_AFinal[[#This Row],[Weekday]]="Sun"),"Weekend", "Weekday")</f>
        <v>Weekday</v>
      </c>
      <c r="K317" s="6" t="s">
        <v>32</v>
      </c>
      <c r="L317" s="6">
        <v>0.24</v>
      </c>
      <c r="M317" s="35" t="s">
        <v>40</v>
      </c>
      <c r="N317" s="7">
        <v>0.2424</v>
      </c>
      <c r="O317" s="32">
        <v>0.38</v>
      </c>
      <c r="P317" s="7">
        <v>0.16420000000000001</v>
      </c>
      <c r="Q317" s="8">
        <v>9</v>
      </c>
      <c r="R317" s="8">
        <v>59</v>
      </c>
      <c r="S317" s="8">
        <f>SUM(Dataset_AFinal[[#This Row],[Casual_user]:[Registered_user]])</f>
        <v>68</v>
      </c>
    </row>
    <row r="318" spans="1:19" x14ac:dyDescent="0.3">
      <c r="A318" s="4">
        <v>317</v>
      </c>
      <c r="B318" s="7" t="s">
        <v>92</v>
      </c>
      <c r="C318" s="6" t="s">
        <v>78</v>
      </c>
      <c r="D318" s="6" t="s">
        <v>79</v>
      </c>
      <c r="E318" s="6" t="s">
        <v>31</v>
      </c>
      <c r="F318" s="35">
        <v>16</v>
      </c>
      <c r="G318" s="15" t="str">
        <f t="shared" si="4"/>
        <v>Afternoon</v>
      </c>
      <c r="H318" s="6" t="b">
        <v>0</v>
      </c>
      <c r="I318" s="6" t="s">
        <v>58</v>
      </c>
      <c r="J318" s="6" t="str">
        <f>IF(OR(Dataset_AFinal[[#This Row],[Weekday]]="Sat",Dataset_AFinal[[#This Row],[Weekday]]="Sun"),"Weekend", "Weekday")</f>
        <v>Weekday</v>
      </c>
      <c r="K318" s="6" t="s">
        <v>32</v>
      </c>
      <c r="L318" s="6">
        <v>0.22</v>
      </c>
      <c r="M318" s="35" t="s">
        <v>40</v>
      </c>
      <c r="N318" s="7">
        <v>0.2424</v>
      </c>
      <c r="O318" s="32">
        <v>0.41</v>
      </c>
      <c r="P318" s="7">
        <v>0.1045</v>
      </c>
      <c r="Q318" s="8">
        <v>3</v>
      </c>
      <c r="R318" s="8">
        <v>87</v>
      </c>
      <c r="S318" s="8">
        <f>SUM(Dataset_AFinal[[#This Row],[Casual_user]:[Registered_user]])</f>
        <v>90</v>
      </c>
    </row>
    <row r="319" spans="1:19" x14ac:dyDescent="0.3">
      <c r="A319" s="4">
        <v>318</v>
      </c>
      <c r="B319" s="7" t="s">
        <v>92</v>
      </c>
      <c r="C319" s="6" t="s">
        <v>78</v>
      </c>
      <c r="D319" s="6" t="s">
        <v>79</v>
      </c>
      <c r="E319" s="6" t="s">
        <v>31</v>
      </c>
      <c r="F319" s="35">
        <v>17</v>
      </c>
      <c r="G319" s="15" t="str">
        <f t="shared" si="4"/>
        <v>Afternoon</v>
      </c>
      <c r="H319" s="6" t="b">
        <v>0</v>
      </c>
      <c r="I319" s="6" t="s">
        <v>58</v>
      </c>
      <c r="J319" s="6" t="str">
        <f>IF(OR(Dataset_AFinal[[#This Row],[Weekday]]="Sat",Dataset_AFinal[[#This Row],[Weekday]]="Sun"),"Weekend", "Weekday")</f>
        <v>Weekday</v>
      </c>
      <c r="K319" s="6" t="s">
        <v>32</v>
      </c>
      <c r="L319" s="6">
        <v>0.22</v>
      </c>
      <c r="M319" s="35" t="s">
        <v>40</v>
      </c>
      <c r="N319" s="7">
        <v>0.2273</v>
      </c>
      <c r="O319" s="32">
        <v>0.41</v>
      </c>
      <c r="P319" s="7">
        <v>0.16420000000000001</v>
      </c>
      <c r="Q319" s="8">
        <v>4</v>
      </c>
      <c r="R319" s="8">
        <v>155</v>
      </c>
      <c r="S319" s="8">
        <f>SUM(Dataset_AFinal[[#This Row],[Casual_user]:[Registered_user]])</f>
        <v>159</v>
      </c>
    </row>
    <row r="320" spans="1:19" x14ac:dyDescent="0.3">
      <c r="A320" s="4">
        <v>319</v>
      </c>
      <c r="B320" s="7" t="s">
        <v>92</v>
      </c>
      <c r="C320" s="6" t="s">
        <v>78</v>
      </c>
      <c r="D320" s="6" t="s">
        <v>79</v>
      </c>
      <c r="E320" s="6" t="s">
        <v>31</v>
      </c>
      <c r="F320" s="35">
        <v>18</v>
      </c>
      <c r="G320" s="15" t="str">
        <f t="shared" si="4"/>
        <v>Evening</v>
      </c>
      <c r="H320" s="6" t="b">
        <v>0</v>
      </c>
      <c r="I320" s="6" t="s">
        <v>58</v>
      </c>
      <c r="J320" s="6" t="str">
        <f>IF(OR(Dataset_AFinal[[#This Row],[Weekday]]="Sat",Dataset_AFinal[[#This Row],[Weekday]]="Sun"),"Weekend", "Weekday")</f>
        <v>Weekday</v>
      </c>
      <c r="K320" s="6" t="s">
        <v>32</v>
      </c>
      <c r="L320" s="6">
        <v>0.2</v>
      </c>
      <c r="M320" s="35" t="s">
        <v>40</v>
      </c>
      <c r="N320" s="7">
        <v>0.2576</v>
      </c>
      <c r="O320" s="32">
        <v>0.47</v>
      </c>
      <c r="P320" s="7">
        <v>0</v>
      </c>
      <c r="Q320" s="8">
        <v>5</v>
      </c>
      <c r="R320" s="8">
        <v>134</v>
      </c>
      <c r="S320" s="8">
        <f>SUM(Dataset_AFinal[[#This Row],[Casual_user]:[Registered_user]])</f>
        <v>139</v>
      </c>
    </row>
    <row r="321" spans="1:19" x14ac:dyDescent="0.3">
      <c r="A321" s="4">
        <v>320</v>
      </c>
      <c r="B321" s="7" t="s">
        <v>92</v>
      </c>
      <c r="C321" s="6" t="s">
        <v>78</v>
      </c>
      <c r="D321" s="6" t="s">
        <v>79</v>
      </c>
      <c r="E321" s="6" t="s">
        <v>31</v>
      </c>
      <c r="F321" s="35">
        <v>19</v>
      </c>
      <c r="G321" s="15" t="str">
        <f t="shared" si="4"/>
        <v>Evening</v>
      </c>
      <c r="H321" s="6" t="b">
        <v>0</v>
      </c>
      <c r="I321" s="6" t="s">
        <v>58</v>
      </c>
      <c r="J321" s="6" t="str">
        <f>IF(OR(Dataset_AFinal[[#This Row],[Weekday]]="Sat",Dataset_AFinal[[#This Row],[Weekday]]="Sun"),"Weekend", "Weekday")</f>
        <v>Weekday</v>
      </c>
      <c r="K321" s="6" t="s">
        <v>32</v>
      </c>
      <c r="L321" s="6">
        <v>0.16</v>
      </c>
      <c r="M321" s="35" t="s">
        <v>40</v>
      </c>
      <c r="N321" s="7">
        <v>0.19700000000000001</v>
      </c>
      <c r="O321" s="32">
        <v>0.59</v>
      </c>
      <c r="P321" s="7">
        <v>8.9599999999999999E-2</v>
      </c>
      <c r="Q321" s="8">
        <v>3</v>
      </c>
      <c r="R321" s="8">
        <v>89</v>
      </c>
      <c r="S321" s="8">
        <f>SUM(Dataset_AFinal[[#This Row],[Casual_user]:[Registered_user]])</f>
        <v>92</v>
      </c>
    </row>
    <row r="322" spans="1:19" x14ac:dyDescent="0.3">
      <c r="A322" s="4">
        <v>321</v>
      </c>
      <c r="B322" s="7" t="s">
        <v>92</v>
      </c>
      <c r="C322" s="6" t="s">
        <v>78</v>
      </c>
      <c r="D322" s="6" t="s">
        <v>79</v>
      </c>
      <c r="E322" s="6" t="s">
        <v>31</v>
      </c>
      <c r="F322" s="35">
        <v>20</v>
      </c>
      <c r="G322" s="15" t="str">
        <f t="shared" ref="G322:G385" si="5">IF(F322&lt;6,"Night",IF(F322&lt;12,"Morning",IF(F322&lt;18,"Afternoon","Evening")))</f>
        <v>Evening</v>
      </c>
      <c r="H322" s="6" t="b">
        <v>0</v>
      </c>
      <c r="I322" s="6" t="s">
        <v>58</v>
      </c>
      <c r="J322" s="6" t="str">
        <f>IF(OR(Dataset_AFinal[[#This Row],[Weekday]]="Sat",Dataset_AFinal[[#This Row],[Weekday]]="Sun"),"Weekend", "Weekday")</f>
        <v>Weekday</v>
      </c>
      <c r="K322" s="6" t="s">
        <v>32</v>
      </c>
      <c r="L322" s="6">
        <v>0.18</v>
      </c>
      <c r="M322" s="35" t="s">
        <v>40</v>
      </c>
      <c r="N322" s="7">
        <v>0.2424</v>
      </c>
      <c r="O322" s="32">
        <v>0.59</v>
      </c>
      <c r="P322" s="7">
        <v>0</v>
      </c>
      <c r="Q322" s="8">
        <v>0</v>
      </c>
      <c r="R322" s="8">
        <v>68</v>
      </c>
      <c r="S322" s="8">
        <f>SUM(Dataset_AFinal[[#This Row],[Casual_user]:[Registered_user]])</f>
        <v>68</v>
      </c>
    </row>
    <row r="323" spans="1:19" x14ac:dyDescent="0.3">
      <c r="A323" s="4">
        <v>322</v>
      </c>
      <c r="B323" s="7" t="s">
        <v>92</v>
      </c>
      <c r="C323" s="6" t="s">
        <v>78</v>
      </c>
      <c r="D323" s="6" t="s">
        <v>79</v>
      </c>
      <c r="E323" s="6" t="s">
        <v>31</v>
      </c>
      <c r="F323" s="35">
        <v>21</v>
      </c>
      <c r="G323" s="15" t="str">
        <f t="shared" si="5"/>
        <v>Evening</v>
      </c>
      <c r="H323" s="6" t="b">
        <v>0</v>
      </c>
      <c r="I323" s="6" t="s">
        <v>58</v>
      </c>
      <c r="J323" s="6" t="str">
        <f>IF(OR(Dataset_AFinal[[#This Row],[Weekday]]="Sat",Dataset_AFinal[[#This Row],[Weekday]]="Sun"),"Weekend", "Weekday")</f>
        <v>Weekday</v>
      </c>
      <c r="K323" s="6" t="s">
        <v>32</v>
      </c>
      <c r="L323" s="6">
        <v>0.16</v>
      </c>
      <c r="M323" s="35" t="s">
        <v>40</v>
      </c>
      <c r="N323" s="7">
        <v>0.2273</v>
      </c>
      <c r="O323" s="32">
        <v>0.69</v>
      </c>
      <c r="P323" s="7">
        <v>0</v>
      </c>
      <c r="Q323" s="8">
        <v>4</v>
      </c>
      <c r="R323" s="8">
        <v>48</v>
      </c>
      <c r="S323" s="8">
        <f>SUM(Dataset_AFinal[[#This Row],[Casual_user]:[Registered_user]])</f>
        <v>52</v>
      </c>
    </row>
    <row r="324" spans="1:19" x14ac:dyDescent="0.3">
      <c r="A324" s="4">
        <v>323</v>
      </c>
      <c r="B324" s="7" t="s">
        <v>92</v>
      </c>
      <c r="C324" s="6" t="s">
        <v>78</v>
      </c>
      <c r="D324" s="6" t="s">
        <v>79</v>
      </c>
      <c r="E324" s="6" t="s">
        <v>31</v>
      </c>
      <c r="F324" s="35">
        <v>22</v>
      </c>
      <c r="G324" s="15" t="str">
        <f t="shared" si="5"/>
        <v>Evening</v>
      </c>
      <c r="H324" s="6" t="b">
        <v>0</v>
      </c>
      <c r="I324" s="6" t="s">
        <v>58</v>
      </c>
      <c r="J324" s="6" t="str">
        <f>IF(OR(Dataset_AFinal[[#This Row],[Weekday]]="Sat",Dataset_AFinal[[#This Row],[Weekday]]="Sun"),"Weekend", "Weekday")</f>
        <v>Weekday</v>
      </c>
      <c r="K324" s="6" t="s">
        <v>33</v>
      </c>
      <c r="L324" s="6">
        <v>0.16</v>
      </c>
      <c r="M324" s="35" t="s">
        <v>40</v>
      </c>
      <c r="N324" s="7">
        <v>0.2273</v>
      </c>
      <c r="O324" s="32">
        <v>0.69</v>
      </c>
      <c r="P324" s="7">
        <v>0</v>
      </c>
      <c r="Q324" s="8">
        <v>2</v>
      </c>
      <c r="R324" s="8">
        <v>34</v>
      </c>
      <c r="S324" s="8">
        <f>SUM(Dataset_AFinal[[#This Row],[Casual_user]:[Registered_user]])</f>
        <v>36</v>
      </c>
    </row>
    <row r="325" spans="1:19" x14ac:dyDescent="0.3">
      <c r="A325" s="4">
        <v>324</v>
      </c>
      <c r="B325" s="7" t="s">
        <v>92</v>
      </c>
      <c r="C325" s="6" t="s">
        <v>78</v>
      </c>
      <c r="D325" s="6" t="s">
        <v>79</v>
      </c>
      <c r="E325" s="6" t="s">
        <v>31</v>
      </c>
      <c r="F325" s="35">
        <v>23</v>
      </c>
      <c r="G325" s="15" t="str">
        <f t="shared" si="5"/>
        <v>Evening</v>
      </c>
      <c r="H325" s="6" t="b">
        <v>0</v>
      </c>
      <c r="I325" s="6" t="s">
        <v>58</v>
      </c>
      <c r="J325" s="6" t="str">
        <f>IF(OR(Dataset_AFinal[[#This Row],[Weekday]]="Sat",Dataset_AFinal[[#This Row],[Weekday]]="Sun"),"Weekend", "Weekday")</f>
        <v>Weekday</v>
      </c>
      <c r="K325" s="6" t="s">
        <v>33</v>
      </c>
      <c r="L325" s="6">
        <v>0.18</v>
      </c>
      <c r="M325" s="35" t="s">
        <v>40</v>
      </c>
      <c r="N325" s="7">
        <v>0.2424</v>
      </c>
      <c r="O325" s="32">
        <v>0.55000000000000004</v>
      </c>
      <c r="P325" s="7">
        <v>0</v>
      </c>
      <c r="Q325" s="8">
        <v>1</v>
      </c>
      <c r="R325" s="8">
        <v>26</v>
      </c>
      <c r="S325" s="8">
        <f>SUM(Dataset_AFinal[[#This Row],[Casual_user]:[Registered_user]])</f>
        <v>27</v>
      </c>
    </row>
    <row r="326" spans="1:19" x14ac:dyDescent="0.3">
      <c r="A326" s="4">
        <v>325</v>
      </c>
      <c r="B326" s="7" t="s">
        <v>93</v>
      </c>
      <c r="C326" s="6" t="s">
        <v>78</v>
      </c>
      <c r="D326" s="6" t="s">
        <v>79</v>
      </c>
      <c r="E326" s="6" t="s">
        <v>31</v>
      </c>
      <c r="F326" s="35">
        <v>0</v>
      </c>
      <c r="G326" s="15" t="str">
        <f t="shared" si="5"/>
        <v>Night</v>
      </c>
      <c r="H326" s="6" t="b">
        <v>0</v>
      </c>
      <c r="I326" s="6" t="s">
        <v>52</v>
      </c>
      <c r="J326" s="6" t="str">
        <f>IF(OR(Dataset_AFinal[[#This Row],[Weekday]]="Sat",Dataset_AFinal[[#This Row],[Weekday]]="Sun"),"Weekend", "Weekday")</f>
        <v>Weekend</v>
      </c>
      <c r="K326" s="6" t="s">
        <v>32</v>
      </c>
      <c r="L326" s="6">
        <v>0.18</v>
      </c>
      <c r="M326" s="35" t="s">
        <v>40</v>
      </c>
      <c r="N326" s="7">
        <v>0.2424</v>
      </c>
      <c r="O326" s="32">
        <v>0.55000000000000004</v>
      </c>
      <c r="P326" s="7">
        <v>0</v>
      </c>
      <c r="Q326" s="8">
        <v>3</v>
      </c>
      <c r="R326" s="8">
        <v>25</v>
      </c>
      <c r="S326" s="8">
        <f>SUM(Dataset_AFinal[[#This Row],[Casual_user]:[Registered_user]])</f>
        <v>28</v>
      </c>
    </row>
    <row r="327" spans="1:19" x14ac:dyDescent="0.3">
      <c r="A327" s="4">
        <v>326</v>
      </c>
      <c r="B327" s="7" t="s">
        <v>93</v>
      </c>
      <c r="C327" s="6" t="s">
        <v>78</v>
      </c>
      <c r="D327" s="6" t="s">
        <v>79</v>
      </c>
      <c r="E327" s="6" t="s">
        <v>31</v>
      </c>
      <c r="F327" s="35">
        <v>1</v>
      </c>
      <c r="G327" s="15" t="str">
        <f t="shared" si="5"/>
        <v>Night</v>
      </c>
      <c r="H327" s="6" t="b">
        <v>0</v>
      </c>
      <c r="I327" s="6" t="s">
        <v>52</v>
      </c>
      <c r="J327" s="6" t="str">
        <f>IF(OR(Dataset_AFinal[[#This Row],[Weekday]]="Sat",Dataset_AFinal[[#This Row],[Weekday]]="Sun"),"Weekend", "Weekday")</f>
        <v>Weekend</v>
      </c>
      <c r="K327" s="6" t="s">
        <v>33</v>
      </c>
      <c r="L327" s="6">
        <v>0.16</v>
      </c>
      <c r="M327" s="35" t="s">
        <v>40</v>
      </c>
      <c r="N327" s="7">
        <v>0.19700000000000001</v>
      </c>
      <c r="O327" s="32">
        <v>0.59</v>
      </c>
      <c r="P327" s="7">
        <v>8.9599999999999999E-2</v>
      </c>
      <c r="Q327" s="8">
        <v>2</v>
      </c>
      <c r="R327" s="8">
        <v>18</v>
      </c>
      <c r="S327" s="8">
        <f>SUM(Dataset_AFinal[[#This Row],[Casual_user]:[Registered_user]])</f>
        <v>20</v>
      </c>
    </row>
    <row r="328" spans="1:19" x14ac:dyDescent="0.3">
      <c r="A328" s="4">
        <v>327</v>
      </c>
      <c r="B328" s="7" t="s">
        <v>93</v>
      </c>
      <c r="C328" s="6" t="s">
        <v>78</v>
      </c>
      <c r="D328" s="6" t="s">
        <v>79</v>
      </c>
      <c r="E328" s="6" t="s">
        <v>31</v>
      </c>
      <c r="F328" s="35">
        <v>2</v>
      </c>
      <c r="G328" s="15" t="str">
        <f t="shared" si="5"/>
        <v>Night</v>
      </c>
      <c r="H328" s="6" t="b">
        <v>0</v>
      </c>
      <c r="I328" s="6" t="s">
        <v>52</v>
      </c>
      <c r="J328" s="6" t="str">
        <f>IF(OR(Dataset_AFinal[[#This Row],[Weekday]]="Sat",Dataset_AFinal[[#This Row],[Weekday]]="Sun"),"Weekend", "Weekday")</f>
        <v>Weekend</v>
      </c>
      <c r="K328" s="6" t="s">
        <v>33</v>
      </c>
      <c r="L328" s="6">
        <v>0.16</v>
      </c>
      <c r="M328" s="35" t="s">
        <v>40</v>
      </c>
      <c r="N328" s="7">
        <v>0.19700000000000001</v>
      </c>
      <c r="O328" s="32">
        <v>0.59</v>
      </c>
      <c r="P328" s="7">
        <v>8.9599999999999999E-2</v>
      </c>
      <c r="Q328" s="8">
        <v>0</v>
      </c>
      <c r="R328" s="8">
        <v>12</v>
      </c>
      <c r="S328" s="8">
        <f>SUM(Dataset_AFinal[[#This Row],[Casual_user]:[Registered_user]])</f>
        <v>12</v>
      </c>
    </row>
    <row r="329" spans="1:19" x14ac:dyDescent="0.3">
      <c r="A329" s="4">
        <v>328</v>
      </c>
      <c r="B329" s="7" t="s">
        <v>93</v>
      </c>
      <c r="C329" s="6" t="s">
        <v>78</v>
      </c>
      <c r="D329" s="6" t="s">
        <v>79</v>
      </c>
      <c r="E329" s="6" t="s">
        <v>31</v>
      </c>
      <c r="F329" s="35">
        <v>3</v>
      </c>
      <c r="G329" s="15" t="str">
        <f t="shared" si="5"/>
        <v>Night</v>
      </c>
      <c r="H329" s="6" t="b">
        <v>0</v>
      </c>
      <c r="I329" s="6" t="s">
        <v>52</v>
      </c>
      <c r="J329" s="6" t="str">
        <f>IF(OR(Dataset_AFinal[[#This Row],[Weekday]]="Sat",Dataset_AFinal[[#This Row],[Weekday]]="Sun"),"Weekend", "Weekday")</f>
        <v>Weekend</v>
      </c>
      <c r="K329" s="6" t="s">
        <v>33</v>
      </c>
      <c r="L329" s="6">
        <v>0.16</v>
      </c>
      <c r="M329" s="35" t="s">
        <v>40</v>
      </c>
      <c r="N329" s="7">
        <v>0.2273</v>
      </c>
      <c r="O329" s="32">
        <v>0.59</v>
      </c>
      <c r="P329" s="7">
        <v>0</v>
      </c>
      <c r="Q329" s="8">
        <v>1</v>
      </c>
      <c r="R329" s="8">
        <v>7</v>
      </c>
      <c r="S329" s="8">
        <f>SUM(Dataset_AFinal[[#This Row],[Casual_user]:[Registered_user]])</f>
        <v>8</v>
      </c>
    </row>
    <row r="330" spans="1:19" x14ac:dyDescent="0.3">
      <c r="A330" s="4">
        <v>329</v>
      </c>
      <c r="B330" s="7" t="s">
        <v>93</v>
      </c>
      <c r="C330" s="6" t="s">
        <v>78</v>
      </c>
      <c r="D330" s="6" t="s">
        <v>79</v>
      </c>
      <c r="E330" s="6" t="s">
        <v>31</v>
      </c>
      <c r="F330" s="35">
        <v>4</v>
      </c>
      <c r="G330" s="15" t="str">
        <f t="shared" si="5"/>
        <v>Night</v>
      </c>
      <c r="H330" s="6" t="b">
        <v>0</v>
      </c>
      <c r="I330" s="6" t="s">
        <v>52</v>
      </c>
      <c r="J330" s="6" t="str">
        <f>IF(OR(Dataset_AFinal[[#This Row],[Weekday]]="Sat",Dataset_AFinal[[#This Row],[Weekday]]="Sun"),"Weekend", "Weekday")</f>
        <v>Weekend</v>
      </c>
      <c r="K330" s="6" t="s">
        <v>33</v>
      </c>
      <c r="L330" s="6">
        <v>0.16</v>
      </c>
      <c r="M330" s="35" t="s">
        <v>40</v>
      </c>
      <c r="N330" s="7">
        <v>0.2273</v>
      </c>
      <c r="O330" s="32">
        <v>0.59</v>
      </c>
      <c r="P330" s="7">
        <v>0</v>
      </c>
      <c r="Q330" s="8">
        <v>0</v>
      </c>
      <c r="R330" s="8">
        <v>5</v>
      </c>
      <c r="S330" s="8">
        <f>SUM(Dataset_AFinal[[#This Row],[Casual_user]:[Registered_user]])</f>
        <v>5</v>
      </c>
    </row>
    <row r="331" spans="1:19" x14ac:dyDescent="0.3">
      <c r="A331" s="4">
        <v>330</v>
      </c>
      <c r="B331" s="7" t="s">
        <v>93</v>
      </c>
      <c r="C331" s="6" t="s">
        <v>78</v>
      </c>
      <c r="D331" s="6" t="s">
        <v>79</v>
      </c>
      <c r="E331" s="6" t="s">
        <v>31</v>
      </c>
      <c r="F331" s="35">
        <v>5</v>
      </c>
      <c r="G331" s="15" t="str">
        <f t="shared" si="5"/>
        <v>Night</v>
      </c>
      <c r="H331" s="6" t="b">
        <v>0</v>
      </c>
      <c r="I331" s="6" t="s">
        <v>52</v>
      </c>
      <c r="J331" s="6" t="str">
        <f>IF(OR(Dataset_AFinal[[#This Row],[Weekday]]="Sat",Dataset_AFinal[[#This Row],[Weekday]]="Sun"),"Weekend", "Weekday")</f>
        <v>Weekend</v>
      </c>
      <c r="K331" s="6" t="s">
        <v>32</v>
      </c>
      <c r="L331" s="6">
        <v>0.16</v>
      </c>
      <c r="M331" s="35" t="s">
        <v>40</v>
      </c>
      <c r="N331" s="7">
        <v>0.2273</v>
      </c>
      <c r="O331" s="32">
        <v>0.59</v>
      </c>
      <c r="P331" s="7">
        <v>0</v>
      </c>
      <c r="Q331" s="8">
        <v>0</v>
      </c>
      <c r="R331" s="8">
        <v>1</v>
      </c>
      <c r="S331" s="8">
        <f>SUM(Dataset_AFinal[[#This Row],[Casual_user]:[Registered_user]])</f>
        <v>1</v>
      </c>
    </row>
    <row r="332" spans="1:19" x14ac:dyDescent="0.3">
      <c r="A332" s="4">
        <v>331</v>
      </c>
      <c r="B332" s="7" t="s">
        <v>93</v>
      </c>
      <c r="C332" s="6" t="s">
        <v>78</v>
      </c>
      <c r="D332" s="6" t="s">
        <v>79</v>
      </c>
      <c r="E332" s="6" t="s">
        <v>31</v>
      </c>
      <c r="F332" s="35">
        <v>6</v>
      </c>
      <c r="G332" s="15" t="str">
        <f t="shared" si="5"/>
        <v>Morning</v>
      </c>
      <c r="H332" s="6" t="b">
        <v>0</v>
      </c>
      <c r="I332" s="6" t="s">
        <v>52</v>
      </c>
      <c r="J332" s="6" t="str">
        <f>IF(OR(Dataset_AFinal[[#This Row],[Weekday]]="Sat",Dataset_AFinal[[#This Row],[Weekday]]="Sun"),"Weekend", "Weekday")</f>
        <v>Weekend</v>
      </c>
      <c r="K332" s="6" t="s">
        <v>32</v>
      </c>
      <c r="L332" s="6">
        <v>0.14000000000000001</v>
      </c>
      <c r="M332" s="35" t="s">
        <v>44</v>
      </c>
      <c r="N332" s="7">
        <v>0.16669999999999999</v>
      </c>
      <c r="O332" s="32">
        <v>0.63</v>
      </c>
      <c r="P332" s="7">
        <v>0.1045</v>
      </c>
      <c r="Q332" s="8">
        <v>1</v>
      </c>
      <c r="R332" s="8">
        <v>2</v>
      </c>
      <c r="S332" s="8">
        <f>SUM(Dataset_AFinal[[#This Row],[Casual_user]:[Registered_user]])</f>
        <v>3</v>
      </c>
    </row>
    <row r="333" spans="1:19" x14ac:dyDescent="0.3">
      <c r="A333" s="4">
        <v>332</v>
      </c>
      <c r="B333" s="7" t="s">
        <v>93</v>
      </c>
      <c r="C333" s="6" t="s">
        <v>78</v>
      </c>
      <c r="D333" s="6" t="s">
        <v>79</v>
      </c>
      <c r="E333" s="6" t="s">
        <v>31</v>
      </c>
      <c r="F333" s="35">
        <v>7</v>
      </c>
      <c r="G333" s="15" t="str">
        <f t="shared" si="5"/>
        <v>Morning</v>
      </c>
      <c r="H333" s="6" t="b">
        <v>0</v>
      </c>
      <c r="I333" s="6" t="s">
        <v>52</v>
      </c>
      <c r="J333" s="6" t="str">
        <f>IF(OR(Dataset_AFinal[[#This Row],[Weekday]]="Sat",Dataset_AFinal[[#This Row],[Weekday]]="Sun"),"Weekend", "Weekday")</f>
        <v>Weekend</v>
      </c>
      <c r="K333" s="6" t="s">
        <v>32</v>
      </c>
      <c r="L333" s="6">
        <v>0.14000000000000001</v>
      </c>
      <c r="M333" s="35" t="s">
        <v>44</v>
      </c>
      <c r="N333" s="7">
        <v>0.21210000000000001</v>
      </c>
      <c r="O333" s="32">
        <v>0.63</v>
      </c>
      <c r="P333" s="7">
        <v>0</v>
      </c>
      <c r="Q333" s="8">
        <v>1</v>
      </c>
      <c r="R333" s="8">
        <v>9</v>
      </c>
      <c r="S333" s="8">
        <f>SUM(Dataset_AFinal[[#This Row],[Casual_user]:[Registered_user]])</f>
        <v>10</v>
      </c>
    </row>
    <row r="334" spans="1:19" x14ac:dyDescent="0.3">
      <c r="A334" s="4">
        <v>333</v>
      </c>
      <c r="B334" s="7" t="s">
        <v>93</v>
      </c>
      <c r="C334" s="6" t="s">
        <v>78</v>
      </c>
      <c r="D334" s="6" t="s">
        <v>79</v>
      </c>
      <c r="E334" s="6" t="s">
        <v>31</v>
      </c>
      <c r="F334" s="35">
        <v>8</v>
      </c>
      <c r="G334" s="15" t="str">
        <f t="shared" si="5"/>
        <v>Morning</v>
      </c>
      <c r="H334" s="6" t="b">
        <v>0</v>
      </c>
      <c r="I334" s="6" t="s">
        <v>52</v>
      </c>
      <c r="J334" s="6" t="str">
        <f>IF(OR(Dataset_AFinal[[#This Row],[Weekday]]="Sat",Dataset_AFinal[[#This Row],[Weekday]]="Sun"),"Weekend", "Weekday")</f>
        <v>Weekend</v>
      </c>
      <c r="K334" s="6" t="s">
        <v>32</v>
      </c>
      <c r="L334" s="6">
        <v>0.14000000000000001</v>
      </c>
      <c r="M334" s="35" t="s">
        <v>44</v>
      </c>
      <c r="N334" s="7">
        <v>0.1515</v>
      </c>
      <c r="O334" s="32">
        <v>0.63</v>
      </c>
      <c r="P334" s="7">
        <v>0.1343</v>
      </c>
      <c r="Q334" s="8">
        <v>1</v>
      </c>
      <c r="R334" s="8">
        <v>22</v>
      </c>
      <c r="S334" s="8">
        <f>SUM(Dataset_AFinal[[#This Row],[Casual_user]:[Registered_user]])</f>
        <v>23</v>
      </c>
    </row>
    <row r="335" spans="1:19" x14ac:dyDescent="0.3">
      <c r="A335" s="4">
        <v>334</v>
      </c>
      <c r="B335" s="7" t="s">
        <v>93</v>
      </c>
      <c r="C335" s="6" t="s">
        <v>78</v>
      </c>
      <c r="D335" s="6" t="s">
        <v>79</v>
      </c>
      <c r="E335" s="6" t="s">
        <v>31</v>
      </c>
      <c r="F335" s="35">
        <v>9</v>
      </c>
      <c r="G335" s="15" t="str">
        <f t="shared" si="5"/>
        <v>Morning</v>
      </c>
      <c r="H335" s="6" t="b">
        <v>0</v>
      </c>
      <c r="I335" s="6" t="s">
        <v>52</v>
      </c>
      <c r="J335" s="6" t="str">
        <f>IF(OR(Dataset_AFinal[[#This Row],[Weekday]]="Sat",Dataset_AFinal[[#This Row],[Weekday]]="Sun"),"Weekend", "Weekday")</f>
        <v>Weekend</v>
      </c>
      <c r="K335" s="6" t="s">
        <v>32</v>
      </c>
      <c r="L335" s="6">
        <v>0.16</v>
      </c>
      <c r="M335" s="35" t="s">
        <v>40</v>
      </c>
      <c r="N335" s="7">
        <v>0.18179999999999999</v>
      </c>
      <c r="O335" s="32">
        <v>0.64</v>
      </c>
      <c r="P335" s="7">
        <v>0.1343</v>
      </c>
      <c r="Q335" s="8">
        <v>2</v>
      </c>
      <c r="R335" s="8">
        <v>31</v>
      </c>
      <c r="S335" s="8">
        <f>SUM(Dataset_AFinal[[#This Row],[Casual_user]:[Registered_user]])</f>
        <v>33</v>
      </c>
    </row>
    <row r="336" spans="1:19" x14ac:dyDescent="0.3">
      <c r="A336" s="4">
        <v>335</v>
      </c>
      <c r="B336" s="7" t="s">
        <v>93</v>
      </c>
      <c r="C336" s="6" t="s">
        <v>78</v>
      </c>
      <c r="D336" s="6" t="s">
        <v>79</v>
      </c>
      <c r="E336" s="6" t="s">
        <v>31</v>
      </c>
      <c r="F336" s="35">
        <v>10</v>
      </c>
      <c r="G336" s="15" t="str">
        <f t="shared" si="5"/>
        <v>Morning</v>
      </c>
      <c r="H336" s="6" t="b">
        <v>0</v>
      </c>
      <c r="I336" s="6" t="s">
        <v>52</v>
      </c>
      <c r="J336" s="6" t="str">
        <f>IF(OR(Dataset_AFinal[[#This Row],[Weekday]]="Sat",Dataset_AFinal[[#This Row],[Weekday]]="Sun"),"Weekend", "Weekday")</f>
        <v>Weekend</v>
      </c>
      <c r="K336" s="6" t="s">
        <v>32</v>
      </c>
      <c r="L336" s="6">
        <v>0.18</v>
      </c>
      <c r="M336" s="35" t="s">
        <v>40</v>
      </c>
      <c r="N336" s="7">
        <v>0.19700000000000001</v>
      </c>
      <c r="O336" s="32">
        <v>0.59</v>
      </c>
      <c r="P336" s="7">
        <v>0.16420000000000001</v>
      </c>
      <c r="Q336" s="8">
        <v>2</v>
      </c>
      <c r="R336" s="8">
        <v>57</v>
      </c>
      <c r="S336" s="8">
        <f>SUM(Dataset_AFinal[[#This Row],[Casual_user]:[Registered_user]])</f>
        <v>59</v>
      </c>
    </row>
    <row r="337" spans="1:19" x14ac:dyDescent="0.3">
      <c r="A337" s="4">
        <v>336</v>
      </c>
      <c r="B337" s="7" t="s">
        <v>93</v>
      </c>
      <c r="C337" s="6" t="s">
        <v>78</v>
      </c>
      <c r="D337" s="6" t="s">
        <v>79</v>
      </c>
      <c r="E337" s="6" t="s">
        <v>31</v>
      </c>
      <c r="F337" s="35">
        <v>11</v>
      </c>
      <c r="G337" s="15" t="str">
        <f t="shared" si="5"/>
        <v>Morning</v>
      </c>
      <c r="H337" s="6" t="b">
        <v>0</v>
      </c>
      <c r="I337" s="6" t="s">
        <v>52</v>
      </c>
      <c r="J337" s="6" t="str">
        <f>IF(OR(Dataset_AFinal[[#This Row],[Weekday]]="Sat",Dataset_AFinal[[#This Row],[Weekday]]="Sun"),"Weekend", "Weekday")</f>
        <v>Weekend</v>
      </c>
      <c r="K337" s="6" t="s">
        <v>32</v>
      </c>
      <c r="L337" s="6">
        <v>0.2</v>
      </c>
      <c r="M337" s="35" t="s">
        <v>40</v>
      </c>
      <c r="N337" s="7">
        <v>0.19700000000000001</v>
      </c>
      <c r="O337" s="32">
        <v>0.55000000000000004</v>
      </c>
      <c r="P337" s="7">
        <v>0.22389999999999999</v>
      </c>
      <c r="Q337" s="8">
        <v>18</v>
      </c>
      <c r="R337" s="8">
        <v>54</v>
      </c>
      <c r="S337" s="8">
        <f>SUM(Dataset_AFinal[[#This Row],[Casual_user]:[Registered_user]])</f>
        <v>72</v>
      </c>
    </row>
    <row r="338" spans="1:19" x14ac:dyDescent="0.3">
      <c r="A338" s="4">
        <v>337</v>
      </c>
      <c r="B338" s="7" t="s">
        <v>93</v>
      </c>
      <c r="C338" s="6" t="s">
        <v>78</v>
      </c>
      <c r="D338" s="6" t="s">
        <v>79</v>
      </c>
      <c r="E338" s="6" t="s">
        <v>31</v>
      </c>
      <c r="F338" s="35">
        <v>12</v>
      </c>
      <c r="G338" s="15" t="str">
        <f t="shared" si="5"/>
        <v>Afternoon</v>
      </c>
      <c r="H338" s="6" t="b">
        <v>0</v>
      </c>
      <c r="I338" s="6" t="s">
        <v>52</v>
      </c>
      <c r="J338" s="6" t="str">
        <f>IF(OR(Dataset_AFinal[[#This Row],[Weekday]]="Sat",Dataset_AFinal[[#This Row],[Weekday]]="Sun"),"Weekend", "Weekday")</f>
        <v>Weekend</v>
      </c>
      <c r="K338" s="6" t="s">
        <v>32</v>
      </c>
      <c r="L338" s="6">
        <v>0.24</v>
      </c>
      <c r="M338" s="35" t="s">
        <v>40</v>
      </c>
      <c r="N338" s="7">
        <v>0.2273</v>
      </c>
      <c r="O338" s="32">
        <v>0.48</v>
      </c>
      <c r="P338" s="7">
        <v>0.22389999999999999</v>
      </c>
      <c r="Q338" s="8">
        <v>15</v>
      </c>
      <c r="R338" s="8">
        <v>74</v>
      </c>
      <c r="S338" s="8">
        <f>SUM(Dataset_AFinal[[#This Row],[Casual_user]:[Registered_user]])</f>
        <v>89</v>
      </c>
    </row>
    <row r="339" spans="1:19" x14ac:dyDescent="0.3">
      <c r="A339" s="4">
        <v>338</v>
      </c>
      <c r="B339" s="7" t="s">
        <v>93</v>
      </c>
      <c r="C339" s="6" t="s">
        <v>78</v>
      </c>
      <c r="D339" s="6" t="s">
        <v>79</v>
      </c>
      <c r="E339" s="6" t="s">
        <v>31</v>
      </c>
      <c r="F339" s="35">
        <v>13</v>
      </c>
      <c r="G339" s="15" t="str">
        <f t="shared" si="5"/>
        <v>Afternoon</v>
      </c>
      <c r="H339" s="6" t="b">
        <v>0</v>
      </c>
      <c r="I339" s="6" t="s">
        <v>52</v>
      </c>
      <c r="J339" s="6" t="str">
        <f>IF(OR(Dataset_AFinal[[#This Row],[Weekday]]="Sat",Dataset_AFinal[[#This Row],[Weekday]]="Sun"),"Weekend", "Weekday")</f>
        <v>Weekend</v>
      </c>
      <c r="K339" s="6" t="s">
        <v>32</v>
      </c>
      <c r="L339" s="6">
        <v>0.28000000000000003</v>
      </c>
      <c r="M339" s="35" t="s">
        <v>41</v>
      </c>
      <c r="N339" s="7">
        <v>0.2576</v>
      </c>
      <c r="O339" s="32">
        <v>0.38</v>
      </c>
      <c r="P339" s="7">
        <v>0.29849999999999999</v>
      </c>
      <c r="Q339" s="8">
        <v>21</v>
      </c>
      <c r="R339" s="8">
        <v>80</v>
      </c>
      <c r="S339" s="8">
        <f>SUM(Dataset_AFinal[[#This Row],[Casual_user]:[Registered_user]])</f>
        <v>101</v>
      </c>
    </row>
    <row r="340" spans="1:19" x14ac:dyDescent="0.3">
      <c r="A340" s="4">
        <v>339</v>
      </c>
      <c r="B340" s="7" t="s">
        <v>93</v>
      </c>
      <c r="C340" s="6" t="s">
        <v>78</v>
      </c>
      <c r="D340" s="6" t="s">
        <v>79</v>
      </c>
      <c r="E340" s="6" t="s">
        <v>31</v>
      </c>
      <c r="F340" s="35">
        <v>14</v>
      </c>
      <c r="G340" s="15" t="str">
        <f t="shared" si="5"/>
        <v>Afternoon</v>
      </c>
      <c r="H340" s="6" t="b">
        <v>0</v>
      </c>
      <c r="I340" s="6" t="s">
        <v>52</v>
      </c>
      <c r="J340" s="6" t="str">
        <f>IF(OR(Dataset_AFinal[[#This Row],[Weekday]]="Sat",Dataset_AFinal[[#This Row],[Weekday]]="Sun"),"Weekend", "Weekday")</f>
        <v>Weekend</v>
      </c>
      <c r="K340" s="6" t="s">
        <v>32</v>
      </c>
      <c r="L340" s="6">
        <v>0.3</v>
      </c>
      <c r="M340" s="35" t="s">
        <v>41</v>
      </c>
      <c r="N340" s="7">
        <v>0.28789999999999999</v>
      </c>
      <c r="O340" s="32">
        <v>0.39</v>
      </c>
      <c r="P340" s="7">
        <v>0.28360000000000002</v>
      </c>
      <c r="Q340" s="8">
        <v>26</v>
      </c>
      <c r="R340" s="8">
        <v>92</v>
      </c>
      <c r="S340" s="8">
        <f>SUM(Dataset_AFinal[[#This Row],[Casual_user]:[Registered_user]])</f>
        <v>118</v>
      </c>
    </row>
    <row r="341" spans="1:19" x14ac:dyDescent="0.3">
      <c r="A341" s="4">
        <v>340</v>
      </c>
      <c r="B341" s="7" t="s">
        <v>93</v>
      </c>
      <c r="C341" s="6" t="s">
        <v>78</v>
      </c>
      <c r="D341" s="6" t="s">
        <v>79</v>
      </c>
      <c r="E341" s="6" t="s">
        <v>31</v>
      </c>
      <c r="F341" s="35">
        <v>15</v>
      </c>
      <c r="G341" s="15" t="str">
        <f t="shared" si="5"/>
        <v>Afternoon</v>
      </c>
      <c r="H341" s="6" t="b">
        <v>0</v>
      </c>
      <c r="I341" s="6" t="s">
        <v>52</v>
      </c>
      <c r="J341" s="6" t="str">
        <f>IF(OR(Dataset_AFinal[[#This Row],[Weekday]]="Sat",Dataset_AFinal[[#This Row],[Weekday]]="Sun"),"Weekend", "Weekday")</f>
        <v>Weekend</v>
      </c>
      <c r="K341" s="6" t="s">
        <v>33</v>
      </c>
      <c r="L341" s="6">
        <v>0.32</v>
      </c>
      <c r="M341" s="35" t="s">
        <v>41</v>
      </c>
      <c r="N341" s="7">
        <v>0.31819999999999998</v>
      </c>
      <c r="O341" s="32">
        <v>0.36</v>
      </c>
      <c r="P341" s="7">
        <v>0.19400000000000001</v>
      </c>
      <c r="Q341" s="8">
        <v>21</v>
      </c>
      <c r="R341" s="8">
        <v>108</v>
      </c>
      <c r="S341" s="8">
        <f>SUM(Dataset_AFinal[[#This Row],[Casual_user]:[Registered_user]])</f>
        <v>129</v>
      </c>
    </row>
    <row r="342" spans="1:19" x14ac:dyDescent="0.3">
      <c r="A342" s="4">
        <v>341</v>
      </c>
      <c r="B342" s="7" t="s">
        <v>93</v>
      </c>
      <c r="C342" s="6" t="s">
        <v>78</v>
      </c>
      <c r="D342" s="6" t="s">
        <v>79</v>
      </c>
      <c r="E342" s="6" t="s">
        <v>31</v>
      </c>
      <c r="F342" s="35">
        <v>16</v>
      </c>
      <c r="G342" s="15" t="str">
        <f t="shared" si="5"/>
        <v>Afternoon</v>
      </c>
      <c r="H342" s="6" t="b">
        <v>0</v>
      </c>
      <c r="I342" s="6" t="s">
        <v>52</v>
      </c>
      <c r="J342" s="6" t="str">
        <f>IF(OR(Dataset_AFinal[[#This Row],[Weekday]]="Sat",Dataset_AFinal[[#This Row],[Weekday]]="Sun"),"Weekend", "Weekday")</f>
        <v>Weekend</v>
      </c>
      <c r="K342" s="6" t="s">
        <v>33</v>
      </c>
      <c r="L342" s="6">
        <v>0.34</v>
      </c>
      <c r="M342" s="35" t="s">
        <v>42</v>
      </c>
      <c r="N342" s="7">
        <v>0.33329999999999999</v>
      </c>
      <c r="O342" s="32">
        <v>0.34</v>
      </c>
      <c r="P342" s="7">
        <v>0.19400000000000001</v>
      </c>
      <c r="Q342" s="8">
        <v>33</v>
      </c>
      <c r="R342" s="8">
        <v>95</v>
      </c>
      <c r="S342" s="8">
        <f>SUM(Dataset_AFinal[[#This Row],[Casual_user]:[Registered_user]])</f>
        <v>128</v>
      </c>
    </row>
    <row r="343" spans="1:19" x14ac:dyDescent="0.3">
      <c r="A343" s="4">
        <v>342</v>
      </c>
      <c r="B343" s="7" t="s">
        <v>93</v>
      </c>
      <c r="C343" s="6" t="s">
        <v>78</v>
      </c>
      <c r="D343" s="6" t="s">
        <v>79</v>
      </c>
      <c r="E343" s="6" t="s">
        <v>31</v>
      </c>
      <c r="F343" s="35">
        <v>17</v>
      </c>
      <c r="G343" s="15" t="str">
        <f t="shared" si="5"/>
        <v>Afternoon</v>
      </c>
      <c r="H343" s="6" t="b">
        <v>0</v>
      </c>
      <c r="I343" s="6" t="s">
        <v>52</v>
      </c>
      <c r="J343" s="6" t="str">
        <f>IF(OR(Dataset_AFinal[[#This Row],[Weekday]]="Sat",Dataset_AFinal[[#This Row],[Weekday]]="Sun"),"Weekend", "Weekday")</f>
        <v>Weekend</v>
      </c>
      <c r="K343" s="6" t="s">
        <v>33</v>
      </c>
      <c r="L343" s="6">
        <v>0.32</v>
      </c>
      <c r="M343" s="35" t="s">
        <v>41</v>
      </c>
      <c r="N343" s="7">
        <v>0.30299999999999999</v>
      </c>
      <c r="O343" s="32">
        <v>0.36</v>
      </c>
      <c r="P343" s="7">
        <v>0.28360000000000002</v>
      </c>
      <c r="Q343" s="8">
        <v>29</v>
      </c>
      <c r="R343" s="8">
        <v>54</v>
      </c>
      <c r="S343" s="8">
        <f>SUM(Dataset_AFinal[[#This Row],[Casual_user]:[Registered_user]])</f>
        <v>83</v>
      </c>
    </row>
    <row r="344" spans="1:19" x14ac:dyDescent="0.3">
      <c r="A344" s="4">
        <v>343</v>
      </c>
      <c r="B344" s="7" t="s">
        <v>93</v>
      </c>
      <c r="C344" s="6" t="s">
        <v>78</v>
      </c>
      <c r="D344" s="6" t="s">
        <v>79</v>
      </c>
      <c r="E344" s="6" t="s">
        <v>31</v>
      </c>
      <c r="F344" s="35">
        <v>18</v>
      </c>
      <c r="G344" s="15" t="str">
        <f t="shared" si="5"/>
        <v>Evening</v>
      </c>
      <c r="H344" s="6" t="b">
        <v>0</v>
      </c>
      <c r="I344" s="6" t="s">
        <v>52</v>
      </c>
      <c r="J344" s="6" t="str">
        <f>IF(OR(Dataset_AFinal[[#This Row],[Weekday]]="Sat",Dataset_AFinal[[#This Row],[Weekday]]="Sun"),"Weekend", "Weekday")</f>
        <v>Weekend</v>
      </c>
      <c r="K344" s="6" t="s">
        <v>33</v>
      </c>
      <c r="L344" s="6">
        <v>0.3</v>
      </c>
      <c r="M344" s="35" t="s">
        <v>41</v>
      </c>
      <c r="N344" s="7">
        <v>0.28789999999999999</v>
      </c>
      <c r="O344" s="32">
        <v>0.45</v>
      </c>
      <c r="P344" s="7">
        <v>0.25369999999999998</v>
      </c>
      <c r="Q344" s="8">
        <v>15</v>
      </c>
      <c r="R344" s="8">
        <v>69</v>
      </c>
      <c r="S344" s="8">
        <f>SUM(Dataset_AFinal[[#This Row],[Casual_user]:[Registered_user]])</f>
        <v>84</v>
      </c>
    </row>
    <row r="345" spans="1:19" x14ac:dyDescent="0.3">
      <c r="A345" s="4">
        <v>344</v>
      </c>
      <c r="B345" s="7" t="s">
        <v>93</v>
      </c>
      <c r="C345" s="6" t="s">
        <v>78</v>
      </c>
      <c r="D345" s="6" t="s">
        <v>79</v>
      </c>
      <c r="E345" s="6" t="s">
        <v>31</v>
      </c>
      <c r="F345" s="35">
        <v>19</v>
      </c>
      <c r="G345" s="15" t="str">
        <f t="shared" si="5"/>
        <v>Evening</v>
      </c>
      <c r="H345" s="6" t="b">
        <v>0</v>
      </c>
      <c r="I345" s="6" t="s">
        <v>52</v>
      </c>
      <c r="J345" s="6" t="str">
        <f>IF(OR(Dataset_AFinal[[#This Row],[Weekday]]="Sat",Dataset_AFinal[[#This Row],[Weekday]]="Sun"),"Weekend", "Weekday")</f>
        <v>Weekend</v>
      </c>
      <c r="K345" s="6" t="s">
        <v>33</v>
      </c>
      <c r="L345" s="6">
        <v>0.32</v>
      </c>
      <c r="M345" s="35" t="s">
        <v>41</v>
      </c>
      <c r="N345" s="7">
        <v>0.30299999999999999</v>
      </c>
      <c r="O345" s="32">
        <v>0.39</v>
      </c>
      <c r="P345" s="7">
        <v>0.25369999999999998</v>
      </c>
      <c r="Q345" s="8">
        <v>14</v>
      </c>
      <c r="R345" s="8">
        <v>60</v>
      </c>
      <c r="S345" s="8">
        <f>SUM(Dataset_AFinal[[#This Row],[Casual_user]:[Registered_user]])</f>
        <v>74</v>
      </c>
    </row>
    <row r="346" spans="1:19" x14ac:dyDescent="0.3">
      <c r="A346" s="4">
        <v>345</v>
      </c>
      <c r="B346" s="7" t="s">
        <v>93</v>
      </c>
      <c r="C346" s="6" t="s">
        <v>78</v>
      </c>
      <c r="D346" s="6" t="s">
        <v>79</v>
      </c>
      <c r="E346" s="6" t="s">
        <v>31</v>
      </c>
      <c r="F346" s="35">
        <v>20</v>
      </c>
      <c r="G346" s="15" t="str">
        <f t="shared" si="5"/>
        <v>Evening</v>
      </c>
      <c r="H346" s="6" t="b">
        <v>0</v>
      </c>
      <c r="I346" s="6" t="s">
        <v>52</v>
      </c>
      <c r="J346" s="6" t="str">
        <f>IF(OR(Dataset_AFinal[[#This Row],[Weekday]]="Sat",Dataset_AFinal[[#This Row],[Weekday]]="Sun"),"Weekend", "Weekday")</f>
        <v>Weekend</v>
      </c>
      <c r="K346" s="6" t="s">
        <v>33</v>
      </c>
      <c r="L346" s="6">
        <v>0.32</v>
      </c>
      <c r="M346" s="35" t="s">
        <v>41</v>
      </c>
      <c r="N346" s="7">
        <v>0.30299999999999999</v>
      </c>
      <c r="O346" s="32">
        <v>0.39</v>
      </c>
      <c r="P346" s="7">
        <v>0.25369999999999998</v>
      </c>
      <c r="Q346" s="8">
        <v>6</v>
      </c>
      <c r="R346" s="8">
        <v>35</v>
      </c>
      <c r="S346" s="8">
        <f>SUM(Dataset_AFinal[[#This Row],[Casual_user]:[Registered_user]])</f>
        <v>41</v>
      </c>
    </row>
    <row r="347" spans="1:19" x14ac:dyDescent="0.3">
      <c r="A347" s="4">
        <v>346</v>
      </c>
      <c r="B347" s="7" t="s">
        <v>93</v>
      </c>
      <c r="C347" s="6" t="s">
        <v>78</v>
      </c>
      <c r="D347" s="6" t="s">
        <v>79</v>
      </c>
      <c r="E347" s="6" t="s">
        <v>31</v>
      </c>
      <c r="F347" s="35">
        <v>21</v>
      </c>
      <c r="G347" s="15" t="str">
        <f t="shared" si="5"/>
        <v>Evening</v>
      </c>
      <c r="H347" s="6" t="b">
        <v>0</v>
      </c>
      <c r="I347" s="6" t="s">
        <v>52</v>
      </c>
      <c r="J347" s="6" t="str">
        <f>IF(OR(Dataset_AFinal[[#This Row],[Weekday]]="Sat",Dataset_AFinal[[#This Row],[Weekday]]="Sun"),"Weekend", "Weekday")</f>
        <v>Weekend</v>
      </c>
      <c r="K347" s="6" t="s">
        <v>33</v>
      </c>
      <c r="L347" s="6">
        <v>0.32</v>
      </c>
      <c r="M347" s="35" t="s">
        <v>41</v>
      </c>
      <c r="N347" s="7">
        <v>0.30299999999999999</v>
      </c>
      <c r="O347" s="32">
        <v>0.39</v>
      </c>
      <c r="P347" s="7">
        <v>0.22389999999999999</v>
      </c>
      <c r="Q347" s="8">
        <v>6</v>
      </c>
      <c r="R347" s="8">
        <v>51</v>
      </c>
      <c r="S347" s="8">
        <f>SUM(Dataset_AFinal[[#This Row],[Casual_user]:[Registered_user]])</f>
        <v>57</v>
      </c>
    </row>
    <row r="348" spans="1:19" x14ac:dyDescent="0.3">
      <c r="A348" s="4">
        <v>347</v>
      </c>
      <c r="B348" s="7" t="s">
        <v>93</v>
      </c>
      <c r="C348" s="6" t="s">
        <v>78</v>
      </c>
      <c r="D348" s="6" t="s">
        <v>79</v>
      </c>
      <c r="E348" s="6" t="s">
        <v>31</v>
      </c>
      <c r="F348" s="35">
        <v>22</v>
      </c>
      <c r="G348" s="15" t="str">
        <f t="shared" si="5"/>
        <v>Evening</v>
      </c>
      <c r="H348" s="6" t="b">
        <v>0</v>
      </c>
      <c r="I348" s="6" t="s">
        <v>52</v>
      </c>
      <c r="J348" s="6" t="str">
        <f>IF(OR(Dataset_AFinal[[#This Row],[Weekday]]="Sat",Dataset_AFinal[[#This Row],[Weekday]]="Sun"),"Weekend", "Weekday")</f>
        <v>Weekend</v>
      </c>
      <c r="K348" s="6" t="s">
        <v>33</v>
      </c>
      <c r="L348" s="6">
        <v>0.3</v>
      </c>
      <c r="M348" s="35" t="s">
        <v>41</v>
      </c>
      <c r="N348" s="7">
        <v>0.31819999999999998</v>
      </c>
      <c r="O348" s="32">
        <v>0.42</v>
      </c>
      <c r="P348" s="7">
        <v>0.1045</v>
      </c>
      <c r="Q348" s="8">
        <v>0</v>
      </c>
      <c r="R348" s="8">
        <v>26</v>
      </c>
      <c r="S348" s="8">
        <f>SUM(Dataset_AFinal[[#This Row],[Casual_user]:[Registered_user]])</f>
        <v>26</v>
      </c>
    </row>
    <row r="349" spans="1:19" x14ac:dyDescent="0.3">
      <c r="A349" s="4">
        <v>348</v>
      </c>
      <c r="B349" s="7" t="s">
        <v>93</v>
      </c>
      <c r="C349" s="6" t="s">
        <v>78</v>
      </c>
      <c r="D349" s="6" t="s">
        <v>79</v>
      </c>
      <c r="E349" s="6" t="s">
        <v>31</v>
      </c>
      <c r="F349" s="35">
        <v>23</v>
      </c>
      <c r="G349" s="15" t="str">
        <f t="shared" si="5"/>
        <v>Evening</v>
      </c>
      <c r="H349" s="6" t="b">
        <v>0</v>
      </c>
      <c r="I349" s="6" t="s">
        <v>52</v>
      </c>
      <c r="J349" s="6" t="str">
        <f>IF(OR(Dataset_AFinal[[#This Row],[Weekday]]="Sat",Dataset_AFinal[[#This Row],[Weekday]]="Sun"),"Weekend", "Weekday")</f>
        <v>Weekend</v>
      </c>
      <c r="K349" s="6" t="s">
        <v>32</v>
      </c>
      <c r="L349" s="6">
        <v>0.3</v>
      </c>
      <c r="M349" s="35" t="s">
        <v>41</v>
      </c>
      <c r="N349" s="7">
        <v>0.28789999999999999</v>
      </c>
      <c r="O349" s="32">
        <v>0.45</v>
      </c>
      <c r="P349" s="7">
        <v>0.28360000000000002</v>
      </c>
      <c r="Q349" s="8">
        <v>5</v>
      </c>
      <c r="R349" s="8">
        <v>39</v>
      </c>
      <c r="S349" s="8">
        <f>SUM(Dataset_AFinal[[#This Row],[Casual_user]:[Registered_user]])</f>
        <v>44</v>
      </c>
    </row>
    <row r="350" spans="1:19" x14ac:dyDescent="0.3">
      <c r="A350" s="4">
        <v>349</v>
      </c>
      <c r="B350" s="7" t="s">
        <v>94</v>
      </c>
      <c r="C350" s="6" t="s">
        <v>78</v>
      </c>
      <c r="D350" s="6" t="s">
        <v>79</v>
      </c>
      <c r="E350" s="6" t="s">
        <v>31</v>
      </c>
      <c r="F350" s="35">
        <v>0</v>
      </c>
      <c r="G350" s="15" t="str">
        <f t="shared" si="5"/>
        <v>Night</v>
      </c>
      <c r="H350" s="6" t="b">
        <v>0</v>
      </c>
      <c r="I350" s="6" t="s">
        <v>53</v>
      </c>
      <c r="J350" s="6" t="str">
        <f>IF(OR(Dataset_AFinal[[#This Row],[Weekday]]="Sat",Dataset_AFinal[[#This Row],[Weekday]]="Sun"),"Weekend", "Weekday")</f>
        <v>Weekend</v>
      </c>
      <c r="K350" s="6" t="s">
        <v>32</v>
      </c>
      <c r="L350" s="6">
        <v>0.26</v>
      </c>
      <c r="M350" s="35" t="s">
        <v>41</v>
      </c>
      <c r="N350" s="7">
        <v>0.30299999999999999</v>
      </c>
      <c r="O350" s="32">
        <v>0.56000000000000005</v>
      </c>
      <c r="P350" s="7">
        <v>0</v>
      </c>
      <c r="Q350" s="8">
        <v>6</v>
      </c>
      <c r="R350" s="8">
        <v>33</v>
      </c>
      <c r="S350" s="8">
        <f>SUM(Dataset_AFinal[[#This Row],[Casual_user]:[Registered_user]])</f>
        <v>39</v>
      </c>
    </row>
    <row r="351" spans="1:19" x14ac:dyDescent="0.3">
      <c r="A351" s="4">
        <v>350</v>
      </c>
      <c r="B351" s="7" t="s">
        <v>94</v>
      </c>
      <c r="C351" s="6" t="s">
        <v>78</v>
      </c>
      <c r="D351" s="6" t="s">
        <v>79</v>
      </c>
      <c r="E351" s="6" t="s">
        <v>31</v>
      </c>
      <c r="F351" s="35">
        <v>1</v>
      </c>
      <c r="G351" s="15" t="str">
        <f t="shared" si="5"/>
        <v>Night</v>
      </c>
      <c r="H351" s="6" t="b">
        <v>0</v>
      </c>
      <c r="I351" s="6" t="s">
        <v>53</v>
      </c>
      <c r="J351" s="6" t="str">
        <f>IF(OR(Dataset_AFinal[[#This Row],[Weekday]]="Sat",Dataset_AFinal[[#This Row],[Weekday]]="Sun"),"Weekend", "Weekday")</f>
        <v>Weekend</v>
      </c>
      <c r="K351" s="6" t="s">
        <v>32</v>
      </c>
      <c r="L351" s="6">
        <v>0.26</v>
      </c>
      <c r="M351" s="35" t="s">
        <v>41</v>
      </c>
      <c r="N351" s="7">
        <v>0.2727</v>
      </c>
      <c r="O351" s="32">
        <v>0.56000000000000005</v>
      </c>
      <c r="P351" s="7">
        <v>0.1343</v>
      </c>
      <c r="Q351" s="8">
        <v>4</v>
      </c>
      <c r="R351" s="8">
        <v>19</v>
      </c>
      <c r="S351" s="8">
        <f>SUM(Dataset_AFinal[[#This Row],[Casual_user]:[Registered_user]])</f>
        <v>23</v>
      </c>
    </row>
    <row r="352" spans="1:19" x14ac:dyDescent="0.3">
      <c r="A352" s="4">
        <v>351</v>
      </c>
      <c r="B352" s="7" t="s">
        <v>94</v>
      </c>
      <c r="C352" s="6" t="s">
        <v>78</v>
      </c>
      <c r="D352" s="6" t="s">
        <v>79</v>
      </c>
      <c r="E352" s="6" t="s">
        <v>31</v>
      </c>
      <c r="F352" s="35">
        <v>2</v>
      </c>
      <c r="G352" s="15" t="str">
        <f t="shared" si="5"/>
        <v>Night</v>
      </c>
      <c r="H352" s="6" t="b">
        <v>0</v>
      </c>
      <c r="I352" s="6" t="s">
        <v>53</v>
      </c>
      <c r="J352" s="6" t="str">
        <f>IF(OR(Dataset_AFinal[[#This Row],[Weekday]]="Sat",Dataset_AFinal[[#This Row],[Weekday]]="Sun"),"Weekend", "Weekday")</f>
        <v>Weekend</v>
      </c>
      <c r="K352" s="6" t="s">
        <v>32</v>
      </c>
      <c r="L352" s="6">
        <v>0.26</v>
      </c>
      <c r="M352" s="35" t="s">
        <v>41</v>
      </c>
      <c r="N352" s="7">
        <v>0.28789999999999999</v>
      </c>
      <c r="O352" s="32">
        <v>0.56000000000000005</v>
      </c>
      <c r="P352" s="7">
        <v>8.9599999999999999E-2</v>
      </c>
      <c r="Q352" s="8">
        <v>3</v>
      </c>
      <c r="R352" s="8">
        <v>13</v>
      </c>
      <c r="S352" s="8">
        <f>SUM(Dataset_AFinal[[#This Row],[Casual_user]:[Registered_user]])</f>
        <v>16</v>
      </c>
    </row>
    <row r="353" spans="1:19" x14ac:dyDescent="0.3">
      <c r="A353" s="4">
        <v>352</v>
      </c>
      <c r="B353" s="7" t="s">
        <v>94</v>
      </c>
      <c r="C353" s="6" t="s">
        <v>78</v>
      </c>
      <c r="D353" s="6" t="s">
        <v>79</v>
      </c>
      <c r="E353" s="6" t="s">
        <v>31</v>
      </c>
      <c r="F353" s="35">
        <v>3</v>
      </c>
      <c r="G353" s="15" t="str">
        <f t="shared" si="5"/>
        <v>Night</v>
      </c>
      <c r="H353" s="6" t="b">
        <v>0</v>
      </c>
      <c r="I353" s="6" t="s">
        <v>53</v>
      </c>
      <c r="J353" s="6" t="str">
        <f>IF(OR(Dataset_AFinal[[#This Row],[Weekday]]="Sat",Dataset_AFinal[[#This Row],[Weekday]]="Sun"),"Weekend", "Weekday")</f>
        <v>Weekend</v>
      </c>
      <c r="K353" s="6" t="s">
        <v>32</v>
      </c>
      <c r="L353" s="6">
        <v>0.22</v>
      </c>
      <c r="M353" s="35" t="s">
        <v>40</v>
      </c>
      <c r="N353" s="7">
        <v>0.2727</v>
      </c>
      <c r="O353" s="32">
        <v>0.69</v>
      </c>
      <c r="P353" s="7">
        <v>0</v>
      </c>
      <c r="Q353" s="8">
        <v>9</v>
      </c>
      <c r="R353" s="8">
        <v>6</v>
      </c>
      <c r="S353" s="8">
        <f>SUM(Dataset_AFinal[[#This Row],[Casual_user]:[Registered_user]])</f>
        <v>15</v>
      </c>
    </row>
    <row r="354" spans="1:19" x14ac:dyDescent="0.3">
      <c r="A354" s="4">
        <v>353</v>
      </c>
      <c r="B354" s="7" t="s">
        <v>94</v>
      </c>
      <c r="C354" s="6" t="s">
        <v>78</v>
      </c>
      <c r="D354" s="6" t="s">
        <v>79</v>
      </c>
      <c r="E354" s="6" t="s">
        <v>31</v>
      </c>
      <c r="F354" s="35">
        <v>4</v>
      </c>
      <c r="G354" s="15" t="str">
        <f t="shared" si="5"/>
        <v>Night</v>
      </c>
      <c r="H354" s="6" t="b">
        <v>0</v>
      </c>
      <c r="I354" s="6" t="s">
        <v>53</v>
      </c>
      <c r="J354" s="6" t="str">
        <f>IF(OR(Dataset_AFinal[[#This Row],[Weekday]]="Sat",Dataset_AFinal[[#This Row],[Weekday]]="Sun"),"Weekend", "Weekday")</f>
        <v>Weekend</v>
      </c>
      <c r="K354" s="6" t="s">
        <v>32</v>
      </c>
      <c r="L354" s="6">
        <v>0.26</v>
      </c>
      <c r="M354" s="35" t="s">
        <v>41</v>
      </c>
      <c r="N354" s="7">
        <v>0.2576</v>
      </c>
      <c r="O354" s="32">
        <v>0.56000000000000005</v>
      </c>
      <c r="P354" s="7">
        <v>0.16420000000000001</v>
      </c>
      <c r="Q354" s="8">
        <v>0</v>
      </c>
      <c r="R354" s="8">
        <v>1</v>
      </c>
      <c r="S354" s="8">
        <f>SUM(Dataset_AFinal[[#This Row],[Casual_user]:[Registered_user]])</f>
        <v>1</v>
      </c>
    </row>
    <row r="355" spans="1:19" x14ac:dyDescent="0.3">
      <c r="A355" s="4">
        <v>354</v>
      </c>
      <c r="B355" s="7" t="s">
        <v>94</v>
      </c>
      <c r="C355" s="6" t="s">
        <v>78</v>
      </c>
      <c r="D355" s="6" t="s">
        <v>79</v>
      </c>
      <c r="E355" s="6" t="s">
        <v>31</v>
      </c>
      <c r="F355" s="35">
        <v>5</v>
      </c>
      <c r="G355" s="15" t="str">
        <f t="shared" si="5"/>
        <v>Night</v>
      </c>
      <c r="H355" s="6" t="b">
        <v>0</v>
      </c>
      <c r="I355" s="6" t="s">
        <v>53</v>
      </c>
      <c r="J355" s="6" t="str">
        <f>IF(OR(Dataset_AFinal[[#This Row],[Weekday]]="Sat",Dataset_AFinal[[#This Row],[Weekday]]="Sun"),"Weekend", "Weekday")</f>
        <v>Weekend</v>
      </c>
      <c r="K355" s="6" t="s">
        <v>33</v>
      </c>
      <c r="L355" s="6">
        <v>0.26</v>
      </c>
      <c r="M355" s="35" t="s">
        <v>41</v>
      </c>
      <c r="N355" s="7">
        <v>0.2576</v>
      </c>
      <c r="O355" s="32">
        <v>0.56000000000000005</v>
      </c>
      <c r="P355" s="7">
        <v>0.16420000000000001</v>
      </c>
      <c r="Q355" s="8">
        <v>1</v>
      </c>
      <c r="R355" s="8">
        <v>1</v>
      </c>
      <c r="S355" s="8">
        <f>SUM(Dataset_AFinal[[#This Row],[Casual_user]:[Registered_user]])</f>
        <v>2</v>
      </c>
    </row>
    <row r="356" spans="1:19" x14ac:dyDescent="0.3">
      <c r="A356" s="4">
        <v>355</v>
      </c>
      <c r="B356" s="7" t="s">
        <v>94</v>
      </c>
      <c r="C356" s="6" t="s">
        <v>78</v>
      </c>
      <c r="D356" s="6" t="s">
        <v>79</v>
      </c>
      <c r="E356" s="6" t="s">
        <v>31</v>
      </c>
      <c r="F356" s="35">
        <v>6</v>
      </c>
      <c r="G356" s="15" t="str">
        <f t="shared" si="5"/>
        <v>Morning</v>
      </c>
      <c r="H356" s="6" t="b">
        <v>0</v>
      </c>
      <c r="I356" s="6" t="s">
        <v>53</v>
      </c>
      <c r="J356" s="6" t="str">
        <f>IF(OR(Dataset_AFinal[[#This Row],[Weekday]]="Sat",Dataset_AFinal[[#This Row],[Weekday]]="Sun"),"Weekend", "Weekday")</f>
        <v>Weekend</v>
      </c>
      <c r="K356" s="6" t="s">
        <v>33</v>
      </c>
      <c r="L356" s="6">
        <v>0.26</v>
      </c>
      <c r="M356" s="35" t="s">
        <v>41</v>
      </c>
      <c r="N356" s="7">
        <v>0.2576</v>
      </c>
      <c r="O356" s="32">
        <v>0.56000000000000005</v>
      </c>
      <c r="P356" s="7">
        <v>0.16420000000000001</v>
      </c>
      <c r="Q356" s="8">
        <v>0</v>
      </c>
      <c r="R356" s="8">
        <v>1</v>
      </c>
      <c r="S356" s="8">
        <f>SUM(Dataset_AFinal[[#This Row],[Casual_user]:[Registered_user]])</f>
        <v>1</v>
      </c>
    </row>
    <row r="357" spans="1:19" x14ac:dyDescent="0.3">
      <c r="A357" s="4">
        <v>356</v>
      </c>
      <c r="B357" s="7" t="s">
        <v>94</v>
      </c>
      <c r="C357" s="6" t="s">
        <v>78</v>
      </c>
      <c r="D357" s="6" t="s">
        <v>79</v>
      </c>
      <c r="E357" s="6" t="s">
        <v>31</v>
      </c>
      <c r="F357" s="35">
        <v>7</v>
      </c>
      <c r="G357" s="15" t="str">
        <f t="shared" si="5"/>
        <v>Morning</v>
      </c>
      <c r="H357" s="6" t="b">
        <v>0</v>
      </c>
      <c r="I357" s="6" t="s">
        <v>53</v>
      </c>
      <c r="J357" s="6" t="str">
        <f>IF(OR(Dataset_AFinal[[#This Row],[Weekday]]="Sat",Dataset_AFinal[[#This Row],[Weekday]]="Sun"),"Weekend", "Weekday")</f>
        <v>Weekend</v>
      </c>
      <c r="K357" s="6" t="s">
        <v>33</v>
      </c>
      <c r="L357" s="6">
        <v>0.24</v>
      </c>
      <c r="M357" s="35" t="s">
        <v>40</v>
      </c>
      <c r="N357" s="7">
        <v>0.21210000000000001</v>
      </c>
      <c r="O357" s="32">
        <v>0.56000000000000005</v>
      </c>
      <c r="P357" s="7">
        <v>0.29849999999999999</v>
      </c>
      <c r="Q357" s="8">
        <v>0</v>
      </c>
      <c r="R357" s="8">
        <v>3</v>
      </c>
      <c r="S357" s="8">
        <f>SUM(Dataset_AFinal[[#This Row],[Casual_user]:[Registered_user]])</f>
        <v>3</v>
      </c>
    </row>
    <row r="358" spans="1:19" x14ac:dyDescent="0.3">
      <c r="A358" s="4">
        <v>357</v>
      </c>
      <c r="B358" s="7" t="s">
        <v>94</v>
      </c>
      <c r="C358" s="6" t="s">
        <v>78</v>
      </c>
      <c r="D358" s="6" t="s">
        <v>79</v>
      </c>
      <c r="E358" s="6" t="s">
        <v>31</v>
      </c>
      <c r="F358" s="35">
        <v>8</v>
      </c>
      <c r="G358" s="15" t="str">
        <f t="shared" si="5"/>
        <v>Morning</v>
      </c>
      <c r="H358" s="6" t="b">
        <v>0</v>
      </c>
      <c r="I358" s="6" t="s">
        <v>53</v>
      </c>
      <c r="J358" s="6" t="str">
        <f>IF(OR(Dataset_AFinal[[#This Row],[Weekday]]="Sat",Dataset_AFinal[[#This Row],[Weekday]]="Sun"),"Weekend", "Weekday")</f>
        <v>Weekend</v>
      </c>
      <c r="K358" s="6" t="s">
        <v>32</v>
      </c>
      <c r="L358" s="6">
        <v>0.22</v>
      </c>
      <c r="M358" s="35" t="s">
        <v>40</v>
      </c>
      <c r="N358" s="7">
        <v>0.21210000000000001</v>
      </c>
      <c r="O358" s="32">
        <v>0.55000000000000004</v>
      </c>
      <c r="P358" s="7">
        <v>0.28360000000000002</v>
      </c>
      <c r="Q358" s="8">
        <v>0</v>
      </c>
      <c r="R358" s="8">
        <v>18</v>
      </c>
      <c r="S358" s="8">
        <f>SUM(Dataset_AFinal[[#This Row],[Casual_user]:[Registered_user]])</f>
        <v>18</v>
      </c>
    </row>
    <row r="359" spans="1:19" x14ac:dyDescent="0.3">
      <c r="A359" s="4">
        <v>358</v>
      </c>
      <c r="B359" s="7" t="s">
        <v>94</v>
      </c>
      <c r="C359" s="6" t="s">
        <v>78</v>
      </c>
      <c r="D359" s="6" t="s">
        <v>79</v>
      </c>
      <c r="E359" s="6" t="s">
        <v>31</v>
      </c>
      <c r="F359" s="35">
        <v>9</v>
      </c>
      <c r="G359" s="15" t="str">
        <f t="shared" si="5"/>
        <v>Morning</v>
      </c>
      <c r="H359" s="6" t="b">
        <v>0</v>
      </c>
      <c r="I359" s="6" t="s">
        <v>53</v>
      </c>
      <c r="J359" s="6" t="str">
        <f>IF(OR(Dataset_AFinal[[#This Row],[Weekday]]="Sat",Dataset_AFinal[[#This Row],[Weekday]]="Sun"),"Weekend", "Weekday")</f>
        <v>Weekend</v>
      </c>
      <c r="K359" s="6" t="s">
        <v>32</v>
      </c>
      <c r="L359" s="6">
        <v>0.22</v>
      </c>
      <c r="M359" s="35" t="s">
        <v>40</v>
      </c>
      <c r="N359" s="7">
        <v>0.21210000000000001</v>
      </c>
      <c r="O359" s="32">
        <v>0.51</v>
      </c>
      <c r="P359" s="7">
        <v>0.25369999999999998</v>
      </c>
      <c r="Q359" s="8">
        <v>3</v>
      </c>
      <c r="R359" s="8">
        <v>29</v>
      </c>
      <c r="S359" s="8">
        <f>SUM(Dataset_AFinal[[#This Row],[Casual_user]:[Registered_user]])</f>
        <v>32</v>
      </c>
    </row>
    <row r="360" spans="1:19" x14ac:dyDescent="0.3">
      <c r="A360" s="4">
        <v>359</v>
      </c>
      <c r="B360" s="7" t="s">
        <v>94</v>
      </c>
      <c r="C360" s="6" t="s">
        <v>78</v>
      </c>
      <c r="D360" s="6" t="s">
        <v>79</v>
      </c>
      <c r="E360" s="6" t="s">
        <v>31</v>
      </c>
      <c r="F360" s="35">
        <v>10</v>
      </c>
      <c r="G360" s="15" t="str">
        <f t="shared" si="5"/>
        <v>Morning</v>
      </c>
      <c r="H360" s="6" t="b">
        <v>0</v>
      </c>
      <c r="I360" s="6" t="s">
        <v>53</v>
      </c>
      <c r="J360" s="6" t="str">
        <f>IF(OR(Dataset_AFinal[[#This Row],[Weekday]]="Sat",Dataset_AFinal[[#This Row],[Weekday]]="Sun"),"Weekend", "Weekday")</f>
        <v>Weekend</v>
      </c>
      <c r="K360" s="6" t="s">
        <v>32</v>
      </c>
      <c r="L360" s="6">
        <v>0.22</v>
      </c>
      <c r="M360" s="35" t="s">
        <v>40</v>
      </c>
      <c r="N360" s="7">
        <v>0.21210000000000001</v>
      </c>
      <c r="O360" s="32">
        <v>0.51</v>
      </c>
      <c r="P360" s="7">
        <v>0.28360000000000002</v>
      </c>
      <c r="Q360" s="8">
        <v>8</v>
      </c>
      <c r="R360" s="8">
        <v>71</v>
      </c>
      <c r="S360" s="8">
        <f>SUM(Dataset_AFinal[[#This Row],[Casual_user]:[Registered_user]])</f>
        <v>79</v>
      </c>
    </row>
    <row r="361" spans="1:19" x14ac:dyDescent="0.3">
      <c r="A361" s="4">
        <v>360</v>
      </c>
      <c r="B361" s="7" t="s">
        <v>94</v>
      </c>
      <c r="C361" s="6" t="s">
        <v>78</v>
      </c>
      <c r="D361" s="6" t="s">
        <v>79</v>
      </c>
      <c r="E361" s="6" t="s">
        <v>31</v>
      </c>
      <c r="F361" s="35">
        <v>11</v>
      </c>
      <c r="G361" s="15" t="str">
        <f t="shared" si="5"/>
        <v>Morning</v>
      </c>
      <c r="H361" s="6" t="b">
        <v>0</v>
      </c>
      <c r="I361" s="6" t="s">
        <v>53</v>
      </c>
      <c r="J361" s="6" t="str">
        <f>IF(OR(Dataset_AFinal[[#This Row],[Weekday]]="Sat",Dataset_AFinal[[#This Row],[Weekday]]="Sun"),"Weekend", "Weekday")</f>
        <v>Weekend</v>
      </c>
      <c r="K361" s="6" t="s">
        <v>32</v>
      </c>
      <c r="L361" s="6">
        <v>0.24</v>
      </c>
      <c r="M361" s="35" t="s">
        <v>40</v>
      </c>
      <c r="N361" s="7">
        <v>0.2273</v>
      </c>
      <c r="O361" s="32">
        <v>0.44</v>
      </c>
      <c r="P361" s="7">
        <v>0.25369999999999998</v>
      </c>
      <c r="Q361" s="8">
        <v>23</v>
      </c>
      <c r="R361" s="8">
        <v>70</v>
      </c>
      <c r="S361" s="8">
        <f>SUM(Dataset_AFinal[[#This Row],[Casual_user]:[Registered_user]])</f>
        <v>93</v>
      </c>
    </row>
    <row r="362" spans="1:19" x14ac:dyDescent="0.3">
      <c r="A362" s="4">
        <v>361</v>
      </c>
      <c r="B362" s="7" t="s">
        <v>94</v>
      </c>
      <c r="C362" s="6" t="s">
        <v>78</v>
      </c>
      <c r="D362" s="6" t="s">
        <v>79</v>
      </c>
      <c r="E362" s="6" t="s">
        <v>31</v>
      </c>
      <c r="F362" s="35">
        <v>12</v>
      </c>
      <c r="G362" s="15" t="str">
        <f t="shared" si="5"/>
        <v>Afternoon</v>
      </c>
      <c r="H362" s="6" t="b">
        <v>0</v>
      </c>
      <c r="I362" s="6" t="s">
        <v>53</v>
      </c>
      <c r="J362" s="6" t="str">
        <f>IF(OR(Dataset_AFinal[[#This Row],[Weekday]]="Sat",Dataset_AFinal[[#This Row],[Weekday]]="Sun"),"Weekend", "Weekday")</f>
        <v>Weekend</v>
      </c>
      <c r="K362" s="6" t="s">
        <v>32</v>
      </c>
      <c r="L362" s="6">
        <v>0.24</v>
      </c>
      <c r="M362" s="35" t="s">
        <v>40</v>
      </c>
      <c r="N362" s="7">
        <v>0.21210000000000001</v>
      </c>
      <c r="O362" s="32">
        <v>0.41</v>
      </c>
      <c r="P362" s="7">
        <v>0.28360000000000002</v>
      </c>
      <c r="Q362" s="8">
        <v>29</v>
      </c>
      <c r="R362" s="8">
        <v>75</v>
      </c>
      <c r="S362" s="8">
        <f>SUM(Dataset_AFinal[[#This Row],[Casual_user]:[Registered_user]])</f>
        <v>104</v>
      </c>
    </row>
    <row r="363" spans="1:19" x14ac:dyDescent="0.3">
      <c r="A363" s="4">
        <v>362</v>
      </c>
      <c r="B363" s="7" t="s">
        <v>94</v>
      </c>
      <c r="C363" s="6" t="s">
        <v>78</v>
      </c>
      <c r="D363" s="6" t="s">
        <v>79</v>
      </c>
      <c r="E363" s="6" t="s">
        <v>31</v>
      </c>
      <c r="F363" s="35">
        <v>13</v>
      </c>
      <c r="G363" s="15" t="str">
        <f t="shared" si="5"/>
        <v>Afternoon</v>
      </c>
      <c r="H363" s="6" t="b">
        <v>0</v>
      </c>
      <c r="I363" s="6" t="s">
        <v>53</v>
      </c>
      <c r="J363" s="6" t="str">
        <f>IF(OR(Dataset_AFinal[[#This Row],[Weekday]]="Sat",Dataset_AFinal[[#This Row],[Weekday]]="Sun"),"Weekend", "Weekday")</f>
        <v>Weekend</v>
      </c>
      <c r="K363" s="6" t="s">
        <v>32</v>
      </c>
      <c r="L363" s="6">
        <v>0.26</v>
      </c>
      <c r="M363" s="35" t="s">
        <v>41</v>
      </c>
      <c r="N363" s="7">
        <v>0.2273</v>
      </c>
      <c r="O363" s="32">
        <v>0.35</v>
      </c>
      <c r="P363" s="7">
        <v>0.29849999999999999</v>
      </c>
      <c r="Q363" s="8">
        <v>23</v>
      </c>
      <c r="R363" s="8">
        <v>95</v>
      </c>
      <c r="S363" s="8">
        <f>SUM(Dataset_AFinal[[#This Row],[Casual_user]:[Registered_user]])</f>
        <v>118</v>
      </c>
    </row>
    <row r="364" spans="1:19" x14ac:dyDescent="0.3">
      <c r="A364" s="4">
        <v>363</v>
      </c>
      <c r="B364" s="7" t="s">
        <v>94</v>
      </c>
      <c r="C364" s="6" t="s">
        <v>78</v>
      </c>
      <c r="D364" s="6" t="s">
        <v>79</v>
      </c>
      <c r="E364" s="6" t="s">
        <v>31</v>
      </c>
      <c r="F364" s="35">
        <v>14</v>
      </c>
      <c r="G364" s="15" t="str">
        <f t="shared" si="5"/>
        <v>Afternoon</v>
      </c>
      <c r="H364" s="6" t="b">
        <v>0</v>
      </c>
      <c r="I364" s="6" t="s">
        <v>53</v>
      </c>
      <c r="J364" s="6" t="str">
        <f>IF(OR(Dataset_AFinal[[#This Row],[Weekday]]="Sat",Dataset_AFinal[[#This Row],[Weekday]]="Sun"),"Weekend", "Weekday")</f>
        <v>Weekend</v>
      </c>
      <c r="K364" s="6" t="s">
        <v>32</v>
      </c>
      <c r="L364" s="6">
        <v>0.28000000000000003</v>
      </c>
      <c r="M364" s="35" t="s">
        <v>41</v>
      </c>
      <c r="N364" s="7">
        <v>0.2727</v>
      </c>
      <c r="O364" s="32">
        <v>0.36</v>
      </c>
      <c r="P364" s="7">
        <v>0.25369999999999998</v>
      </c>
      <c r="Q364" s="8">
        <v>22</v>
      </c>
      <c r="R364" s="8">
        <v>69</v>
      </c>
      <c r="S364" s="8">
        <f>SUM(Dataset_AFinal[[#This Row],[Casual_user]:[Registered_user]])</f>
        <v>91</v>
      </c>
    </row>
    <row r="365" spans="1:19" x14ac:dyDescent="0.3">
      <c r="A365" s="4">
        <v>364</v>
      </c>
      <c r="B365" s="7" t="s">
        <v>94</v>
      </c>
      <c r="C365" s="6" t="s">
        <v>78</v>
      </c>
      <c r="D365" s="6" t="s">
        <v>79</v>
      </c>
      <c r="E365" s="6" t="s">
        <v>31</v>
      </c>
      <c r="F365" s="35">
        <v>15</v>
      </c>
      <c r="G365" s="15" t="str">
        <f t="shared" si="5"/>
        <v>Afternoon</v>
      </c>
      <c r="H365" s="6" t="b">
        <v>0</v>
      </c>
      <c r="I365" s="6" t="s">
        <v>53</v>
      </c>
      <c r="J365" s="6" t="str">
        <f>IF(OR(Dataset_AFinal[[#This Row],[Weekday]]="Sat",Dataset_AFinal[[#This Row],[Weekday]]="Sun"),"Weekend", "Weekday")</f>
        <v>Weekend</v>
      </c>
      <c r="K365" s="6" t="s">
        <v>32</v>
      </c>
      <c r="L365" s="6">
        <v>0.26</v>
      </c>
      <c r="M365" s="35" t="s">
        <v>41</v>
      </c>
      <c r="N365" s="7">
        <v>0.2424</v>
      </c>
      <c r="O365" s="32">
        <v>0.38</v>
      </c>
      <c r="P365" s="7">
        <v>0.25369999999999998</v>
      </c>
      <c r="Q365" s="8">
        <v>35</v>
      </c>
      <c r="R365" s="8">
        <v>78</v>
      </c>
      <c r="S365" s="8">
        <f>SUM(Dataset_AFinal[[#This Row],[Casual_user]:[Registered_user]])</f>
        <v>113</v>
      </c>
    </row>
    <row r="366" spans="1:19" x14ac:dyDescent="0.3">
      <c r="A366" s="4">
        <v>365</v>
      </c>
      <c r="B366" s="7" t="s">
        <v>94</v>
      </c>
      <c r="C366" s="6" t="s">
        <v>78</v>
      </c>
      <c r="D366" s="6" t="s">
        <v>79</v>
      </c>
      <c r="E366" s="6" t="s">
        <v>31</v>
      </c>
      <c r="F366" s="35">
        <v>16</v>
      </c>
      <c r="G366" s="15" t="str">
        <f t="shared" si="5"/>
        <v>Afternoon</v>
      </c>
      <c r="H366" s="6" t="b">
        <v>0</v>
      </c>
      <c r="I366" s="6" t="s">
        <v>53</v>
      </c>
      <c r="J366" s="6" t="str">
        <f>IF(OR(Dataset_AFinal[[#This Row],[Weekday]]="Sat",Dataset_AFinal[[#This Row],[Weekday]]="Sun"),"Weekend", "Weekday")</f>
        <v>Weekend</v>
      </c>
      <c r="K366" s="6" t="s">
        <v>32</v>
      </c>
      <c r="L366" s="6">
        <v>0.24</v>
      </c>
      <c r="M366" s="35" t="s">
        <v>40</v>
      </c>
      <c r="N366" s="7">
        <v>0.2273</v>
      </c>
      <c r="O366" s="32">
        <v>0.38</v>
      </c>
      <c r="P366" s="7">
        <v>0.22389999999999999</v>
      </c>
      <c r="Q366" s="8">
        <v>22</v>
      </c>
      <c r="R366" s="8">
        <v>77</v>
      </c>
      <c r="S366" s="8">
        <f>SUM(Dataset_AFinal[[#This Row],[Casual_user]:[Registered_user]])</f>
        <v>99</v>
      </c>
    </row>
    <row r="367" spans="1:19" x14ac:dyDescent="0.3">
      <c r="A367" s="4">
        <v>366</v>
      </c>
      <c r="B367" s="7" t="s">
        <v>94</v>
      </c>
      <c r="C367" s="6" t="s">
        <v>78</v>
      </c>
      <c r="D367" s="6" t="s">
        <v>79</v>
      </c>
      <c r="E367" s="6" t="s">
        <v>31</v>
      </c>
      <c r="F367" s="35">
        <v>17</v>
      </c>
      <c r="G367" s="15" t="str">
        <f t="shared" si="5"/>
        <v>Afternoon</v>
      </c>
      <c r="H367" s="6" t="b">
        <v>0</v>
      </c>
      <c r="I367" s="6" t="s">
        <v>53</v>
      </c>
      <c r="J367" s="6" t="str">
        <f>IF(OR(Dataset_AFinal[[#This Row],[Weekday]]="Sat",Dataset_AFinal[[#This Row],[Weekday]]="Sun"),"Weekend", "Weekday")</f>
        <v>Weekend</v>
      </c>
      <c r="K367" s="6" t="s">
        <v>32</v>
      </c>
      <c r="L367" s="6">
        <v>0.22</v>
      </c>
      <c r="M367" s="35" t="s">
        <v>40</v>
      </c>
      <c r="N367" s="7">
        <v>0.21210000000000001</v>
      </c>
      <c r="O367" s="32">
        <v>0.37</v>
      </c>
      <c r="P367" s="7">
        <v>0.25369999999999998</v>
      </c>
      <c r="Q367" s="8">
        <v>23</v>
      </c>
      <c r="R367" s="8">
        <v>82</v>
      </c>
      <c r="S367" s="8">
        <f>SUM(Dataset_AFinal[[#This Row],[Casual_user]:[Registered_user]])</f>
        <v>105</v>
      </c>
    </row>
    <row r="368" spans="1:19" x14ac:dyDescent="0.3">
      <c r="A368" s="4">
        <v>367</v>
      </c>
      <c r="B368" s="7" t="s">
        <v>94</v>
      </c>
      <c r="C368" s="6" t="s">
        <v>78</v>
      </c>
      <c r="D368" s="6" t="s">
        <v>79</v>
      </c>
      <c r="E368" s="6" t="s">
        <v>31</v>
      </c>
      <c r="F368" s="35">
        <v>18</v>
      </c>
      <c r="G368" s="15" t="str">
        <f t="shared" si="5"/>
        <v>Evening</v>
      </c>
      <c r="H368" s="6" t="b">
        <v>0</v>
      </c>
      <c r="I368" s="6" t="s">
        <v>53</v>
      </c>
      <c r="J368" s="6" t="str">
        <f>IF(OR(Dataset_AFinal[[#This Row],[Weekday]]="Sat",Dataset_AFinal[[#This Row],[Weekday]]="Sun"),"Weekend", "Weekday")</f>
        <v>Weekend</v>
      </c>
      <c r="K368" s="6" t="s">
        <v>32</v>
      </c>
      <c r="L368" s="6">
        <v>0.2</v>
      </c>
      <c r="M368" s="35" t="s">
        <v>40</v>
      </c>
      <c r="N368" s="7">
        <v>0.21210000000000001</v>
      </c>
      <c r="O368" s="32">
        <v>0.4</v>
      </c>
      <c r="P368" s="7">
        <v>0.16420000000000001</v>
      </c>
      <c r="Q368" s="8">
        <v>11</v>
      </c>
      <c r="R368" s="8">
        <v>56</v>
      </c>
      <c r="S368" s="8">
        <f>SUM(Dataset_AFinal[[#This Row],[Casual_user]:[Registered_user]])</f>
        <v>67</v>
      </c>
    </row>
    <row r="369" spans="1:19" x14ac:dyDescent="0.3">
      <c r="A369" s="4">
        <v>368</v>
      </c>
      <c r="B369" s="7" t="s">
        <v>94</v>
      </c>
      <c r="C369" s="6" t="s">
        <v>78</v>
      </c>
      <c r="D369" s="6" t="s">
        <v>79</v>
      </c>
      <c r="E369" s="6" t="s">
        <v>31</v>
      </c>
      <c r="F369" s="35">
        <v>19</v>
      </c>
      <c r="G369" s="15" t="str">
        <f t="shared" si="5"/>
        <v>Evening</v>
      </c>
      <c r="H369" s="6" t="b">
        <v>0</v>
      </c>
      <c r="I369" s="6" t="s">
        <v>53</v>
      </c>
      <c r="J369" s="6" t="str">
        <f>IF(OR(Dataset_AFinal[[#This Row],[Weekday]]="Sat",Dataset_AFinal[[#This Row],[Weekday]]="Sun"),"Weekend", "Weekday")</f>
        <v>Weekend</v>
      </c>
      <c r="K369" s="6" t="s">
        <v>32</v>
      </c>
      <c r="L369" s="6">
        <v>0.18</v>
      </c>
      <c r="M369" s="35" t="s">
        <v>40</v>
      </c>
      <c r="N369" s="7">
        <v>0.19700000000000001</v>
      </c>
      <c r="O369" s="32">
        <v>0.47</v>
      </c>
      <c r="P369" s="7">
        <v>0.1343</v>
      </c>
      <c r="Q369" s="8">
        <v>14</v>
      </c>
      <c r="R369" s="8">
        <v>47</v>
      </c>
      <c r="S369" s="8">
        <f>SUM(Dataset_AFinal[[#This Row],[Casual_user]:[Registered_user]])</f>
        <v>61</v>
      </c>
    </row>
    <row r="370" spans="1:19" x14ac:dyDescent="0.3">
      <c r="A370" s="4">
        <v>369</v>
      </c>
      <c r="B370" s="7" t="s">
        <v>94</v>
      </c>
      <c r="C370" s="6" t="s">
        <v>78</v>
      </c>
      <c r="D370" s="6" t="s">
        <v>79</v>
      </c>
      <c r="E370" s="6" t="s">
        <v>31</v>
      </c>
      <c r="F370" s="35">
        <v>20</v>
      </c>
      <c r="G370" s="15" t="str">
        <f t="shared" si="5"/>
        <v>Evening</v>
      </c>
      <c r="H370" s="6" t="b">
        <v>0</v>
      </c>
      <c r="I370" s="6" t="s">
        <v>53</v>
      </c>
      <c r="J370" s="6" t="str">
        <f>IF(OR(Dataset_AFinal[[#This Row],[Weekday]]="Sat",Dataset_AFinal[[#This Row],[Weekday]]="Sun"),"Weekend", "Weekday")</f>
        <v>Weekend</v>
      </c>
      <c r="K370" s="6" t="s">
        <v>32</v>
      </c>
      <c r="L370" s="6">
        <v>0.18</v>
      </c>
      <c r="M370" s="35" t="s">
        <v>40</v>
      </c>
      <c r="N370" s="7">
        <v>0.19700000000000001</v>
      </c>
      <c r="O370" s="32">
        <v>0.47</v>
      </c>
      <c r="P370" s="7">
        <v>0.16420000000000001</v>
      </c>
      <c r="Q370" s="8">
        <v>7</v>
      </c>
      <c r="R370" s="8">
        <v>50</v>
      </c>
      <c r="S370" s="8">
        <f>SUM(Dataset_AFinal[[#This Row],[Casual_user]:[Registered_user]])</f>
        <v>57</v>
      </c>
    </row>
    <row r="371" spans="1:19" x14ac:dyDescent="0.3">
      <c r="A371" s="4">
        <v>370</v>
      </c>
      <c r="B371" s="7" t="s">
        <v>94</v>
      </c>
      <c r="C371" s="6" t="s">
        <v>78</v>
      </c>
      <c r="D371" s="6" t="s">
        <v>79</v>
      </c>
      <c r="E371" s="6" t="s">
        <v>31</v>
      </c>
      <c r="F371" s="35">
        <v>21</v>
      </c>
      <c r="G371" s="15" t="str">
        <f t="shared" si="5"/>
        <v>Evening</v>
      </c>
      <c r="H371" s="6" t="b">
        <v>0</v>
      </c>
      <c r="I371" s="6" t="s">
        <v>53</v>
      </c>
      <c r="J371" s="6" t="str">
        <f>IF(OR(Dataset_AFinal[[#This Row],[Weekday]]="Sat",Dataset_AFinal[[#This Row],[Weekday]]="Sun"),"Weekend", "Weekday")</f>
        <v>Weekend</v>
      </c>
      <c r="K371" s="6" t="s">
        <v>32</v>
      </c>
      <c r="L371" s="6">
        <v>0.18</v>
      </c>
      <c r="M371" s="35" t="s">
        <v>40</v>
      </c>
      <c r="N371" s="7">
        <v>0.19700000000000001</v>
      </c>
      <c r="O371" s="32">
        <v>0.51</v>
      </c>
      <c r="P371" s="7">
        <v>0.16420000000000001</v>
      </c>
      <c r="Q371" s="8">
        <v>6</v>
      </c>
      <c r="R371" s="8">
        <v>22</v>
      </c>
      <c r="S371" s="8">
        <f>SUM(Dataset_AFinal[[#This Row],[Casual_user]:[Registered_user]])</f>
        <v>28</v>
      </c>
    </row>
    <row r="372" spans="1:19" x14ac:dyDescent="0.3">
      <c r="A372" s="4">
        <v>371</v>
      </c>
      <c r="B372" s="7" t="s">
        <v>94</v>
      </c>
      <c r="C372" s="6" t="s">
        <v>78</v>
      </c>
      <c r="D372" s="6" t="s">
        <v>79</v>
      </c>
      <c r="E372" s="6" t="s">
        <v>31</v>
      </c>
      <c r="F372" s="35">
        <v>22</v>
      </c>
      <c r="G372" s="15" t="str">
        <f t="shared" si="5"/>
        <v>Evening</v>
      </c>
      <c r="H372" s="6" t="b">
        <v>0</v>
      </c>
      <c r="I372" s="6" t="s">
        <v>53</v>
      </c>
      <c r="J372" s="6" t="str">
        <f>IF(OR(Dataset_AFinal[[#This Row],[Weekday]]="Sat",Dataset_AFinal[[#This Row],[Weekday]]="Sun"),"Weekend", "Weekday")</f>
        <v>Weekend</v>
      </c>
      <c r="K372" s="6" t="s">
        <v>33</v>
      </c>
      <c r="L372" s="6">
        <v>0.2</v>
      </c>
      <c r="M372" s="35" t="s">
        <v>40</v>
      </c>
      <c r="N372" s="7">
        <v>0.21210000000000001</v>
      </c>
      <c r="O372" s="32">
        <v>0.49</v>
      </c>
      <c r="P372" s="7">
        <v>0.1343</v>
      </c>
      <c r="Q372" s="8">
        <v>2</v>
      </c>
      <c r="R372" s="8">
        <v>19</v>
      </c>
      <c r="S372" s="8">
        <f>SUM(Dataset_AFinal[[#This Row],[Casual_user]:[Registered_user]])</f>
        <v>21</v>
      </c>
    </row>
    <row r="373" spans="1:19" x14ac:dyDescent="0.3">
      <c r="A373" s="4">
        <v>372</v>
      </c>
      <c r="B373" s="7" t="s">
        <v>94</v>
      </c>
      <c r="C373" s="6" t="s">
        <v>78</v>
      </c>
      <c r="D373" s="6" t="s">
        <v>79</v>
      </c>
      <c r="E373" s="6" t="s">
        <v>31</v>
      </c>
      <c r="F373" s="35">
        <v>23</v>
      </c>
      <c r="G373" s="15" t="str">
        <f t="shared" si="5"/>
        <v>Evening</v>
      </c>
      <c r="H373" s="6" t="b">
        <v>0</v>
      </c>
      <c r="I373" s="6" t="s">
        <v>53</v>
      </c>
      <c r="J373" s="6" t="str">
        <f>IF(OR(Dataset_AFinal[[#This Row],[Weekday]]="Sat",Dataset_AFinal[[#This Row],[Weekday]]="Sun"),"Weekend", "Weekday")</f>
        <v>Weekend</v>
      </c>
      <c r="K373" s="6" t="s">
        <v>33</v>
      </c>
      <c r="L373" s="6">
        <v>0.2</v>
      </c>
      <c r="M373" s="35" t="s">
        <v>40</v>
      </c>
      <c r="N373" s="7">
        <v>0.2273</v>
      </c>
      <c r="O373" s="32">
        <v>0.4</v>
      </c>
      <c r="P373" s="7">
        <v>0.1045</v>
      </c>
      <c r="Q373" s="8">
        <v>0</v>
      </c>
      <c r="R373" s="8">
        <v>18</v>
      </c>
      <c r="S373" s="8">
        <f>SUM(Dataset_AFinal[[#This Row],[Casual_user]:[Registered_user]])</f>
        <v>18</v>
      </c>
    </row>
    <row r="374" spans="1:19" x14ac:dyDescent="0.3">
      <c r="A374" s="4">
        <v>373</v>
      </c>
      <c r="B374" s="7" t="s">
        <v>95</v>
      </c>
      <c r="C374" s="6" t="s">
        <v>78</v>
      </c>
      <c r="D374" s="6" t="s">
        <v>79</v>
      </c>
      <c r="E374" s="6" t="s">
        <v>31</v>
      </c>
      <c r="F374" s="35">
        <v>0</v>
      </c>
      <c r="G374" s="15" t="str">
        <f t="shared" si="5"/>
        <v>Night</v>
      </c>
      <c r="H374" s="6" t="b">
        <v>1</v>
      </c>
      <c r="I374" s="6" t="s">
        <v>54</v>
      </c>
      <c r="J374" s="6" t="str">
        <f>IF(OR(Dataset_AFinal[[#This Row],[Weekday]]="Sat",Dataset_AFinal[[#This Row],[Weekday]]="Sun"),"Weekend", "Weekday")</f>
        <v>Weekday</v>
      </c>
      <c r="K374" s="6" t="s">
        <v>33</v>
      </c>
      <c r="L374" s="6">
        <v>0.2</v>
      </c>
      <c r="M374" s="35" t="s">
        <v>40</v>
      </c>
      <c r="N374" s="7">
        <v>0.19700000000000001</v>
      </c>
      <c r="O374" s="32">
        <v>0.47</v>
      </c>
      <c r="P374" s="7">
        <v>0.22389999999999999</v>
      </c>
      <c r="Q374" s="8">
        <v>1</v>
      </c>
      <c r="R374" s="8">
        <v>16</v>
      </c>
      <c r="S374" s="8">
        <f>SUM(Dataset_AFinal[[#This Row],[Casual_user]:[Registered_user]])</f>
        <v>17</v>
      </c>
    </row>
    <row r="375" spans="1:19" x14ac:dyDescent="0.3">
      <c r="A375" s="4">
        <v>374</v>
      </c>
      <c r="B375" s="7" t="s">
        <v>95</v>
      </c>
      <c r="C375" s="6" t="s">
        <v>78</v>
      </c>
      <c r="D375" s="6" t="s">
        <v>79</v>
      </c>
      <c r="E375" s="6" t="s">
        <v>31</v>
      </c>
      <c r="F375" s="35">
        <v>1</v>
      </c>
      <c r="G375" s="15" t="str">
        <f t="shared" si="5"/>
        <v>Night</v>
      </c>
      <c r="H375" s="6" t="b">
        <v>1</v>
      </c>
      <c r="I375" s="6" t="s">
        <v>54</v>
      </c>
      <c r="J375" s="6" t="str">
        <f>IF(OR(Dataset_AFinal[[#This Row],[Weekday]]="Sat",Dataset_AFinal[[#This Row],[Weekday]]="Sun"),"Weekend", "Weekday")</f>
        <v>Weekday</v>
      </c>
      <c r="K375" s="6" t="s">
        <v>33</v>
      </c>
      <c r="L375" s="6">
        <v>0.2</v>
      </c>
      <c r="M375" s="35" t="s">
        <v>40</v>
      </c>
      <c r="N375" s="7">
        <v>0.19700000000000001</v>
      </c>
      <c r="O375" s="32">
        <v>0.44</v>
      </c>
      <c r="P375" s="7">
        <v>0.19400000000000001</v>
      </c>
      <c r="Q375" s="8">
        <v>1</v>
      </c>
      <c r="R375" s="8">
        <v>15</v>
      </c>
      <c r="S375" s="8">
        <f>SUM(Dataset_AFinal[[#This Row],[Casual_user]:[Registered_user]])</f>
        <v>16</v>
      </c>
    </row>
    <row r="376" spans="1:19" x14ac:dyDescent="0.3">
      <c r="A376" s="4">
        <v>375</v>
      </c>
      <c r="B376" s="7" t="s">
        <v>95</v>
      </c>
      <c r="C376" s="6" t="s">
        <v>78</v>
      </c>
      <c r="D376" s="6" t="s">
        <v>79</v>
      </c>
      <c r="E376" s="6" t="s">
        <v>31</v>
      </c>
      <c r="F376" s="35">
        <v>2</v>
      </c>
      <c r="G376" s="15" t="str">
        <f t="shared" si="5"/>
        <v>Night</v>
      </c>
      <c r="H376" s="6" t="b">
        <v>1</v>
      </c>
      <c r="I376" s="6" t="s">
        <v>54</v>
      </c>
      <c r="J376" s="6" t="str">
        <f>IF(OR(Dataset_AFinal[[#This Row],[Weekday]]="Sat",Dataset_AFinal[[#This Row],[Weekday]]="Sun"),"Weekend", "Weekday")</f>
        <v>Weekday</v>
      </c>
      <c r="K376" s="6" t="s">
        <v>33</v>
      </c>
      <c r="L376" s="6">
        <v>0.18</v>
      </c>
      <c r="M376" s="35" t="s">
        <v>40</v>
      </c>
      <c r="N376" s="7">
        <v>0.16669999999999999</v>
      </c>
      <c r="O376" s="32">
        <v>0.43</v>
      </c>
      <c r="P376" s="7">
        <v>0.25369999999999998</v>
      </c>
      <c r="Q376" s="8">
        <v>0</v>
      </c>
      <c r="R376" s="8">
        <v>8</v>
      </c>
      <c r="S376" s="8">
        <f>SUM(Dataset_AFinal[[#This Row],[Casual_user]:[Registered_user]])</f>
        <v>8</v>
      </c>
    </row>
    <row r="377" spans="1:19" x14ac:dyDescent="0.3">
      <c r="A377" s="4">
        <v>376</v>
      </c>
      <c r="B377" s="7" t="s">
        <v>95</v>
      </c>
      <c r="C377" s="6" t="s">
        <v>78</v>
      </c>
      <c r="D377" s="6" t="s">
        <v>79</v>
      </c>
      <c r="E377" s="6" t="s">
        <v>31</v>
      </c>
      <c r="F377" s="35">
        <v>3</v>
      </c>
      <c r="G377" s="15" t="str">
        <f t="shared" si="5"/>
        <v>Night</v>
      </c>
      <c r="H377" s="6" t="b">
        <v>1</v>
      </c>
      <c r="I377" s="6" t="s">
        <v>54</v>
      </c>
      <c r="J377" s="6" t="str">
        <f>IF(OR(Dataset_AFinal[[#This Row],[Weekday]]="Sat",Dataset_AFinal[[#This Row],[Weekday]]="Sun"),"Weekend", "Weekday")</f>
        <v>Weekday</v>
      </c>
      <c r="K377" s="6" t="s">
        <v>33</v>
      </c>
      <c r="L377" s="6">
        <v>0.18</v>
      </c>
      <c r="M377" s="35" t="s">
        <v>40</v>
      </c>
      <c r="N377" s="7">
        <v>0.18179999999999999</v>
      </c>
      <c r="O377" s="32">
        <v>0.43</v>
      </c>
      <c r="P377" s="7">
        <v>0.19400000000000001</v>
      </c>
      <c r="Q377" s="8">
        <v>0</v>
      </c>
      <c r="R377" s="8">
        <v>2</v>
      </c>
      <c r="S377" s="8">
        <f>SUM(Dataset_AFinal[[#This Row],[Casual_user]:[Registered_user]])</f>
        <v>2</v>
      </c>
    </row>
    <row r="378" spans="1:19" x14ac:dyDescent="0.3">
      <c r="A378" s="4">
        <v>377</v>
      </c>
      <c r="B378" s="7" t="s">
        <v>95</v>
      </c>
      <c r="C378" s="6" t="s">
        <v>78</v>
      </c>
      <c r="D378" s="6" t="s">
        <v>79</v>
      </c>
      <c r="E378" s="6" t="s">
        <v>31</v>
      </c>
      <c r="F378" s="35">
        <v>4</v>
      </c>
      <c r="G378" s="15" t="str">
        <f t="shared" si="5"/>
        <v>Night</v>
      </c>
      <c r="H378" s="6" t="b">
        <v>1</v>
      </c>
      <c r="I378" s="6" t="s">
        <v>54</v>
      </c>
      <c r="J378" s="6" t="str">
        <f>IF(OR(Dataset_AFinal[[#This Row],[Weekday]]="Sat",Dataset_AFinal[[#This Row],[Weekday]]="Sun"),"Weekend", "Weekday")</f>
        <v>Weekday</v>
      </c>
      <c r="K378" s="6" t="s">
        <v>33</v>
      </c>
      <c r="L378" s="6">
        <v>0.18</v>
      </c>
      <c r="M378" s="35" t="s">
        <v>40</v>
      </c>
      <c r="N378" s="7">
        <v>0.19700000000000001</v>
      </c>
      <c r="O378" s="32">
        <v>0.43</v>
      </c>
      <c r="P378" s="7">
        <v>0.1343</v>
      </c>
      <c r="Q378" s="8">
        <v>1</v>
      </c>
      <c r="R378" s="8">
        <v>2</v>
      </c>
      <c r="S378" s="8">
        <f>SUM(Dataset_AFinal[[#This Row],[Casual_user]:[Registered_user]])</f>
        <v>3</v>
      </c>
    </row>
    <row r="379" spans="1:19" x14ac:dyDescent="0.3">
      <c r="A379" s="4">
        <v>378</v>
      </c>
      <c r="B379" s="7" t="s">
        <v>95</v>
      </c>
      <c r="C379" s="6" t="s">
        <v>78</v>
      </c>
      <c r="D379" s="6" t="s">
        <v>79</v>
      </c>
      <c r="E379" s="6" t="s">
        <v>31</v>
      </c>
      <c r="F379" s="35">
        <v>5</v>
      </c>
      <c r="G379" s="15" t="str">
        <f t="shared" si="5"/>
        <v>Night</v>
      </c>
      <c r="H379" s="6" t="b">
        <v>1</v>
      </c>
      <c r="I379" s="6" t="s">
        <v>54</v>
      </c>
      <c r="J379" s="6" t="str">
        <f>IF(OR(Dataset_AFinal[[#This Row],[Weekday]]="Sat",Dataset_AFinal[[#This Row],[Weekday]]="Sun"),"Weekend", "Weekday")</f>
        <v>Weekday</v>
      </c>
      <c r="K379" s="6" t="s">
        <v>33</v>
      </c>
      <c r="L379" s="6">
        <v>0.18</v>
      </c>
      <c r="M379" s="35" t="s">
        <v>40</v>
      </c>
      <c r="N379" s="7">
        <v>0.19700000000000001</v>
      </c>
      <c r="O379" s="32">
        <v>0.43</v>
      </c>
      <c r="P379" s="7">
        <v>0.16420000000000001</v>
      </c>
      <c r="Q379" s="8">
        <v>0</v>
      </c>
      <c r="R379" s="8">
        <v>1</v>
      </c>
      <c r="S379" s="8">
        <f>SUM(Dataset_AFinal[[#This Row],[Casual_user]:[Registered_user]])</f>
        <v>1</v>
      </c>
    </row>
    <row r="380" spans="1:19" x14ac:dyDescent="0.3">
      <c r="A380" s="4">
        <v>379</v>
      </c>
      <c r="B380" s="7" t="s">
        <v>95</v>
      </c>
      <c r="C380" s="6" t="s">
        <v>78</v>
      </c>
      <c r="D380" s="6" t="s">
        <v>79</v>
      </c>
      <c r="E380" s="6" t="s">
        <v>31</v>
      </c>
      <c r="F380" s="35">
        <v>6</v>
      </c>
      <c r="G380" s="15" t="str">
        <f t="shared" si="5"/>
        <v>Morning</v>
      </c>
      <c r="H380" s="6" t="b">
        <v>1</v>
      </c>
      <c r="I380" s="6" t="s">
        <v>54</v>
      </c>
      <c r="J380" s="6" t="str">
        <f>IF(OR(Dataset_AFinal[[#This Row],[Weekday]]="Sat",Dataset_AFinal[[#This Row],[Weekday]]="Sun"),"Weekend", "Weekday")</f>
        <v>Weekday</v>
      </c>
      <c r="K380" s="6" t="s">
        <v>33</v>
      </c>
      <c r="L380" s="6">
        <v>0.18</v>
      </c>
      <c r="M380" s="35" t="s">
        <v>40</v>
      </c>
      <c r="N380" s="7">
        <v>0.18179999999999999</v>
      </c>
      <c r="O380" s="32">
        <v>0.43</v>
      </c>
      <c r="P380" s="7">
        <v>0.19400000000000001</v>
      </c>
      <c r="Q380" s="8">
        <v>0</v>
      </c>
      <c r="R380" s="8">
        <v>5</v>
      </c>
      <c r="S380" s="8">
        <f>SUM(Dataset_AFinal[[#This Row],[Casual_user]:[Registered_user]])</f>
        <v>5</v>
      </c>
    </row>
    <row r="381" spans="1:19" x14ac:dyDescent="0.3">
      <c r="A381" s="4">
        <v>380</v>
      </c>
      <c r="B381" s="7" t="s">
        <v>95</v>
      </c>
      <c r="C381" s="6" t="s">
        <v>78</v>
      </c>
      <c r="D381" s="6" t="s">
        <v>79</v>
      </c>
      <c r="E381" s="6" t="s">
        <v>31</v>
      </c>
      <c r="F381" s="35">
        <v>7</v>
      </c>
      <c r="G381" s="15" t="str">
        <f t="shared" si="5"/>
        <v>Morning</v>
      </c>
      <c r="H381" s="6" t="b">
        <v>1</v>
      </c>
      <c r="I381" s="6" t="s">
        <v>54</v>
      </c>
      <c r="J381" s="6" t="str">
        <f>IF(OR(Dataset_AFinal[[#This Row],[Weekday]]="Sat",Dataset_AFinal[[#This Row],[Weekday]]="Sun"),"Weekend", "Weekday")</f>
        <v>Weekday</v>
      </c>
      <c r="K381" s="6" t="s">
        <v>33</v>
      </c>
      <c r="L381" s="6">
        <v>0.16</v>
      </c>
      <c r="M381" s="35" t="s">
        <v>40</v>
      </c>
      <c r="N381" s="7">
        <v>0.18179999999999999</v>
      </c>
      <c r="O381" s="32">
        <v>0.5</v>
      </c>
      <c r="P381" s="7">
        <v>0.1343</v>
      </c>
      <c r="Q381" s="8">
        <v>4</v>
      </c>
      <c r="R381" s="8">
        <v>9</v>
      </c>
      <c r="S381" s="8">
        <f>SUM(Dataset_AFinal[[#This Row],[Casual_user]:[Registered_user]])</f>
        <v>13</v>
      </c>
    </row>
    <row r="382" spans="1:19" x14ac:dyDescent="0.3">
      <c r="A382" s="4">
        <v>381</v>
      </c>
      <c r="B382" s="7" t="s">
        <v>95</v>
      </c>
      <c r="C382" s="6" t="s">
        <v>78</v>
      </c>
      <c r="D382" s="6" t="s">
        <v>79</v>
      </c>
      <c r="E382" s="6" t="s">
        <v>31</v>
      </c>
      <c r="F382" s="35">
        <v>8</v>
      </c>
      <c r="G382" s="15" t="str">
        <f t="shared" si="5"/>
        <v>Morning</v>
      </c>
      <c r="H382" s="6" t="b">
        <v>1</v>
      </c>
      <c r="I382" s="6" t="s">
        <v>54</v>
      </c>
      <c r="J382" s="6" t="str">
        <f>IF(OR(Dataset_AFinal[[#This Row],[Weekday]]="Sat",Dataset_AFinal[[#This Row],[Weekday]]="Sun"),"Weekend", "Weekday")</f>
        <v>Weekday</v>
      </c>
      <c r="K382" s="6" t="s">
        <v>33</v>
      </c>
      <c r="L382" s="6">
        <v>0.16</v>
      </c>
      <c r="M382" s="35" t="s">
        <v>40</v>
      </c>
      <c r="N382" s="7">
        <v>0.1515</v>
      </c>
      <c r="O382" s="32">
        <v>0.47</v>
      </c>
      <c r="P382" s="7">
        <v>0.22389999999999999</v>
      </c>
      <c r="Q382" s="8">
        <v>3</v>
      </c>
      <c r="R382" s="8">
        <v>30</v>
      </c>
      <c r="S382" s="8">
        <f>SUM(Dataset_AFinal[[#This Row],[Casual_user]:[Registered_user]])</f>
        <v>33</v>
      </c>
    </row>
    <row r="383" spans="1:19" x14ac:dyDescent="0.3">
      <c r="A383" s="4">
        <v>382</v>
      </c>
      <c r="B383" s="7" t="s">
        <v>95</v>
      </c>
      <c r="C383" s="6" t="s">
        <v>78</v>
      </c>
      <c r="D383" s="6" t="s">
        <v>79</v>
      </c>
      <c r="E383" s="6" t="s">
        <v>31</v>
      </c>
      <c r="F383" s="35">
        <v>9</v>
      </c>
      <c r="G383" s="15" t="str">
        <f t="shared" si="5"/>
        <v>Morning</v>
      </c>
      <c r="H383" s="6" t="b">
        <v>1</v>
      </c>
      <c r="I383" s="6" t="s">
        <v>54</v>
      </c>
      <c r="J383" s="6" t="str">
        <f>IF(OR(Dataset_AFinal[[#This Row],[Weekday]]="Sat",Dataset_AFinal[[#This Row],[Weekday]]="Sun"),"Weekend", "Weekday")</f>
        <v>Weekday</v>
      </c>
      <c r="K383" s="6" t="s">
        <v>33</v>
      </c>
      <c r="L383" s="6">
        <v>0.16</v>
      </c>
      <c r="M383" s="35" t="s">
        <v>40</v>
      </c>
      <c r="N383" s="7">
        <v>0.1515</v>
      </c>
      <c r="O383" s="32">
        <v>0.47</v>
      </c>
      <c r="P383" s="7">
        <v>0.22389999999999999</v>
      </c>
      <c r="Q383" s="8">
        <v>8</v>
      </c>
      <c r="R383" s="8">
        <v>39</v>
      </c>
      <c r="S383" s="8">
        <f>SUM(Dataset_AFinal[[#This Row],[Casual_user]:[Registered_user]])</f>
        <v>47</v>
      </c>
    </row>
    <row r="384" spans="1:19" x14ac:dyDescent="0.3">
      <c r="A384" s="4">
        <v>383</v>
      </c>
      <c r="B384" s="7" t="s">
        <v>95</v>
      </c>
      <c r="C384" s="6" t="s">
        <v>78</v>
      </c>
      <c r="D384" s="6" t="s">
        <v>79</v>
      </c>
      <c r="E384" s="6" t="s">
        <v>31</v>
      </c>
      <c r="F384" s="35">
        <v>10</v>
      </c>
      <c r="G384" s="15" t="str">
        <f t="shared" si="5"/>
        <v>Morning</v>
      </c>
      <c r="H384" s="6" t="b">
        <v>1</v>
      </c>
      <c r="I384" s="6" t="s">
        <v>54</v>
      </c>
      <c r="J384" s="6" t="str">
        <f>IF(OR(Dataset_AFinal[[#This Row],[Weekday]]="Sat",Dataset_AFinal[[#This Row],[Weekday]]="Sun"),"Weekend", "Weekday")</f>
        <v>Weekday</v>
      </c>
      <c r="K384" s="6" t="s">
        <v>33</v>
      </c>
      <c r="L384" s="6">
        <v>0.16</v>
      </c>
      <c r="M384" s="35" t="s">
        <v>40</v>
      </c>
      <c r="N384" s="7">
        <v>0.1515</v>
      </c>
      <c r="O384" s="32">
        <v>0.5</v>
      </c>
      <c r="P384" s="7">
        <v>0.25369999999999998</v>
      </c>
      <c r="Q384" s="8">
        <v>7</v>
      </c>
      <c r="R384" s="8">
        <v>50</v>
      </c>
      <c r="S384" s="8">
        <f>SUM(Dataset_AFinal[[#This Row],[Casual_user]:[Registered_user]])</f>
        <v>57</v>
      </c>
    </row>
    <row r="385" spans="1:19" x14ac:dyDescent="0.3">
      <c r="A385" s="4">
        <v>384</v>
      </c>
      <c r="B385" s="7" t="s">
        <v>95</v>
      </c>
      <c r="C385" s="6" t="s">
        <v>78</v>
      </c>
      <c r="D385" s="6" t="s">
        <v>79</v>
      </c>
      <c r="E385" s="6" t="s">
        <v>31</v>
      </c>
      <c r="F385" s="35">
        <v>11</v>
      </c>
      <c r="G385" s="15" t="str">
        <f t="shared" si="5"/>
        <v>Morning</v>
      </c>
      <c r="H385" s="6" t="b">
        <v>1</v>
      </c>
      <c r="I385" s="6" t="s">
        <v>54</v>
      </c>
      <c r="J385" s="6" t="str">
        <f>IF(OR(Dataset_AFinal[[#This Row],[Weekday]]="Sat",Dataset_AFinal[[#This Row],[Weekday]]="Sun"),"Weekend", "Weekday")</f>
        <v>Weekday</v>
      </c>
      <c r="K385" s="6" t="s">
        <v>33</v>
      </c>
      <c r="L385" s="6">
        <v>0.16</v>
      </c>
      <c r="M385" s="35" t="s">
        <v>40</v>
      </c>
      <c r="N385" s="7">
        <v>0.1515</v>
      </c>
      <c r="O385" s="32">
        <v>0.55000000000000004</v>
      </c>
      <c r="P385" s="7">
        <v>0.19400000000000001</v>
      </c>
      <c r="Q385" s="8">
        <v>9</v>
      </c>
      <c r="R385" s="8">
        <v>55</v>
      </c>
      <c r="S385" s="8">
        <f>SUM(Dataset_AFinal[[#This Row],[Casual_user]:[Registered_user]])</f>
        <v>64</v>
      </c>
    </row>
    <row r="386" spans="1:19" x14ac:dyDescent="0.3">
      <c r="A386" s="4">
        <v>385</v>
      </c>
      <c r="B386" s="7" t="s">
        <v>95</v>
      </c>
      <c r="C386" s="6" t="s">
        <v>78</v>
      </c>
      <c r="D386" s="6" t="s">
        <v>79</v>
      </c>
      <c r="E386" s="6" t="s">
        <v>31</v>
      </c>
      <c r="F386" s="35">
        <v>12</v>
      </c>
      <c r="G386" s="15" t="str">
        <f t="shared" ref="G386:G449" si="6">IF(F386&lt;6,"Night",IF(F386&lt;12,"Morning",IF(F386&lt;18,"Afternoon","Evening")))</f>
        <v>Afternoon</v>
      </c>
      <c r="H386" s="6" t="b">
        <v>1</v>
      </c>
      <c r="I386" s="6" t="s">
        <v>54</v>
      </c>
      <c r="J386" s="6" t="str">
        <f>IF(OR(Dataset_AFinal[[#This Row],[Weekday]]="Sat",Dataset_AFinal[[#This Row],[Weekday]]="Sun"),"Weekend", "Weekday")</f>
        <v>Weekday</v>
      </c>
      <c r="K386" s="6" t="s">
        <v>33</v>
      </c>
      <c r="L386" s="6">
        <v>0.18</v>
      </c>
      <c r="M386" s="35" t="s">
        <v>40</v>
      </c>
      <c r="N386" s="7">
        <v>0.19700000000000001</v>
      </c>
      <c r="O386" s="32">
        <v>0.47</v>
      </c>
      <c r="P386" s="7">
        <v>0.1343</v>
      </c>
      <c r="Q386" s="8">
        <v>10</v>
      </c>
      <c r="R386" s="8">
        <v>70</v>
      </c>
      <c r="S386" s="8">
        <f>SUM(Dataset_AFinal[[#This Row],[Casual_user]:[Registered_user]])</f>
        <v>80</v>
      </c>
    </row>
    <row r="387" spans="1:19" x14ac:dyDescent="0.3">
      <c r="A387" s="4">
        <v>386</v>
      </c>
      <c r="B387" s="7" t="s">
        <v>95</v>
      </c>
      <c r="C387" s="6" t="s">
        <v>78</v>
      </c>
      <c r="D387" s="6" t="s">
        <v>79</v>
      </c>
      <c r="E387" s="6" t="s">
        <v>31</v>
      </c>
      <c r="F387" s="35">
        <v>13</v>
      </c>
      <c r="G387" s="15" t="str">
        <f t="shared" si="6"/>
        <v>Afternoon</v>
      </c>
      <c r="H387" s="6" t="b">
        <v>1</v>
      </c>
      <c r="I387" s="6" t="s">
        <v>54</v>
      </c>
      <c r="J387" s="6" t="str">
        <f>IF(OR(Dataset_AFinal[[#This Row],[Weekday]]="Sat",Dataset_AFinal[[#This Row],[Weekday]]="Sun"),"Weekend", "Weekday")</f>
        <v>Weekday</v>
      </c>
      <c r="K387" s="6" t="s">
        <v>33</v>
      </c>
      <c r="L387" s="6">
        <v>0.18</v>
      </c>
      <c r="M387" s="35" t="s">
        <v>40</v>
      </c>
      <c r="N387" s="7">
        <v>0.19700000000000001</v>
      </c>
      <c r="O387" s="32">
        <v>0.47</v>
      </c>
      <c r="P387" s="7">
        <v>0.1343</v>
      </c>
      <c r="Q387" s="8">
        <v>13</v>
      </c>
      <c r="R387" s="8">
        <v>80</v>
      </c>
      <c r="S387" s="8">
        <f>SUM(Dataset_AFinal[[#This Row],[Casual_user]:[Registered_user]])</f>
        <v>93</v>
      </c>
    </row>
    <row r="388" spans="1:19" x14ac:dyDescent="0.3">
      <c r="A388" s="4">
        <v>387</v>
      </c>
      <c r="B388" s="7" t="s">
        <v>95</v>
      </c>
      <c r="C388" s="6" t="s">
        <v>78</v>
      </c>
      <c r="D388" s="6" t="s">
        <v>79</v>
      </c>
      <c r="E388" s="6" t="s">
        <v>31</v>
      </c>
      <c r="F388" s="35">
        <v>14</v>
      </c>
      <c r="G388" s="15" t="str">
        <f t="shared" si="6"/>
        <v>Afternoon</v>
      </c>
      <c r="H388" s="6" t="b">
        <v>1</v>
      </c>
      <c r="I388" s="6" t="s">
        <v>54</v>
      </c>
      <c r="J388" s="6" t="str">
        <f>IF(OR(Dataset_AFinal[[#This Row],[Weekday]]="Sat",Dataset_AFinal[[#This Row],[Weekday]]="Sun"),"Weekend", "Weekday")</f>
        <v>Weekday</v>
      </c>
      <c r="K388" s="6" t="s">
        <v>33</v>
      </c>
      <c r="L388" s="6">
        <v>0.18</v>
      </c>
      <c r="M388" s="35" t="s">
        <v>40</v>
      </c>
      <c r="N388" s="7">
        <v>0.21210000000000001</v>
      </c>
      <c r="O388" s="32">
        <v>0.43</v>
      </c>
      <c r="P388" s="7">
        <v>0.1045</v>
      </c>
      <c r="Q388" s="8">
        <v>12</v>
      </c>
      <c r="R388" s="8">
        <v>74</v>
      </c>
      <c r="S388" s="8">
        <f>SUM(Dataset_AFinal[[#This Row],[Casual_user]:[Registered_user]])</f>
        <v>86</v>
      </c>
    </row>
    <row r="389" spans="1:19" x14ac:dyDescent="0.3">
      <c r="A389" s="4">
        <v>388</v>
      </c>
      <c r="B389" s="7" t="s">
        <v>95</v>
      </c>
      <c r="C389" s="6" t="s">
        <v>78</v>
      </c>
      <c r="D389" s="6" t="s">
        <v>79</v>
      </c>
      <c r="E389" s="6" t="s">
        <v>31</v>
      </c>
      <c r="F389" s="35">
        <v>15</v>
      </c>
      <c r="G389" s="15" t="str">
        <f t="shared" si="6"/>
        <v>Afternoon</v>
      </c>
      <c r="H389" s="6" t="b">
        <v>1</v>
      </c>
      <c r="I389" s="6" t="s">
        <v>54</v>
      </c>
      <c r="J389" s="6" t="str">
        <f>IF(OR(Dataset_AFinal[[#This Row],[Weekday]]="Sat",Dataset_AFinal[[#This Row],[Weekday]]="Sun"),"Weekend", "Weekday")</f>
        <v>Weekday</v>
      </c>
      <c r="K389" s="6" t="s">
        <v>33</v>
      </c>
      <c r="L389" s="6">
        <v>0.2</v>
      </c>
      <c r="M389" s="35" t="s">
        <v>40</v>
      </c>
      <c r="N389" s="7">
        <v>0.21210000000000001</v>
      </c>
      <c r="O389" s="32">
        <v>0.47</v>
      </c>
      <c r="P389" s="7">
        <v>0.16420000000000001</v>
      </c>
      <c r="Q389" s="8">
        <v>21</v>
      </c>
      <c r="R389" s="8">
        <v>72</v>
      </c>
      <c r="S389" s="8">
        <f>SUM(Dataset_AFinal[[#This Row],[Casual_user]:[Registered_user]])</f>
        <v>93</v>
      </c>
    </row>
    <row r="390" spans="1:19" x14ac:dyDescent="0.3">
      <c r="A390" s="4">
        <v>389</v>
      </c>
      <c r="B390" s="7" t="s">
        <v>95</v>
      </c>
      <c r="C390" s="6" t="s">
        <v>78</v>
      </c>
      <c r="D390" s="6" t="s">
        <v>79</v>
      </c>
      <c r="E390" s="6" t="s">
        <v>31</v>
      </c>
      <c r="F390" s="35">
        <v>16</v>
      </c>
      <c r="G390" s="15" t="str">
        <f t="shared" si="6"/>
        <v>Afternoon</v>
      </c>
      <c r="H390" s="6" t="b">
        <v>1</v>
      </c>
      <c r="I390" s="6" t="s">
        <v>54</v>
      </c>
      <c r="J390" s="6" t="str">
        <f>IF(OR(Dataset_AFinal[[#This Row],[Weekday]]="Sat",Dataset_AFinal[[#This Row],[Weekday]]="Sun"),"Weekend", "Weekday")</f>
        <v>Weekday</v>
      </c>
      <c r="K390" s="6" t="s">
        <v>33</v>
      </c>
      <c r="L390" s="6">
        <v>0.2</v>
      </c>
      <c r="M390" s="35" t="s">
        <v>40</v>
      </c>
      <c r="N390" s="7">
        <v>0.21210000000000001</v>
      </c>
      <c r="O390" s="32">
        <v>0.47</v>
      </c>
      <c r="P390" s="7">
        <v>0.16420000000000001</v>
      </c>
      <c r="Q390" s="8">
        <v>6</v>
      </c>
      <c r="R390" s="8">
        <v>76</v>
      </c>
      <c r="S390" s="8">
        <f>SUM(Dataset_AFinal[[#This Row],[Casual_user]:[Registered_user]])</f>
        <v>82</v>
      </c>
    </row>
    <row r="391" spans="1:19" x14ac:dyDescent="0.3">
      <c r="A391" s="4">
        <v>390</v>
      </c>
      <c r="B391" s="7" t="s">
        <v>95</v>
      </c>
      <c r="C391" s="6" t="s">
        <v>78</v>
      </c>
      <c r="D391" s="6" t="s">
        <v>79</v>
      </c>
      <c r="E391" s="6" t="s">
        <v>31</v>
      </c>
      <c r="F391" s="35">
        <v>17</v>
      </c>
      <c r="G391" s="15" t="str">
        <f t="shared" si="6"/>
        <v>Afternoon</v>
      </c>
      <c r="H391" s="6" t="b">
        <v>1</v>
      </c>
      <c r="I391" s="6" t="s">
        <v>54</v>
      </c>
      <c r="J391" s="6" t="str">
        <f>IF(OR(Dataset_AFinal[[#This Row],[Weekday]]="Sat",Dataset_AFinal[[#This Row],[Weekday]]="Sun"),"Weekend", "Weekday")</f>
        <v>Weekday</v>
      </c>
      <c r="K391" s="6" t="s">
        <v>32</v>
      </c>
      <c r="L391" s="6">
        <v>0.2</v>
      </c>
      <c r="M391" s="35" t="s">
        <v>40</v>
      </c>
      <c r="N391" s="7">
        <v>0.19700000000000001</v>
      </c>
      <c r="O391" s="32">
        <v>0.51</v>
      </c>
      <c r="P391" s="7">
        <v>0.19400000000000001</v>
      </c>
      <c r="Q391" s="8">
        <v>4</v>
      </c>
      <c r="R391" s="8">
        <v>67</v>
      </c>
      <c r="S391" s="8">
        <f>SUM(Dataset_AFinal[[#This Row],[Casual_user]:[Registered_user]])</f>
        <v>71</v>
      </c>
    </row>
    <row r="392" spans="1:19" x14ac:dyDescent="0.3">
      <c r="A392" s="4">
        <v>391</v>
      </c>
      <c r="B392" s="7" t="s">
        <v>95</v>
      </c>
      <c r="C392" s="6" t="s">
        <v>78</v>
      </c>
      <c r="D392" s="6" t="s">
        <v>79</v>
      </c>
      <c r="E392" s="6" t="s">
        <v>31</v>
      </c>
      <c r="F392" s="35">
        <v>18</v>
      </c>
      <c r="G392" s="15" t="str">
        <f t="shared" si="6"/>
        <v>Evening</v>
      </c>
      <c r="H392" s="6" t="b">
        <v>1</v>
      </c>
      <c r="I392" s="6" t="s">
        <v>54</v>
      </c>
      <c r="J392" s="6" t="str">
        <f>IF(OR(Dataset_AFinal[[#This Row],[Weekday]]="Sat",Dataset_AFinal[[#This Row],[Weekday]]="Sun"),"Weekend", "Weekday")</f>
        <v>Weekday</v>
      </c>
      <c r="K392" s="6" t="s">
        <v>33</v>
      </c>
      <c r="L392" s="6">
        <v>0.18</v>
      </c>
      <c r="M392" s="35" t="s">
        <v>40</v>
      </c>
      <c r="N392" s="7">
        <v>0.16669999999999999</v>
      </c>
      <c r="O392" s="32">
        <v>0.55000000000000004</v>
      </c>
      <c r="P392" s="7">
        <v>0.25369999999999998</v>
      </c>
      <c r="Q392" s="8">
        <v>7</v>
      </c>
      <c r="R392" s="8">
        <v>85</v>
      </c>
      <c r="S392" s="8">
        <f>SUM(Dataset_AFinal[[#This Row],[Casual_user]:[Registered_user]])</f>
        <v>92</v>
      </c>
    </row>
    <row r="393" spans="1:19" x14ac:dyDescent="0.3">
      <c r="A393" s="4">
        <v>392</v>
      </c>
      <c r="B393" s="7" t="s">
        <v>95</v>
      </c>
      <c r="C393" s="6" t="s">
        <v>78</v>
      </c>
      <c r="D393" s="6" t="s">
        <v>79</v>
      </c>
      <c r="E393" s="6" t="s">
        <v>31</v>
      </c>
      <c r="F393" s="35">
        <v>19</v>
      </c>
      <c r="G393" s="15" t="str">
        <f t="shared" si="6"/>
        <v>Evening</v>
      </c>
      <c r="H393" s="6" t="b">
        <v>1</v>
      </c>
      <c r="I393" s="6" t="s">
        <v>54</v>
      </c>
      <c r="J393" s="6" t="str">
        <f>IF(OR(Dataset_AFinal[[#This Row],[Weekday]]="Sat",Dataset_AFinal[[#This Row],[Weekday]]="Sun"),"Weekend", "Weekday")</f>
        <v>Weekday</v>
      </c>
      <c r="K393" s="6" t="s">
        <v>34</v>
      </c>
      <c r="L393" s="6">
        <v>0.18</v>
      </c>
      <c r="M393" s="35" t="s">
        <v>40</v>
      </c>
      <c r="N393" s="7">
        <v>0.18179999999999999</v>
      </c>
      <c r="O393" s="32">
        <v>0.59</v>
      </c>
      <c r="P393" s="7">
        <v>0.19400000000000001</v>
      </c>
      <c r="Q393" s="8">
        <v>2</v>
      </c>
      <c r="R393" s="8">
        <v>58</v>
      </c>
      <c r="S393" s="8">
        <f>SUM(Dataset_AFinal[[#This Row],[Casual_user]:[Registered_user]])</f>
        <v>60</v>
      </c>
    </row>
    <row r="394" spans="1:19" x14ac:dyDescent="0.3">
      <c r="A394" s="4">
        <v>393</v>
      </c>
      <c r="B394" s="7" t="s">
        <v>95</v>
      </c>
      <c r="C394" s="6" t="s">
        <v>78</v>
      </c>
      <c r="D394" s="6" t="s">
        <v>79</v>
      </c>
      <c r="E394" s="6" t="s">
        <v>31</v>
      </c>
      <c r="F394" s="35">
        <v>20</v>
      </c>
      <c r="G394" s="15" t="str">
        <f t="shared" si="6"/>
        <v>Evening</v>
      </c>
      <c r="H394" s="6" t="b">
        <v>1</v>
      </c>
      <c r="I394" s="6" t="s">
        <v>54</v>
      </c>
      <c r="J394" s="6" t="str">
        <f>IF(OR(Dataset_AFinal[[#This Row],[Weekday]]="Sat",Dataset_AFinal[[#This Row],[Weekday]]="Sun"),"Weekend", "Weekday")</f>
        <v>Weekday</v>
      </c>
      <c r="K394" s="6" t="s">
        <v>34</v>
      </c>
      <c r="L394" s="6">
        <v>0.16</v>
      </c>
      <c r="M394" s="35" t="s">
        <v>40</v>
      </c>
      <c r="N394" s="7">
        <v>0.1515</v>
      </c>
      <c r="O394" s="32">
        <v>0.8</v>
      </c>
      <c r="P394" s="7">
        <v>0.19400000000000001</v>
      </c>
      <c r="Q394" s="8">
        <v>4</v>
      </c>
      <c r="R394" s="8">
        <v>29</v>
      </c>
      <c r="S394" s="8">
        <f>SUM(Dataset_AFinal[[#This Row],[Casual_user]:[Registered_user]])</f>
        <v>33</v>
      </c>
    </row>
    <row r="395" spans="1:19" x14ac:dyDescent="0.3">
      <c r="A395" s="4">
        <v>394</v>
      </c>
      <c r="B395" s="7" t="s">
        <v>95</v>
      </c>
      <c r="C395" s="6" t="s">
        <v>78</v>
      </c>
      <c r="D395" s="6" t="s">
        <v>79</v>
      </c>
      <c r="E395" s="6" t="s">
        <v>31</v>
      </c>
      <c r="F395" s="35">
        <v>21</v>
      </c>
      <c r="G395" s="15" t="str">
        <f t="shared" si="6"/>
        <v>Evening</v>
      </c>
      <c r="H395" s="6" t="b">
        <v>1</v>
      </c>
      <c r="I395" s="6" t="s">
        <v>54</v>
      </c>
      <c r="J395" s="6" t="str">
        <f>IF(OR(Dataset_AFinal[[#This Row],[Weekday]]="Sat",Dataset_AFinal[[#This Row],[Weekday]]="Sun"),"Weekend", "Weekday")</f>
        <v>Weekday</v>
      </c>
      <c r="K395" s="6" t="s">
        <v>34</v>
      </c>
      <c r="L395" s="6">
        <v>0.16</v>
      </c>
      <c r="M395" s="35" t="s">
        <v>40</v>
      </c>
      <c r="N395" s="7">
        <v>0.1515</v>
      </c>
      <c r="O395" s="32">
        <v>0.8</v>
      </c>
      <c r="P395" s="7">
        <v>0.19400000000000001</v>
      </c>
      <c r="Q395" s="8">
        <v>3</v>
      </c>
      <c r="R395" s="8">
        <v>24</v>
      </c>
      <c r="S395" s="8">
        <f>SUM(Dataset_AFinal[[#This Row],[Casual_user]:[Registered_user]])</f>
        <v>27</v>
      </c>
    </row>
    <row r="396" spans="1:19" x14ac:dyDescent="0.3">
      <c r="A396" s="4">
        <v>395</v>
      </c>
      <c r="B396" s="7" t="s">
        <v>95</v>
      </c>
      <c r="C396" s="6" t="s">
        <v>78</v>
      </c>
      <c r="D396" s="6" t="s">
        <v>79</v>
      </c>
      <c r="E396" s="6" t="s">
        <v>31</v>
      </c>
      <c r="F396" s="35">
        <v>22</v>
      </c>
      <c r="G396" s="15" t="str">
        <f t="shared" si="6"/>
        <v>Evening</v>
      </c>
      <c r="H396" s="6" t="b">
        <v>1</v>
      </c>
      <c r="I396" s="6" t="s">
        <v>54</v>
      </c>
      <c r="J396" s="6" t="str">
        <f>IF(OR(Dataset_AFinal[[#This Row],[Weekday]]="Sat",Dataset_AFinal[[#This Row],[Weekday]]="Sun"),"Weekend", "Weekday")</f>
        <v>Weekday</v>
      </c>
      <c r="K396" s="6" t="s">
        <v>34</v>
      </c>
      <c r="L396" s="6">
        <v>0.14000000000000001</v>
      </c>
      <c r="M396" s="35" t="s">
        <v>44</v>
      </c>
      <c r="N396" s="7">
        <v>0.1212</v>
      </c>
      <c r="O396" s="32">
        <v>0.93</v>
      </c>
      <c r="P396" s="7">
        <v>0.25369999999999998</v>
      </c>
      <c r="Q396" s="8">
        <v>0</v>
      </c>
      <c r="R396" s="8">
        <v>13</v>
      </c>
      <c r="S396" s="8">
        <f>SUM(Dataset_AFinal[[#This Row],[Casual_user]:[Registered_user]])</f>
        <v>13</v>
      </c>
    </row>
    <row r="397" spans="1:19" x14ac:dyDescent="0.3">
      <c r="A397" s="4">
        <v>396</v>
      </c>
      <c r="B397" s="7" t="s">
        <v>95</v>
      </c>
      <c r="C397" s="6" t="s">
        <v>78</v>
      </c>
      <c r="D397" s="6" t="s">
        <v>79</v>
      </c>
      <c r="E397" s="6" t="s">
        <v>31</v>
      </c>
      <c r="F397" s="35">
        <v>23</v>
      </c>
      <c r="G397" s="15" t="str">
        <f t="shared" si="6"/>
        <v>Evening</v>
      </c>
      <c r="H397" s="6" t="b">
        <v>1</v>
      </c>
      <c r="I397" s="6" t="s">
        <v>54</v>
      </c>
      <c r="J397" s="6" t="str">
        <f>IF(OR(Dataset_AFinal[[#This Row],[Weekday]]="Sat",Dataset_AFinal[[#This Row],[Weekday]]="Sun"),"Weekend", "Weekday")</f>
        <v>Weekday</v>
      </c>
      <c r="K397" s="6" t="s">
        <v>34</v>
      </c>
      <c r="L397" s="6">
        <v>0.16</v>
      </c>
      <c r="M397" s="35" t="s">
        <v>40</v>
      </c>
      <c r="N397" s="7">
        <v>0.13639999999999999</v>
      </c>
      <c r="O397" s="32">
        <v>0.86</v>
      </c>
      <c r="P397" s="7">
        <v>0.28360000000000002</v>
      </c>
      <c r="Q397" s="8">
        <v>1</v>
      </c>
      <c r="R397" s="8">
        <v>3</v>
      </c>
      <c r="S397" s="8">
        <f>SUM(Dataset_AFinal[[#This Row],[Casual_user]:[Registered_user]])</f>
        <v>4</v>
      </c>
    </row>
    <row r="398" spans="1:19" x14ac:dyDescent="0.3">
      <c r="A398" s="4">
        <v>397</v>
      </c>
      <c r="B398" s="7" t="s">
        <v>96</v>
      </c>
      <c r="C398" s="6" t="s">
        <v>78</v>
      </c>
      <c r="D398" s="6" t="s">
        <v>79</v>
      </c>
      <c r="E398" s="6" t="s">
        <v>31</v>
      </c>
      <c r="F398" s="35">
        <v>12</v>
      </c>
      <c r="G398" s="15" t="str">
        <f t="shared" si="6"/>
        <v>Afternoon</v>
      </c>
      <c r="H398" s="6" t="b">
        <v>0</v>
      </c>
      <c r="I398" s="6" t="s">
        <v>55</v>
      </c>
      <c r="J398" s="6" t="str">
        <f>IF(OR(Dataset_AFinal[[#This Row],[Weekday]]="Sat",Dataset_AFinal[[#This Row],[Weekday]]="Sun"),"Weekend", "Weekday")</f>
        <v>Weekday</v>
      </c>
      <c r="K398" s="6" t="s">
        <v>33</v>
      </c>
      <c r="L398" s="6">
        <v>0.2</v>
      </c>
      <c r="M398" s="35" t="s">
        <v>40</v>
      </c>
      <c r="N398" s="7">
        <v>0.18179999999999999</v>
      </c>
      <c r="O398" s="32">
        <v>0.86</v>
      </c>
      <c r="P398" s="7">
        <v>0.32840000000000003</v>
      </c>
      <c r="Q398" s="8">
        <v>0</v>
      </c>
      <c r="R398" s="8">
        <v>3</v>
      </c>
      <c r="S398" s="8">
        <f>SUM(Dataset_AFinal[[#This Row],[Casual_user]:[Registered_user]])</f>
        <v>3</v>
      </c>
    </row>
    <row r="399" spans="1:19" x14ac:dyDescent="0.3">
      <c r="A399" s="4">
        <v>398</v>
      </c>
      <c r="B399" s="7" t="s">
        <v>96</v>
      </c>
      <c r="C399" s="6" t="s">
        <v>78</v>
      </c>
      <c r="D399" s="6" t="s">
        <v>79</v>
      </c>
      <c r="E399" s="6" t="s">
        <v>31</v>
      </c>
      <c r="F399" s="35">
        <v>13</v>
      </c>
      <c r="G399" s="15" t="str">
        <f t="shared" si="6"/>
        <v>Afternoon</v>
      </c>
      <c r="H399" s="6" t="b">
        <v>0</v>
      </c>
      <c r="I399" s="6" t="s">
        <v>55</v>
      </c>
      <c r="J399" s="6" t="str">
        <f>IF(OR(Dataset_AFinal[[#This Row],[Weekday]]="Sat",Dataset_AFinal[[#This Row],[Weekday]]="Sun"),"Weekend", "Weekday")</f>
        <v>Weekday</v>
      </c>
      <c r="K399" s="6" t="s">
        <v>33</v>
      </c>
      <c r="L399" s="6">
        <v>0.2</v>
      </c>
      <c r="M399" s="35" t="s">
        <v>40</v>
      </c>
      <c r="N399" s="7">
        <v>0.19700000000000001</v>
      </c>
      <c r="O399" s="32">
        <v>0.86</v>
      </c>
      <c r="P399" s="7">
        <v>0.22389999999999999</v>
      </c>
      <c r="Q399" s="8">
        <v>0</v>
      </c>
      <c r="R399" s="8">
        <v>22</v>
      </c>
      <c r="S399" s="8">
        <f>SUM(Dataset_AFinal[[#This Row],[Casual_user]:[Registered_user]])</f>
        <v>22</v>
      </c>
    </row>
    <row r="400" spans="1:19" x14ac:dyDescent="0.3">
      <c r="A400" s="4">
        <v>399</v>
      </c>
      <c r="B400" s="7" t="s">
        <v>96</v>
      </c>
      <c r="C400" s="6" t="s">
        <v>78</v>
      </c>
      <c r="D400" s="6" t="s">
        <v>79</v>
      </c>
      <c r="E400" s="6" t="s">
        <v>31</v>
      </c>
      <c r="F400" s="35">
        <v>14</v>
      </c>
      <c r="G400" s="15" t="str">
        <f t="shared" si="6"/>
        <v>Afternoon</v>
      </c>
      <c r="H400" s="6" t="b">
        <v>0</v>
      </c>
      <c r="I400" s="6" t="s">
        <v>55</v>
      </c>
      <c r="J400" s="6" t="str">
        <f>IF(OR(Dataset_AFinal[[#This Row],[Weekday]]="Sat",Dataset_AFinal[[#This Row],[Weekday]]="Sun"),"Weekend", "Weekday")</f>
        <v>Weekday</v>
      </c>
      <c r="K400" s="6" t="s">
        <v>33</v>
      </c>
      <c r="L400" s="6">
        <v>0.22</v>
      </c>
      <c r="M400" s="35" t="s">
        <v>40</v>
      </c>
      <c r="N400" s="7">
        <v>0.2273</v>
      </c>
      <c r="O400" s="32">
        <v>0.8</v>
      </c>
      <c r="P400" s="7">
        <v>0.16420000000000001</v>
      </c>
      <c r="Q400" s="8">
        <v>2</v>
      </c>
      <c r="R400" s="8">
        <v>26</v>
      </c>
      <c r="S400" s="8">
        <f>SUM(Dataset_AFinal[[#This Row],[Casual_user]:[Registered_user]])</f>
        <v>28</v>
      </c>
    </row>
    <row r="401" spans="1:19" x14ac:dyDescent="0.3">
      <c r="A401" s="4">
        <v>400</v>
      </c>
      <c r="B401" s="7" t="s">
        <v>96</v>
      </c>
      <c r="C401" s="6" t="s">
        <v>78</v>
      </c>
      <c r="D401" s="6" t="s">
        <v>79</v>
      </c>
      <c r="E401" s="6" t="s">
        <v>31</v>
      </c>
      <c r="F401" s="35">
        <v>15</v>
      </c>
      <c r="G401" s="15" t="str">
        <f t="shared" si="6"/>
        <v>Afternoon</v>
      </c>
      <c r="H401" s="6" t="b">
        <v>0</v>
      </c>
      <c r="I401" s="6" t="s">
        <v>55</v>
      </c>
      <c r="J401" s="6" t="str">
        <f>IF(OR(Dataset_AFinal[[#This Row],[Weekday]]="Sat",Dataset_AFinal[[#This Row],[Weekday]]="Sun"),"Weekend", "Weekday")</f>
        <v>Weekday</v>
      </c>
      <c r="K401" s="6" t="s">
        <v>33</v>
      </c>
      <c r="L401" s="6">
        <v>0.22</v>
      </c>
      <c r="M401" s="35" t="s">
        <v>40</v>
      </c>
      <c r="N401" s="7">
        <v>0.2273</v>
      </c>
      <c r="O401" s="32">
        <v>0.87</v>
      </c>
      <c r="P401" s="7">
        <v>0.16420000000000001</v>
      </c>
      <c r="Q401" s="8">
        <v>3</v>
      </c>
      <c r="R401" s="8">
        <v>32</v>
      </c>
      <c r="S401" s="8">
        <f>SUM(Dataset_AFinal[[#This Row],[Casual_user]:[Registered_user]])</f>
        <v>35</v>
      </c>
    </row>
    <row r="402" spans="1:19" x14ac:dyDescent="0.3">
      <c r="A402" s="4">
        <v>401</v>
      </c>
      <c r="B402" s="7" t="s">
        <v>96</v>
      </c>
      <c r="C402" s="6" t="s">
        <v>78</v>
      </c>
      <c r="D402" s="6" t="s">
        <v>79</v>
      </c>
      <c r="E402" s="6" t="s">
        <v>31</v>
      </c>
      <c r="F402" s="35">
        <v>16</v>
      </c>
      <c r="G402" s="15" t="str">
        <f t="shared" si="6"/>
        <v>Afternoon</v>
      </c>
      <c r="H402" s="6" t="b">
        <v>0</v>
      </c>
      <c r="I402" s="6" t="s">
        <v>55</v>
      </c>
      <c r="J402" s="6" t="str">
        <f>IF(OR(Dataset_AFinal[[#This Row],[Weekday]]="Sat",Dataset_AFinal[[#This Row],[Weekday]]="Sun"),"Weekend", "Weekday")</f>
        <v>Weekday</v>
      </c>
      <c r="K402" s="6" t="s">
        <v>33</v>
      </c>
      <c r="L402" s="6">
        <v>0.22</v>
      </c>
      <c r="M402" s="35" t="s">
        <v>40</v>
      </c>
      <c r="N402" s="7">
        <v>0.2273</v>
      </c>
      <c r="O402" s="32">
        <v>0.87</v>
      </c>
      <c r="P402" s="7">
        <v>0.19400000000000001</v>
      </c>
      <c r="Q402" s="8">
        <v>0</v>
      </c>
      <c r="R402" s="8">
        <v>61</v>
      </c>
      <c r="S402" s="8">
        <f>SUM(Dataset_AFinal[[#This Row],[Casual_user]:[Registered_user]])</f>
        <v>61</v>
      </c>
    </row>
    <row r="403" spans="1:19" x14ac:dyDescent="0.3">
      <c r="A403" s="4">
        <v>402</v>
      </c>
      <c r="B403" s="7" t="s">
        <v>96</v>
      </c>
      <c r="C403" s="6" t="s">
        <v>78</v>
      </c>
      <c r="D403" s="6" t="s">
        <v>79</v>
      </c>
      <c r="E403" s="6" t="s">
        <v>31</v>
      </c>
      <c r="F403" s="35">
        <v>17</v>
      </c>
      <c r="G403" s="15" t="str">
        <f t="shared" si="6"/>
        <v>Afternoon</v>
      </c>
      <c r="H403" s="6" t="b">
        <v>0</v>
      </c>
      <c r="I403" s="6" t="s">
        <v>55</v>
      </c>
      <c r="J403" s="6" t="str">
        <f>IF(OR(Dataset_AFinal[[#This Row],[Weekday]]="Sat",Dataset_AFinal[[#This Row],[Weekday]]="Sun"),"Weekend", "Weekday")</f>
        <v>Weekday</v>
      </c>
      <c r="K403" s="6" t="s">
        <v>33</v>
      </c>
      <c r="L403" s="6">
        <v>0.22</v>
      </c>
      <c r="M403" s="35" t="s">
        <v>40</v>
      </c>
      <c r="N403" s="7">
        <v>0.2273</v>
      </c>
      <c r="O403" s="32">
        <v>0.82</v>
      </c>
      <c r="P403" s="7">
        <v>0.19400000000000001</v>
      </c>
      <c r="Q403" s="8">
        <v>1</v>
      </c>
      <c r="R403" s="8">
        <v>124</v>
      </c>
      <c r="S403" s="8">
        <f>SUM(Dataset_AFinal[[#This Row],[Casual_user]:[Registered_user]])</f>
        <v>125</v>
      </c>
    </row>
    <row r="404" spans="1:19" x14ac:dyDescent="0.3">
      <c r="A404" s="4">
        <v>403</v>
      </c>
      <c r="B404" s="7" t="s">
        <v>96</v>
      </c>
      <c r="C404" s="6" t="s">
        <v>78</v>
      </c>
      <c r="D404" s="6" t="s">
        <v>79</v>
      </c>
      <c r="E404" s="6" t="s">
        <v>31</v>
      </c>
      <c r="F404" s="35">
        <v>18</v>
      </c>
      <c r="G404" s="15" t="str">
        <f t="shared" si="6"/>
        <v>Evening</v>
      </c>
      <c r="H404" s="6" t="b">
        <v>0</v>
      </c>
      <c r="I404" s="6" t="s">
        <v>55</v>
      </c>
      <c r="J404" s="6" t="str">
        <f>IF(OR(Dataset_AFinal[[#This Row],[Weekday]]="Sat",Dataset_AFinal[[#This Row],[Weekday]]="Sun"),"Weekend", "Weekday")</f>
        <v>Weekday</v>
      </c>
      <c r="K404" s="6" t="s">
        <v>33</v>
      </c>
      <c r="L404" s="6">
        <v>0.22</v>
      </c>
      <c r="M404" s="35" t="s">
        <v>40</v>
      </c>
      <c r="N404" s="7">
        <v>0.2273</v>
      </c>
      <c r="O404" s="32">
        <v>0.8</v>
      </c>
      <c r="P404" s="7">
        <v>0.16420000000000001</v>
      </c>
      <c r="Q404" s="8">
        <v>1</v>
      </c>
      <c r="R404" s="8">
        <v>132</v>
      </c>
      <c r="S404" s="8">
        <f>SUM(Dataset_AFinal[[#This Row],[Casual_user]:[Registered_user]])</f>
        <v>133</v>
      </c>
    </row>
    <row r="405" spans="1:19" x14ac:dyDescent="0.3">
      <c r="A405" s="4">
        <v>404</v>
      </c>
      <c r="B405" s="7" t="s">
        <v>96</v>
      </c>
      <c r="C405" s="6" t="s">
        <v>78</v>
      </c>
      <c r="D405" s="6" t="s">
        <v>79</v>
      </c>
      <c r="E405" s="6" t="s">
        <v>31</v>
      </c>
      <c r="F405" s="35">
        <v>19</v>
      </c>
      <c r="G405" s="15" t="str">
        <f t="shared" si="6"/>
        <v>Evening</v>
      </c>
      <c r="H405" s="6" t="b">
        <v>0</v>
      </c>
      <c r="I405" s="6" t="s">
        <v>55</v>
      </c>
      <c r="J405" s="6" t="str">
        <f>IF(OR(Dataset_AFinal[[#This Row],[Weekday]]="Sat",Dataset_AFinal[[#This Row],[Weekday]]="Sun"),"Weekend", "Weekday")</f>
        <v>Weekday</v>
      </c>
      <c r="K405" s="6" t="s">
        <v>33</v>
      </c>
      <c r="L405" s="6">
        <v>0.22</v>
      </c>
      <c r="M405" s="35" t="s">
        <v>40</v>
      </c>
      <c r="N405" s="7">
        <v>0.2273</v>
      </c>
      <c r="O405" s="32">
        <v>0.8</v>
      </c>
      <c r="P405" s="7">
        <v>0.1343</v>
      </c>
      <c r="Q405" s="8">
        <v>1</v>
      </c>
      <c r="R405" s="8">
        <v>98</v>
      </c>
      <c r="S405" s="8">
        <f>SUM(Dataset_AFinal[[#This Row],[Casual_user]:[Registered_user]])</f>
        <v>99</v>
      </c>
    </row>
    <row r="406" spans="1:19" x14ac:dyDescent="0.3">
      <c r="A406" s="4">
        <v>405</v>
      </c>
      <c r="B406" s="7" t="s">
        <v>96</v>
      </c>
      <c r="C406" s="6" t="s">
        <v>78</v>
      </c>
      <c r="D406" s="6" t="s">
        <v>79</v>
      </c>
      <c r="E406" s="6" t="s">
        <v>31</v>
      </c>
      <c r="F406" s="35">
        <v>20</v>
      </c>
      <c r="G406" s="15" t="str">
        <f t="shared" si="6"/>
        <v>Evening</v>
      </c>
      <c r="H406" s="6" t="b">
        <v>0</v>
      </c>
      <c r="I406" s="6" t="s">
        <v>55</v>
      </c>
      <c r="J406" s="6" t="str">
        <f>IF(OR(Dataset_AFinal[[#This Row],[Weekday]]="Sat",Dataset_AFinal[[#This Row],[Weekday]]="Sun"),"Weekend", "Weekday")</f>
        <v>Weekday</v>
      </c>
      <c r="K406" s="6" t="s">
        <v>33</v>
      </c>
      <c r="L406" s="6">
        <v>0.22</v>
      </c>
      <c r="M406" s="35" t="s">
        <v>40</v>
      </c>
      <c r="N406" s="7">
        <v>0.2727</v>
      </c>
      <c r="O406" s="32">
        <v>0.87</v>
      </c>
      <c r="P406" s="7">
        <v>0</v>
      </c>
      <c r="Q406" s="8">
        <v>0</v>
      </c>
      <c r="R406" s="8">
        <v>83</v>
      </c>
      <c r="S406" s="8">
        <f>SUM(Dataset_AFinal[[#This Row],[Casual_user]:[Registered_user]])</f>
        <v>83</v>
      </c>
    </row>
    <row r="407" spans="1:19" x14ac:dyDescent="0.3">
      <c r="A407" s="4">
        <v>406</v>
      </c>
      <c r="B407" s="7" t="s">
        <v>96</v>
      </c>
      <c r="C407" s="6" t="s">
        <v>78</v>
      </c>
      <c r="D407" s="6" t="s">
        <v>79</v>
      </c>
      <c r="E407" s="6" t="s">
        <v>31</v>
      </c>
      <c r="F407" s="35">
        <v>21</v>
      </c>
      <c r="G407" s="15" t="str">
        <f t="shared" si="6"/>
        <v>Evening</v>
      </c>
      <c r="H407" s="6" t="b">
        <v>0</v>
      </c>
      <c r="I407" s="6" t="s">
        <v>55</v>
      </c>
      <c r="J407" s="6" t="str">
        <f>IF(OR(Dataset_AFinal[[#This Row],[Weekday]]="Sat",Dataset_AFinal[[#This Row],[Weekday]]="Sun"),"Weekend", "Weekday")</f>
        <v>Weekday</v>
      </c>
      <c r="K407" s="6" t="s">
        <v>33</v>
      </c>
      <c r="L407" s="6">
        <v>0.22</v>
      </c>
      <c r="M407" s="35" t="s">
        <v>40</v>
      </c>
      <c r="N407" s="7">
        <v>0.2424</v>
      </c>
      <c r="O407" s="32">
        <v>0.93</v>
      </c>
      <c r="P407" s="7">
        <v>0.1045</v>
      </c>
      <c r="Q407" s="8">
        <v>0</v>
      </c>
      <c r="R407" s="8">
        <v>41</v>
      </c>
      <c r="S407" s="8">
        <f>SUM(Dataset_AFinal[[#This Row],[Casual_user]:[Registered_user]])</f>
        <v>41</v>
      </c>
    </row>
    <row r="408" spans="1:19" x14ac:dyDescent="0.3">
      <c r="A408" s="4">
        <v>407</v>
      </c>
      <c r="B408" s="7" t="s">
        <v>96</v>
      </c>
      <c r="C408" s="6" t="s">
        <v>78</v>
      </c>
      <c r="D408" s="6" t="s">
        <v>79</v>
      </c>
      <c r="E408" s="6" t="s">
        <v>31</v>
      </c>
      <c r="F408" s="35">
        <v>22</v>
      </c>
      <c r="G408" s="15" t="str">
        <f t="shared" si="6"/>
        <v>Evening</v>
      </c>
      <c r="H408" s="6" t="b">
        <v>0</v>
      </c>
      <c r="I408" s="6" t="s">
        <v>55</v>
      </c>
      <c r="J408" s="6" t="str">
        <f>IF(OR(Dataset_AFinal[[#This Row],[Weekday]]="Sat",Dataset_AFinal[[#This Row],[Weekday]]="Sun"),"Weekend", "Weekday")</f>
        <v>Weekday</v>
      </c>
      <c r="K408" s="6" t="s">
        <v>33</v>
      </c>
      <c r="L408" s="6">
        <v>0.22</v>
      </c>
      <c r="M408" s="35" t="s">
        <v>40</v>
      </c>
      <c r="N408" s="7">
        <v>0.2576</v>
      </c>
      <c r="O408" s="32">
        <v>0.93</v>
      </c>
      <c r="P408" s="7">
        <v>8.9599999999999999E-2</v>
      </c>
      <c r="Q408" s="8">
        <v>0</v>
      </c>
      <c r="R408" s="8">
        <v>33</v>
      </c>
      <c r="S408" s="8">
        <f>SUM(Dataset_AFinal[[#This Row],[Casual_user]:[Registered_user]])</f>
        <v>33</v>
      </c>
    </row>
    <row r="409" spans="1:19" x14ac:dyDescent="0.3">
      <c r="A409" s="4">
        <v>408</v>
      </c>
      <c r="B409" s="7" t="s">
        <v>96</v>
      </c>
      <c r="C409" s="6" t="s">
        <v>78</v>
      </c>
      <c r="D409" s="6" t="s">
        <v>79</v>
      </c>
      <c r="E409" s="6" t="s">
        <v>31</v>
      </c>
      <c r="F409" s="35">
        <v>23</v>
      </c>
      <c r="G409" s="15" t="str">
        <f t="shared" si="6"/>
        <v>Evening</v>
      </c>
      <c r="H409" s="6" t="b">
        <v>0</v>
      </c>
      <c r="I409" s="6" t="s">
        <v>55</v>
      </c>
      <c r="J409" s="6" t="str">
        <f>IF(OR(Dataset_AFinal[[#This Row],[Weekday]]="Sat",Dataset_AFinal[[#This Row],[Weekday]]="Sun"),"Weekend", "Weekday")</f>
        <v>Weekday</v>
      </c>
      <c r="K409" s="6" t="s">
        <v>33</v>
      </c>
      <c r="L409" s="6">
        <v>0.22</v>
      </c>
      <c r="M409" s="35" t="s">
        <v>40</v>
      </c>
      <c r="N409" s="7">
        <v>0.2727</v>
      </c>
      <c r="O409" s="32">
        <v>0.93</v>
      </c>
      <c r="P409" s="7">
        <v>0</v>
      </c>
      <c r="Q409" s="8">
        <v>1</v>
      </c>
      <c r="R409" s="8">
        <v>19</v>
      </c>
      <c r="S409" s="8">
        <f>SUM(Dataset_AFinal[[#This Row],[Casual_user]:[Registered_user]])</f>
        <v>20</v>
      </c>
    </row>
    <row r="410" spans="1:19" x14ac:dyDescent="0.3">
      <c r="A410" s="4">
        <v>409</v>
      </c>
      <c r="B410" s="7" t="s">
        <v>97</v>
      </c>
      <c r="C410" s="6" t="s">
        <v>78</v>
      </c>
      <c r="D410" s="6" t="s">
        <v>79</v>
      </c>
      <c r="E410" s="6" t="s">
        <v>31</v>
      </c>
      <c r="F410" s="35">
        <v>0</v>
      </c>
      <c r="G410" s="15" t="str">
        <f t="shared" si="6"/>
        <v>Night</v>
      </c>
      <c r="H410" s="6" t="b">
        <v>0</v>
      </c>
      <c r="I410" s="6" t="s">
        <v>56</v>
      </c>
      <c r="J410" s="6" t="str">
        <f>IF(OR(Dataset_AFinal[[#This Row],[Weekday]]="Sat",Dataset_AFinal[[#This Row],[Weekday]]="Sun"),"Weekend", "Weekday")</f>
        <v>Weekday</v>
      </c>
      <c r="K410" s="6" t="s">
        <v>33</v>
      </c>
      <c r="L410" s="6">
        <v>0.22</v>
      </c>
      <c r="M410" s="35" t="s">
        <v>40</v>
      </c>
      <c r="N410" s="7">
        <v>0.2727</v>
      </c>
      <c r="O410" s="32">
        <v>0.93</v>
      </c>
      <c r="P410" s="7">
        <v>0</v>
      </c>
      <c r="Q410" s="8">
        <v>0</v>
      </c>
      <c r="R410" s="8">
        <v>3</v>
      </c>
      <c r="S410" s="8">
        <f>SUM(Dataset_AFinal[[#This Row],[Casual_user]:[Registered_user]])</f>
        <v>3</v>
      </c>
    </row>
    <row r="411" spans="1:19" x14ac:dyDescent="0.3">
      <c r="A411" s="4">
        <v>410</v>
      </c>
      <c r="B411" s="7" t="s">
        <v>97</v>
      </c>
      <c r="C411" s="6" t="s">
        <v>78</v>
      </c>
      <c r="D411" s="6" t="s">
        <v>79</v>
      </c>
      <c r="E411" s="6" t="s">
        <v>31</v>
      </c>
      <c r="F411" s="35">
        <v>1</v>
      </c>
      <c r="G411" s="15" t="str">
        <f t="shared" si="6"/>
        <v>Night</v>
      </c>
      <c r="H411" s="6" t="b">
        <v>0</v>
      </c>
      <c r="I411" s="6" t="s">
        <v>56</v>
      </c>
      <c r="J411" s="6" t="str">
        <f>IF(OR(Dataset_AFinal[[#This Row],[Weekday]]="Sat",Dataset_AFinal[[#This Row],[Weekday]]="Sun"),"Weekend", "Weekday")</f>
        <v>Weekday</v>
      </c>
      <c r="K411" s="6" t="s">
        <v>34</v>
      </c>
      <c r="L411" s="6">
        <v>0.22</v>
      </c>
      <c r="M411" s="35" t="s">
        <v>40</v>
      </c>
      <c r="N411" s="7">
        <v>0.2273</v>
      </c>
      <c r="O411" s="32">
        <v>0.93</v>
      </c>
      <c r="P411" s="7">
        <v>0.1343</v>
      </c>
      <c r="Q411" s="8">
        <v>1</v>
      </c>
      <c r="R411" s="8">
        <v>6</v>
      </c>
      <c r="S411" s="8">
        <f>SUM(Dataset_AFinal[[#This Row],[Casual_user]:[Registered_user]])</f>
        <v>7</v>
      </c>
    </row>
    <row r="412" spans="1:19" x14ac:dyDescent="0.3">
      <c r="A412" s="4">
        <v>411</v>
      </c>
      <c r="B412" s="7" t="s">
        <v>97</v>
      </c>
      <c r="C412" s="6" t="s">
        <v>78</v>
      </c>
      <c r="D412" s="6" t="s">
        <v>79</v>
      </c>
      <c r="E412" s="6" t="s">
        <v>31</v>
      </c>
      <c r="F412" s="35">
        <v>2</v>
      </c>
      <c r="G412" s="15" t="str">
        <f t="shared" si="6"/>
        <v>Night</v>
      </c>
      <c r="H412" s="6" t="b">
        <v>0</v>
      </c>
      <c r="I412" s="6" t="s">
        <v>56</v>
      </c>
      <c r="J412" s="6" t="str">
        <f>IF(OR(Dataset_AFinal[[#This Row],[Weekday]]="Sat",Dataset_AFinal[[#This Row],[Weekday]]="Sun"),"Weekend", "Weekday")</f>
        <v>Weekday</v>
      </c>
      <c r="K412" s="6" t="s">
        <v>34</v>
      </c>
      <c r="L412" s="6">
        <v>0.22</v>
      </c>
      <c r="M412" s="35" t="s">
        <v>40</v>
      </c>
      <c r="N412" s="7">
        <v>0.2273</v>
      </c>
      <c r="O412" s="32">
        <v>0.93</v>
      </c>
      <c r="P412" s="7">
        <v>0.1343</v>
      </c>
      <c r="Q412" s="8">
        <v>0</v>
      </c>
      <c r="R412" s="8">
        <v>3</v>
      </c>
      <c r="S412" s="8">
        <f>SUM(Dataset_AFinal[[#This Row],[Casual_user]:[Registered_user]])</f>
        <v>3</v>
      </c>
    </row>
    <row r="413" spans="1:19" x14ac:dyDescent="0.3">
      <c r="A413" s="4">
        <v>412</v>
      </c>
      <c r="B413" s="7" t="s">
        <v>97</v>
      </c>
      <c r="C413" s="6" t="s">
        <v>78</v>
      </c>
      <c r="D413" s="6" t="s">
        <v>79</v>
      </c>
      <c r="E413" s="6" t="s">
        <v>31</v>
      </c>
      <c r="F413" s="35">
        <v>4</v>
      </c>
      <c r="G413" s="15" t="str">
        <f t="shared" si="6"/>
        <v>Night</v>
      </c>
      <c r="H413" s="6" t="b">
        <v>0</v>
      </c>
      <c r="I413" s="6" t="s">
        <v>56</v>
      </c>
      <c r="J413" s="6" t="str">
        <f>IF(OR(Dataset_AFinal[[#This Row],[Weekday]]="Sat",Dataset_AFinal[[#This Row],[Weekday]]="Sun"),"Weekend", "Weekday")</f>
        <v>Weekday</v>
      </c>
      <c r="K413" s="6" t="s">
        <v>34</v>
      </c>
      <c r="L413" s="6">
        <v>0.22</v>
      </c>
      <c r="M413" s="35" t="s">
        <v>40</v>
      </c>
      <c r="N413" s="7">
        <v>0.2273</v>
      </c>
      <c r="O413" s="32">
        <v>0.93</v>
      </c>
      <c r="P413" s="7">
        <v>0.1343</v>
      </c>
      <c r="Q413" s="8">
        <v>1</v>
      </c>
      <c r="R413" s="8">
        <v>1</v>
      </c>
      <c r="S413" s="8">
        <f>SUM(Dataset_AFinal[[#This Row],[Casual_user]:[Registered_user]])</f>
        <v>2</v>
      </c>
    </row>
    <row r="414" spans="1:19" x14ac:dyDescent="0.3">
      <c r="A414" s="4">
        <v>413</v>
      </c>
      <c r="B414" s="7" t="s">
        <v>97</v>
      </c>
      <c r="C414" s="6" t="s">
        <v>78</v>
      </c>
      <c r="D414" s="6" t="s">
        <v>79</v>
      </c>
      <c r="E414" s="6" t="s">
        <v>31</v>
      </c>
      <c r="F414" s="35">
        <v>5</v>
      </c>
      <c r="G414" s="15" t="str">
        <f t="shared" si="6"/>
        <v>Night</v>
      </c>
      <c r="H414" s="6" t="b">
        <v>0</v>
      </c>
      <c r="I414" s="6" t="s">
        <v>56</v>
      </c>
      <c r="J414" s="6" t="str">
        <f>IF(OR(Dataset_AFinal[[#This Row],[Weekday]]="Sat",Dataset_AFinal[[#This Row],[Weekday]]="Sun"),"Weekend", "Weekday")</f>
        <v>Weekday</v>
      </c>
      <c r="K414" s="6" t="s">
        <v>33</v>
      </c>
      <c r="L414" s="6">
        <v>0.22</v>
      </c>
      <c r="M414" s="35" t="s">
        <v>40</v>
      </c>
      <c r="N414" s="7">
        <v>0.2576</v>
      </c>
      <c r="O414" s="32">
        <v>0.93</v>
      </c>
      <c r="P414" s="7">
        <v>8.9599999999999999E-2</v>
      </c>
      <c r="Q414" s="8">
        <v>0</v>
      </c>
      <c r="R414" s="8">
        <v>7</v>
      </c>
      <c r="S414" s="8">
        <f>SUM(Dataset_AFinal[[#This Row],[Casual_user]:[Registered_user]])</f>
        <v>7</v>
      </c>
    </row>
    <row r="415" spans="1:19" x14ac:dyDescent="0.3">
      <c r="A415" s="4">
        <v>414</v>
      </c>
      <c r="B415" s="7" t="s">
        <v>97</v>
      </c>
      <c r="C415" s="6" t="s">
        <v>78</v>
      </c>
      <c r="D415" s="6" t="s">
        <v>79</v>
      </c>
      <c r="E415" s="6" t="s">
        <v>31</v>
      </c>
      <c r="F415" s="35">
        <v>6</v>
      </c>
      <c r="G415" s="15" t="str">
        <f t="shared" si="6"/>
        <v>Morning</v>
      </c>
      <c r="H415" s="6" t="b">
        <v>0</v>
      </c>
      <c r="I415" s="6" t="s">
        <v>56</v>
      </c>
      <c r="J415" s="6" t="str">
        <f>IF(OR(Dataset_AFinal[[#This Row],[Weekday]]="Sat",Dataset_AFinal[[#This Row],[Weekday]]="Sun"),"Weekend", "Weekday")</f>
        <v>Weekday</v>
      </c>
      <c r="K415" s="6" t="s">
        <v>33</v>
      </c>
      <c r="L415" s="6">
        <v>0.22</v>
      </c>
      <c r="M415" s="35" t="s">
        <v>40</v>
      </c>
      <c r="N415" s="7">
        <v>0.2576</v>
      </c>
      <c r="O415" s="32">
        <v>0.93</v>
      </c>
      <c r="P415" s="7">
        <v>8.9599999999999999E-2</v>
      </c>
      <c r="Q415" s="8">
        <v>0</v>
      </c>
      <c r="R415" s="8">
        <v>32</v>
      </c>
      <c r="S415" s="8">
        <f>SUM(Dataset_AFinal[[#This Row],[Casual_user]:[Registered_user]])</f>
        <v>32</v>
      </c>
    </row>
    <row r="416" spans="1:19" x14ac:dyDescent="0.3">
      <c r="A416" s="4">
        <v>415</v>
      </c>
      <c r="B416" s="7" t="s">
        <v>97</v>
      </c>
      <c r="C416" s="6" t="s">
        <v>78</v>
      </c>
      <c r="D416" s="6" t="s">
        <v>79</v>
      </c>
      <c r="E416" s="6" t="s">
        <v>31</v>
      </c>
      <c r="F416" s="35">
        <v>7</v>
      </c>
      <c r="G416" s="15" t="str">
        <f t="shared" si="6"/>
        <v>Morning</v>
      </c>
      <c r="H416" s="6" t="b">
        <v>0</v>
      </c>
      <c r="I416" s="6" t="s">
        <v>56</v>
      </c>
      <c r="J416" s="6" t="str">
        <f>IF(OR(Dataset_AFinal[[#This Row],[Weekday]]="Sat",Dataset_AFinal[[#This Row],[Weekday]]="Sun"),"Weekend", "Weekday")</f>
        <v>Weekday</v>
      </c>
      <c r="K416" s="6" t="s">
        <v>33</v>
      </c>
      <c r="L416" s="6">
        <v>0.24</v>
      </c>
      <c r="M416" s="35" t="s">
        <v>40</v>
      </c>
      <c r="N416" s="7">
        <v>0.2576</v>
      </c>
      <c r="O416" s="32">
        <v>0.92</v>
      </c>
      <c r="P416" s="7">
        <v>0.1045</v>
      </c>
      <c r="Q416" s="8">
        <v>1</v>
      </c>
      <c r="R416" s="8">
        <v>89</v>
      </c>
      <c r="S416" s="8">
        <f>SUM(Dataset_AFinal[[#This Row],[Casual_user]:[Registered_user]])</f>
        <v>90</v>
      </c>
    </row>
    <row r="417" spans="1:19" x14ac:dyDescent="0.3">
      <c r="A417" s="4">
        <v>416</v>
      </c>
      <c r="B417" s="7" t="s">
        <v>97</v>
      </c>
      <c r="C417" s="6" t="s">
        <v>78</v>
      </c>
      <c r="D417" s="6" t="s">
        <v>79</v>
      </c>
      <c r="E417" s="6" t="s">
        <v>31</v>
      </c>
      <c r="F417" s="35">
        <v>8</v>
      </c>
      <c r="G417" s="15" t="str">
        <f t="shared" si="6"/>
        <v>Morning</v>
      </c>
      <c r="H417" s="6" t="b">
        <v>0</v>
      </c>
      <c r="I417" s="6" t="s">
        <v>56</v>
      </c>
      <c r="J417" s="6" t="str">
        <f>IF(OR(Dataset_AFinal[[#This Row],[Weekday]]="Sat",Dataset_AFinal[[#This Row],[Weekday]]="Sun"),"Weekend", "Weekday")</f>
        <v>Weekday</v>
      </c>
      <c r="K417" s="6" t="s">
        <v>33</v>
      </c>
      <c r="L417" s="6">
        <v>0.24</v>
      </c>
      <c r="M417" s="35" t="s">
        <v>40</v>
      </c>
      <c r="N417" s="7">
        <v>0.2576</v>
      </c>
      <c r="O417" s="32">
        <v>0.93</v>
      </c>
      <c r="P417" s="7">
        <v>0.1045</v>
      </c>
      <c r="Q417" s="8">
        <v>1</v>
      </c>
      <c r="R417" s="8">
        <v>196</v>
      </c>
      <c r="S417" s="8">
        <f>SUM(Dataset_AFinal[[#This Row],[Casual_user]:[Registered_user]])</f>
        <v>197</v>
      </c>
    </row>
    <row r="418" spans="1:19" x14ac:dyDescent="0.3">
      <c r="A418" s="4">
        <v>417</v>
      </c>
      <c r="B418" s="7" t="s">
        <v>97</v>
      </c>
      <c r="C418" s="6" t="s">
        <v>78</v>
      </c>
      <c r="D418" s="6" t="s">
        <v>79</v>
      </c>
      <c r="E418" s="6" t="s">
        <v>31</v>
      </c>
      <c r="F418" s="35">
        <v>9</v>
      </c>
      <c r="G418" s="15" t="str">
        <f t="shared" si="6"/>
        <v>Morning</v>
      </c>
      <c r="H418" s="6" t="b">
        <v>0</v>
      </c>
      <c r="I418" s="6" t="s">
        <v>56</v>
      </c>
      <c r="J418" s="6" t="str">
        <f>IF(OR(Dataset_AFinal[[#This Row],[Weekday]]="Sat",Dataset_AFinal[[#This Row],[Weekday]]="Sun"),"Weekend", "Weekday")</f>
        <v>Weekday</v>
      </c>
      <c r="K418" s="6" t="s">
        <v>33</v>
      </c>
      <c r="L418" s="6">
        <v>0.24</v>
      </c>
      <c r="M418" s="35" t="s">
        <v>40</v>
      </c>
      <c r="N418" s="7">
        <v>0.2576</v>
      </c>
      <c r="O418" s="32">
        <v>0.93</v>
      </c>
      <c r="P418" s="7">
        <v>0.1045</v>
      </c>
      <c r="Q418" s="8">
        <v>2</v>
      </c>
      <c r="R418" s="8">
        <v>107</v>
      </c>
      <c r="S418" s="8">
        <f>SUM(Dataset_AFinal[[#This Row],[Casual_user]:[Registered_user]])</f>
        <v>109</v>
      </c>
    </row>
    <row r="419" spans="1:19" x14ac:dyDescent="0.3">
      <c r="A419" s="4">
        <v>418</v>
      </c>
      <c r="B419" s="7" t="s">
        <v>97</v>
      </c>
      <c r="C419" s="6" t="s">
        <v>78</v>
      </c>
      <c r="D419" s="6" t="s">
        <v>79</v>
      </c>
      <c r="E419" s="6" t="s">
        <v>31</v>
      </c>
      <c r="F419" s="35">
        <v>10</v>
      </c>
      <c r="G419" s="15" t="str">
        <f t="shared" si="6"/>
        <v>Morning</v>
      </c>
      <c r="H419" s="6" t="b">
        <v>0</v>
      </c>
      <c r="I419" s="6" t="s">
        <v>56</v>
      </c>
      <c r="J419" s="6" t="str">
        <f>IF(OR(Dataset_AFinal[[#This Row],[Weekday]]="Sat",Dataset_AFinal[[#This Row],[Weekday]]="Sun"),"Weekend", "Weekday")</f>
        <v>Weekday</v>
      </c>
      <c r="K419" s="6" t="s">
        <v>33</v>
      </c>
      <c r="L419" s="6">
        <v>0.26</v>
      </c>
      <c r="M419" s="35" t="s">
        <v>41</v>
      </c>
      <c r="N419" s="7">
        <v>0.2727</v>
      </c>
      <c r="O419" s="32">
        <v>0.93</v>
      </c>
      <c r="P419" s="7">
        <v>0.1343</v>
      </c>
      <c r="Q419" s="8">
        <v>1</v>
      </c>
      <c r="R419" s="8">
        <v>46</v>
      </c>
      <c r="S419" s="8">
        <f>SUM(Dataset_AFinal[[#This Row],[Casual_user]:[Registered_user]])</f>
        <v>47</v>
      </c>
    </row>
    <row r="420" spans="1:19" x14ac:dyDescent="0.3">
      <c r="A420" s="4">
        <v>419</v>
      </c>
      <c r="B420" s="7" t="s">
        <v>97</v>
      </c>
      <c r="C420" s="6" t="s">
        <v>78</v>
      </c>
      <c r="D420" s="6" t="s">
        <v>79</v>
      </c>
      <c r="E420" s="6" t="s">
        <v>31</v>
      </c>
      <c r="F420" s="35">
        <v>11</v>
      </c>
      <c r="G420" s="15" t="str">
        <f t="shared" si="6"/>
        <v>Morning</v>
      </c>
      <c r="H420" s="6" t="b">
        <v>0</v>
      </c>
      <c r="I420" s="6" t="s">
        <v>56</v>
      </c>
      <c r="J420" s="6" t="str">
        <f>IF(OR(Dataset_AFinal[[#This Row],[Weekday]]="Sat",Dataset_AFinal[[#This Row],[Weekday]]="Sun"),"Weekend", "Weekday")</f>
        <v>Weekday</v>
      </c>
      <c r="K420" s="6" t="s">
        <v>33</v>
      </c>
      <c r="L420" s="6">
        <v>0.28000000000000003</v>
      </c>
      <c r="M420" s="35" t="s">
        <v>41</v>
      </c>
      <c r="N420" s="7">
        <v>0.30299999999999999</v>
      </c>
      <c r="O420" s="32">
        <v>0.87</v>
      </c>
      <c r="P420" s="7">
        <v>8.9599999999999999E-2</v>
      </c>
      <c r="Q420" s="8">
        <v>5</v>
      </c>
      <c r="R420" s="8">
        <v>47</v>
      </c>
      <c r="S420" s="8">
        <f>SUM(Dataset_AFinal[[#This Row],[Casual_user]:[Registered_user]])</f>
        <v>52</v>
      </c>
    </row>
    <row r="421" spans="1:19" x14ac:dyDescent="0.3">
      <c r="A421" s="4">
        <v>420</v>
      </c>
      <c r="B421" s="7" t="s">
        <v>97</v>
      </c>
      <c r="C421" s="6" t="s">
        <v>78</v>
      </c>
      <c r="D421" s="6" t="s">
        <v>79</v>
      </c>
      <c r="E421" s="6" t="s">
        <v>31</v>
      </c>
      <c r="F421" s="35">
        <v>12</v>
      </c>
      <c r="G421" s="15" t="str">
        <f t="shared" si="6"/>
        <v>Afternoon</v>
      </c>
      <c r="H421" s="6" t="b">
        <v>0</v>
      </c>
      <c r="I421" s="6" t="s">
        <v>56</v>
      </c>
      <c r="J421" s="6" t="str">
        <f>IF(OR(Dataset_AFinal[[#This Row],[Weekday]]="Sat",Dataset_AFinal[[#This Row],[Weekday]]="Sun"),"Weekend", "Weekday")</f>
        <v>Weekday</v>
      </c>
      <c r="K421" s="6" t="s">
        <v>33</v>
      </c>
      <c r="L421" s="6">
        <v>0.3</v>
      </c>
      <c r="M421" s="35" t="s">
        <v>41</v>
      </c>
      <c r="N421" s="7">
        <v>0.31819999999999998</v>
      </c>
      <c r="O421" s="32">
        <v>0.81</v>
      </c>
      <c r="P421" s="7">
        <v>8.9599999999999999E-2</v>
      </c>
      <c r="Q421" s="8">
        <v>5</v>
      </c>
      <c r="R421" s="8">
        <v>65</v>
      </c>
      <c r="S421" s="8">
        <f>SUM(Dataset_AFinal[[#This Row],[Casual_user]:[Registered_user]])</f>
        <v>70</v>
      </c>
    </row>
    <row r="422" spans="1:19" x14ac:dyDescent="0.3">
      <c r="A422" s="4">
        <v>421</v>
      </c>
      <c r="B422" s="7" t="s">
        <v>97</v>
      </c>
      <c r="C422" s="6" t="s">
        <v>78</v>
      </c>
      <c r="D422" s="6" t="s">
        <v>79</v>
      </c>
      <c r="E422" s="6" t="s">
        <v>31</v>
      </c>
      <c r="F422" s="35">
        <v>13</v>
      </c>
      <c r="G422" s="15" t="str">
        <f t="shared" si="6"/>
        <v>Afternoon</v>
      </c>
      <c r="H422" s="6" t="b">
        <v>0</v>
      </c>
      <c r="I422" s="6" t="s">
        <v>56</v>
      </c>
      <c r="J422" s="6" t="str">
        <f>IF(OR(Dataset_AFinal[[#This Row],[Weekday]]="Sat",Dataset_AFinal[[#This Row],[Weekday]]="Sun"),"Weekend", "Weekday")</f>
        <v>Weekday</v>
      </c>
      <c r="K422" s="6" t="s">
        <v>32</v>
      </c>
      <c r="L422" s="6">
        <v>0.4</v>
      </c>
      <c r="M422" s="35" t="s">
        <v>42</v>
      </c>
      <c r="N422" s="7">
        <v>0.40910000000000002</v>
      </c>
      <c r="O422" s="32">
        <v>0.62</v>
      </c>
      <c r="P422" s="7">
        <v>0.28360000000000002</v>
      </c>
      <c r="Q422" s="8">
        <v>11</v>
      </c>
      <c r="R422" s="8">
        <v>67</v>
      </c>
      <c r="S422" s="8">
        <f>SUM(Dataset_AFinal[[#This Row],[Casual_user]:[Registered_user]])</f>
        <v>78</v>
      </c>
    </row>
    <row r="423" spans="1:19" x14ac:dyDescent="0.3">
      <c r="A423" s="4">
        <v>422</v>
      </c>
      <c r="B423" s="7" t="s">
        <v>97</v>
      </c>
      <c r="C423" s="6" t="s">
        <v>78</v>
      </c>
      <c r="D423" s="6" t="s">
        <v>79</v>
      </c>
      <c r="E423" s="6" t="s">
        <v>31</v>
      </c>
      <c r="F423" s="35">
        <v>14</v>
      </c>
      <c r="G423" s="15" t="str">
        <f t="shared" si="6"/>
        <v>Afternoon</v>
      </c>
      <c r="H423" s="6" t="b">
        <v>0</v>
      </c>
      <c r="I423" s="6" t="s">
        <v>56</v>
      </c>
      <c r="J423" s="6" t="str">
        <f>IF(OR(Dataset_AFinal[[#This Row],[Weekday]]="Sat",Dataset_AFinal[[#This Row],[Weekday]]="Sun"),"Weekend", "Weekday")</f>
        <v>Weekday</v>
      </c>
      <c r="K423" s="6" t="s">
        <v>32</v>
      </c>
      <c r="L423" s="6">
        <v>0.4</v>
      </c>
      <c r="M423" s="35" t="s">
        <v>42</v>
      </c>
      <c r="N423" s="7">
        <v>0.40910000000000002</v>
      </c>
      <c r="O423" s="32">
        <v>0.57999999999999996</v>
      </c>
      <c r="P423" s="7">
        <v>0.25369999999999998</v>
      </c>
      <c r="Q423" s="8">
        <v>7</v>
      </c>
      <c r="R423" s="8">
        <v>68</v>
      </c>
      <c r="S423" s="8">
        <f>SUM(Dataset_AFinal[[#This Row],[Casual_user]:[Registered_user]])</f>
        <v>75</v>
      </c>
    </row>
    <row r="424" spans="1:19" x14ac:dyDescent="0.3">
      <c r="A424" s="4">
        <v>423</v>
      </c>
      <c r="B424" s="7" t="s">
        <v>97</v>
      </c>
      <c r="C424" s="6" t="s">
        <v>78</v>
      </c>
      <c r="D424" s="6" t="s">
        <v>79</v>
      </c>
      <c r="E424" s="6" t="s">
        <v>31</v>
      </c>
      <c r="F424" s="35">
        <v>15</v>
      </c>
      <c r="G424" s="15" t="str">
        <f t="shared" si="6"/>
        <v>Afternoon</v>
      </c>
      <c r="H424" s="6" t="b">
        <v>0</v>
      </c>
      <c r="I424" s="6" t="s">
        <v>56</v>
      </c>
      <c r="J424" s="6" t="str">
        <f>IF(OR(Dataset_AFinal[[#This Row],[Weekday]]="Sat",Dataset_AFinal[[#This Row],[Weekday]]="Sun"),"Weekend", "Weekday")</f>
        <v>Weekday</v>
      </c>
      <c r="K424" s="6" t="s">
        <v>32</v>
      </c>
      <c r="L424" s="6">
        <v>0.4</v>
      </c>
      <c r="M424" s="35" t="s">
        <v>42</v>
      </c>
      <c r="N424" s="7">
        <v>0.40910000000000002</v>
      </c>
      <c r="O424" s="32">
        <v>0.54</v>
      </c>
      <c r="P424" s="7">
        <v>0.28360000000000002</v>
      </c>
      <c r="Q424" s="8">
        <v>4</v>
      </c>
      <c r="R424" s="8">
        <v>78</v>
      </c>
      <c r="S424" s="8">
        <f>SUM(Dataset_AFinal[[#This Row],[Casual_user]:[Registered_user]])</f>
        <v>82</v>
      </c>
    </row>
    <row r="425" spans="1:19" x14ac:dyDescent="0.3">
      <c r="A425" s="4">
        <v>424</v>
      </c>
      <c r="B425" s="7" t="s">
        <v>97</v>
      </c>
      <c r="C425" s="6" t="s">
        <v>78</v>
      </c>
      <c r="D425" s="6" t="s">
        <v>79</v>
      </c>
      <c r="E425" s="6" t="s">
        <v>31</v>
      </c>
      <c r="F425" s="35">
        <v>16</v>
      </c>
      <c r="G425" s="15" t="str">
        <f t="shared" si="6"/>
        <v>Afternoon</v>
      </c>
      <c r="H425" s="6" t="b">
        <v>0</v>
      </c>
      <c r="I425" s="6" t="s">
        <v>56</v>
      </c>
      <c r="J425" s="6" t="str">
        <f>IF(OR(Dataset_AFinal[[#This Row],[Weekday]]="Sat",Dataset_AFinal[[#This Row],[Weekday]]="Sun"),"Weekend", "Weekday")</f>
        <v>Weekday</v>
      </c>
      <c r="K425" s="6" t="s">
        <v>32</v>
      </c>
      <c r="L425" s="6">
        <v>0.38</v>
      </c>
      <c r="M425" s="35" t="s">
        <v>42</v>
      </c>
      <c r="N425" s="7">
        <v>0.39389999999999997</v>
      </c>
      <c r="O425" s="32">
        <v>0.57999999999999996</v>
      </c>
      <c r="P425" s="7">
        <v>0.3881</v>
      </c>
      <c r="Q425" s="8">
        <v>10</v>
      </c>
      <c r="R425" s="8">
        <v>94</v>
      </c>
      <c r="S425" s="8">
        <f>SUM(Dataset_AFinal[[#This Row],[Casual_user]:[Registered_user]])</f>
        <v>104</v>
      </c>
    </row>
    <row r="426" spans="1:19" x14ac:dyDescent="0.3">
      <c r="A426" s="4">
        <v>425</v>
      </c>
      <c r="B426" s="7" t="s">
        <v>97</v>
      </c>
      <c r="C426" s="6" t="s">
        <v>78</v>
      </c>
      <c r="D426" s="6" t="s">
        <v>79</v>
      </c>
      <c r="E426" s="6" t="s">
        <v>31</v>
      </c>
      <c r="F426" s="35">
        <v>17</v>
      </c>
      <c r="G426" s="15" t="str">
        <f t="shared" si="6"/>
        <v>Afternoon</v>
      </c>
      <c r="H426" s="6" t="b">
        <v>0</v>
      </c>
      <c r="I426" s="6" t="s">
        <v>56</v>
      </c>
      <c r="J426" s="6" t="str">
        <f>IF(OR(Dataset_AFinal[[#This Row],[Weekday]]="Sat",Dataset_AFinal[[#This Row],[Weekday]]="Sun"),"Weekend", "Weekday")</f>
        <v>Weekday</v>
      </c>
      <c r="K426" s="6" t="s">
        <v>32</v>
      </c>
      <c r="L426" s="6">
        <v>0.36</v>
      </c>
      <c r="M426" s="35" t="s">
        <v>42</v>
      </c>
      <c r="N426" s="7">
        <v>0.33329999999999999</v>
      </c>
      <c r="O426" s="32">
        <v>0.56999999999999995</v>
      </c>
      <c r="P426" s="7">
        <v>0.32840000000000003</v>
      </c>
      <c r="Q426" s="8">
        <v>7</v>
      </c>
      <c r="R426" s="8">
        <v>190</v>
      </c>
      <c r="S426" s="8">
        <f>SUM(Dataset_AFinal[[#This Row],[Casual_user]:[Registered_user]])</f>
        <v>197</v>
      </c>
    </row>
    <row r="427" spans="1:19" x14ac:dyDescent="0.3">
      <c r="A427" s="4">
        <v>426</v>
      </c>
      <c r="B427" s="7" t="s">
        <v>97</v>
      </c>
      <c r="C427" s="6" t="s">
        <v>78</v>
      </c>
      <c r="D427" s="6" t="s">
        <v>79</v>
      </c>
      <c r="E427" s="6" t="s">
        <v>31</v>
      </c>
      <c r="F427" s="35">
        <v>18</v>
      </c>
      <c r="G427" s="15" t="str">
        <f t="shared" si="6"/>
        <v>Evening</v>
      </c>
      <c r="H427" s="6" t="b">
        <v>0</v>
      </c>
      <c r="I427" s="6" t="s">
        <v>56</v>
      </c>
      <c r="J427" s="6" t="str">
        <f>IF(OR(Dataset_AFinal[[#This Row],[Weekday]]="Sat",Dataset_AFinal[[#This Row],[Weekday]]="Sun"),"Weekend", "Weekday")</f>
        <v>Weekday</v>
      </c>
      <c r="K427" s="6" t="s">
        <v>32</v>
      </c>
      <c r="L427" s="6">
        <v>0.34</v>
      </c>
      <c r="M427" s="35" t="s">
        <v>42</v>
      </c>
      <c r="N427" s="7">
        <v>0.31819999999999998</v>
      </c>
      <c r="O427" s="32">
        <v>0.61</v>
      </c>
      <c r="P427" s="7">
        <v>0.28360000000000002</v>
      </c>
      <c r="Q427" s="8">
        <v>5</v>
      </c>
      <c r="R427" s="8">
        <v>156</v>
      </c>
      <c r="S427" s="8">
        <f>SUM(Dataset_AFinal[[#This Row],[Casual_user]:[Registered_user]])</f>
        <v>161</v>
      </c>
    </row>
    <row r="428" spans="1:19" x14ac:dyDescent="0.3">
      <c r="A428" s="4">
        <v>427</v>
      </c>
      <c r="B428" s="7" t="s">
        <v>97</v>
      </c>
      <c r="C428" s="6" t="s">
        <v>78</v>
      </c>
      <c r="D428" s="6" t="s">
        <v>79</v>
      </c>
      <c r="E428" s="6" t="s">
        <v>31</v>
      </c>
      <c r="F428" s="35">
        <v>19</v>
      </c>
      <c r="G428" s="15" t="str">
        <f t="shared" si="6"/>
        <v>Evening</v>
      </c>
      <c r="H428" s="6" t="b">
        <v>0</v>
      </c>
      <c r="I428" s="6" t="s">
        <v>56</v>
      </c>
      <c r="J428" s="6" t="str">
        <f>IF(OR(Dataset_AFinal[[#This Row],[Weekday]]="Sat",Dataset_AFinal[[#This Row],[Weekday]]="Sun"),"Weekend", "Weekday")</f>
        <v>Weekday</v>
      </c>
      <c r="K428" s="6" t="s">
        <v>32</v>
      </c>
      <c r="L428" s="6">
        <v>0.32</v>
      </c>
      <c r="M428" s="35" t="s">
        <v>41</v>
      </c>
      <c r="N428" s="7">
        <v>0.28789999999999999</v>
      </c>
      <c r="O428" s="32">
        <v>0.56999999999999995</v>
      </c>
      <c r="P428" s="7">
        <v>0.41789999999999999</v>
      </c>
      <c r="Q428" s="8">
        <v>4</v>
      </c>
      <c r="R428" s="8">
        <v>108</v>
      </c>
      <c r="S428" s="8">
        <f>SUM(Dataset_AFinal[[#This Row],[Casual_user]:[Registered_user]])</f>
        <v>112</v>
      </c>
    </row>
    <row r="429" spans="1:19" x14ac:dyDescent="0.3">
      <c r="A429" s="4">
        <v>428</v>
      </c>
      <c r="B429" s="7" t="s">
        <v>97</v>
      </c>
      <c r="C429" s="6" t="s">
        <v>78</v>
      </c>
      <c r="D429" s="6" t="s">
        <v>79</v>
      </c>
      <c r="E429" s="6" t="s">
        <v>31</v>
      </c>
      <c r="F429" s="35">
        <v>20</v>
      </c>
      <c r="G429" s="15" t="str">
        <f t="shared" si="6"/>
        <v>Evening</v>
      </c>
      <c r="H429" s="6" t="b">
        <v>0</v>
      </c>
      <c r="I429" s="6" t="s">
        <v>56</v>
      </c>
      <c r="J429" s="6" t="str">
        <f>IF(OR(Dataset_AFinal[[#This Row],[Weekday]]="Sat",Dataset_AFinal[[#This Row],[Weekday]]="Sun"),"Weekend", "Weekday")</f>
        <v>Weekday</v>
      </c>
      <c r="K429" s="6" t="s">
        <v>32</v>
      </c>
      <c r="L429" s="6">
        <v>0.32</v>
      </c>
      <c r="M429" s="35" t="s">
        <v>41</v>
      </c>
      <c r="N429" s="7">
        <v>0.30299999999999999</v>
      </c>
      <c r="O429" s="32">
        <v>0.49</v>
      </c>
      <c r="P429" s="7">
        <v>0.29849999999999999</v>
      </c>
      <c r="Q429" s="8">
        <v>2</v>
      </c>
      <c r="R429" s="8">
        <v>74</v>
      </c>
      <c r="S429" s="8">
        <f>SUM(Dataset_AFinal[[#This Row],[Casual_user]:[Registered_user]])</f>
        <v>76</v>
      </c>
    </row>
    <row r="430" spans="1:19" x14ac:dyDescent="0.3">
      <c r="A430" s="4">
        <v>429</v>
      </c>
      <c r="B430" s="7" t="s">
        <v>97</v>
      </c>
      <c r="C430" s="6" t="s">
        <v>78</v>
      </c>
      <c r="D430" s="6" t="s">
        <v>79</v>
      </c>
      <c r="E430" s="6" t="s">
        <v>31</v>
      </c>
      <c r="F430" s="35">
        <v>21</v>
      </c>
      <c r="G430" s="15" t="str">
        <f t="shared" si="6"/>
        <v>Evening</v>
      </c>
      <c r="H430" s="6" t="b">
        <v>0</v>
      </c>
      <c r="I430" s="6" t="s">
        <v>56</v>
      </c>
      <c r="J430" s="6" t="str">
        <f>IF(OR(Dataset_AFinal[[#This Row],[Weekday]]="Sat",Dataset_AFinal[[#This Row],[Weekday]]="Sun"),"Weekend", "Weekday")</f>
        <v>Weekday</v>
      </c>
      <c r="K430" s="6" t="s">
        <v>32</v>
      </c>
      <c r="L430" s="6">
        <v>0.32</v>
      </c>
      <c r="M430" s="35" t="s">
        <v>41</v>
      </c>
      <c r="N430" s="7">
        <v>0.28789999999999999</v>
      </c>
      <c r="O430" s="32">
        <v>0.49</v>
      </c>
      <c r="P430" s="7">
        <v>0.41789999999999999</v>
      </c>
      <c r="Q430" s="8">
        <v>4</v>
      </c>
      <c r="R430" s="8">
        <v>55</v>
      </c>
      <c r="S430" s="8">
        <f>SUM(Dataset_AFinal[[#This Row],[Casual_user]:[Registered_user]])</f>
        <v>59</v>
      </c>
    </row>
    <row r="431" spans="1:19" x14ac:dyDescent="0.3">
      <c r="A431" s="4">
        <v>430</v>
      </c>
      <c r="B431" s="7" t="s">
        <v>97</v>
      </c>
      <c r="C431" s="6" t="s">
        <v>78</v>
      </c>
      <c r="D431" s="6" t="s">
        <v>79</v>
      </c>
      <c r="E431" s="6" t="s">
        <v>31</v>
      </c>
      <c r="F431" s="35">
        <v>22</v>
      </c>
      <c r="G431" s="15" t="str">
        <f t="shared" si="6"/>
        <v>Evening</v>
      </c>
      <c r="H431" s="6" t="b">
        <v>0</v>
      </c>
      <c r="I431" s="6" t="s">
        <v>56</v>
      </c>
      <c r="J431" s="6" t="str">
        <f>IF(OR(Dataset_AFinal[[#This Row],[Weekday]]="Sat",Dataset_AFinal[[#This Row],[Weekday]]="Sun"),"Weekend", "Weekday")</f>
        <v>Weekday</v>
      </c>
      <c r="K431" s="6" t="s">
        <v>32</v>
      </c>
      <c r="L431" s="6">
        <v>0.3</v>
      </c>
      <c r="M431" s="35" t="s">
        <v>41</v>
      </c>
      <c r="N431" s="7">
        <v>0.30299999999999999</v>
      </c>
      <c r="O431" s="32">
        <v>0.52</v>
      </c>
      <c r="P431" s="7">
        <v>0.16420000000000001</v>
      </c>
      <c r="Q431" s="8">
        <v>6</v>
      </c>
      <c r="R431" s="8">
        <v>53</v>
      </c>
      <c r="S431" s="8">
        <f>SUM(Dataset_AFinal[[#This Row],[Casual_user]:[Registered_user]])</f>
        <v>59</v>
      </c>
    </row>
    <row r="432" spans="1:19" x14ac:dyDescent="0.3">
      <c r="A432" s="4">
        <v>431</v>
      </c>
      <c r="B432" s="7" t="s">
        <v>97</v>
      </c>
      <c r="C432" s="6" t="s">
        <v>78</v>
      </c>
      <c r="D432" s="6" t="s">
        <v>79</v>
      </c>
      <c r="E432" s="6" t="s">
        <v>31</v>
      </c>
      <c r="F432" s="35">
        <v>23</v>
      </c>
      <c r="G432" s="15" t="str">
        <f t="shared" si="6"/>
        <v>Evening</v>
      </c>
      <c r="H432" s="6" t="b">
        <v>0</v>
      </c>
      <c r="I432" s="6" t="s">
        <v>56</v>
      </c>
      <c r="J432" s="6" t="str">
        <f>IF(OR(Dataset_AFinal[[#This Row],[Weekday]]="Sat",Dataset_AFinal[[#This Row],[Weekday]]="Sun"),"Weekend", "Weekday")</f>
        <v>Weekday</v>
      </c>
      <c r="K432" s="6" t="s">
        <v>32</v>
      </c>
      <c r="L432" s="6">
        <v>0.3</v>
      </c>
      <c r="M432" s="35" t="s">
        <v>41</v>
      </c>
      <c r="N432" s="7">
        <v>0.2727</v>
      </c>
      <c r="O432" s="32">
        <v>0.52</v>
      </c>
      <c r="P432" s="7">
        <v>0.4627</v>
      </c>
      <c r="Q432" s="8">
        <v>1</v>
      </c>
      <c r="R432" s="8">
        <v>27</v>
      </c>
      <c r="S432" s="8">
        <f>SUM(Dataset_AFinal[[#This Row],[Casual_user]:[Registered_user]])</f>
        <v>28</v>
      </c>
    </row>
    <row r="433" spans="1:19" x14ac:dyDescent="0.3">
      <c r="A433" s="4">
        <v>432</v>
      </c>
      <c r="B433" s="7" t="s">
        <v>98</v>
      </c>
      <c r="C433" s="6" t="s">
        <v>78</v>
      </c>
      <c r="D433" s="6" t="s">
        <v>79</v>
      </c>
      <c r="E433" s="6" t="s">
        <v>31</v>
      </c>
      <c r="F433" s="35">
        <v>0</v>
      </c>
      <c r="G433" s="15" t="str">
        <f t="shared" si="6"/>
        <v>Night</v>
      </c>
      <c r="H433" s="6" t="b">
        <v>0</v>
      </c>
      <c r="I433" s="6" t="s">
        <v>57</v>
      </c>
      <c r="J433" s="6" t="str">
        <f>IF(OR(Dataset_AFinal[[#This Row],[Weekday]]="Sat",Dataset_AFinal[[#This Row],[Weekday]]="Sun"),"Weekend", "Weekday")</f>
        <v>Weekday</v>
      </c>
      <c r="K433" s="6" t="s">
        <v>32</v>
      </c>
      <c r="L433" s="6">
        <v>0.26</v>
      </c>
      <c r="M433" s="35" t="s">
        <v>41</v>
      </c>
      <c r="N433" s="7">
        <v>0.2273</v>
      </c>
      <c r="O433" s="32">
        <v>0.56000000000000005</v>
      </c>
      <c r="P433" s="7">
        <v>0.3881</v>
      </c>
      <c r="Q433" s="8">
        <v>5</v>
      </c>
      <c r="R433" s="8">
        <v>8</v>
      </c>
      <c r="S433" s="8">
        <f>SUM(Dataset_AFinal[[#This Row],[Casual_user]:[Registered_user]])</f>
        <v>13</v>
      </c>
    </row>
    <row r="434" spans="1:19" x14ac:dyDescent="0.3">
      <c r="A434" s="4">
        <v>433</v>
      </c>
      <c r="B434" s="7" t="s">
        <v>98</v>
      </c>
      <c r="C434" s="6" t="s">
        <v>78</v>
      </c>
      <c r="D434" s="6" t="s">
        <v>79</v>
      </c>
      <c r="E434" s="6" t="s">
        <v>31</v>
      </c>
      <c r="F434" s="35">
        <v>1</v>
      </c>
      <c r="G434" s="15" t="str">
        <f t="shared" si="6"/>
        <v>Night</v>
      </c>
      <c r="H434" s="6" t="b">
        <v>0</v>
      </c>
      <c r="I434" s="6" t="s">
        <v>57</v>
      </c>
      <c r="J434" s="6" t="str">
        <f>IF(OR(Dataset_AFinal[[#This Row],[Weekday]]="Sat",Dataset_AFinal[[#This Row],[Weekday]]="Sun"),"Weekend", "Weekday")</f>
        <v>Weekday</v>
      </c>
      <c r="K434" s="6" t="s">
        <v>32</v>
      </c>
      <c r="L434" s="6">
        <v>0.26</v>
      </c>
      <c r="M434" s="35" t="s">
        <v>41</v>
      </c>
      <c r="N434" s="7">
        <v>0.2727</v>
      </c>
      <c r="O434" s="32">
        <v>0.56000000000000005</v>
      </c>
      <c r="P434" s="7">
        <v>0</v>
      </c>
      <c r="Q434" s="8">
        <v>2</v>
      </c>
      <c r="R434" s="8">
        <v>3</v>
      </c>
      <c r="S434" s="8">
        <f>SUM(Dataset_AFinal[[#This Row],[Casual_user]:[Registered_user]])</f>
        <v>5</v>
      </c>
    </row>
    <row r="435" spans="1:19" x14ac:dyDescent="0.3">
      <c r="A435" s="4">
        <v>434</v>
      </c>
      <c r="B435" s="7" t="s">
        <v>98</v>
      </c>
      <c r="C435" s="6" t="s">
        <v>78</v>
      </c>
      <c r="D435" s="6" t="s">
        <v>79</v>
      </c>
      <c r="E435" s="6" t="s">
        <v>31</v>
      </c>
      <c r="F435" s="35">
        <v>2</v>
      </c>
      <c r="G435" s="15" t="str">
        <f t="shared" si="6"/>
        <v>Night</v>
      </c>
      <c r="H435" s="6" t="b">
        <v>0</v>
      </c>
      <c r="I435" s="6" t="s">
        <v>57</v>
      </c>
      <c r="J435" s="6" t="str">
        <f>IF(OR(Dataset_AFinal[[#This Row],[Weekday]]="Sat",Dataset_AFinal[[#This Row],[Weekday]]="Sun"),"Weekend", "Weekday")</f>
        <v>Weekday</v>
      </c>
      <c r="K435" s="6" t="s">
        <v>32</v>
      </c>
      <c r="L435" s="6">
        <v>0.26</v>
      </c>
      <c r="M435" s="35" t="s">
        <v>41</v>
      </c>
      <c r="N435" s="7">
        <v>0.2727</v>
      </c>
      <c r="O435" s="32">
        <v>0.56000000000000005</v>
      </c>
      <c r="P435" s="7">
        <v>0</v>
      </c>
      <c r="Q435" s="8">
        <v>0</v>
      </c>
      <c r="R435" s="8">
        <v>2</v>
      </c>
      <c r="S435" s="8">
        <f>SUM(Dataset_AFinal[[#This Row],[Casual_user]:[Registered_user]])</f>
        <v>2</v>
      </c>
    </row>
    <row r="436" spans="1:19" x14ac:dyDescent="0.3">
      <c r="A436" s="4">
        <v>435</v>
      </c>
      <c r="B436" s="7" t="s">
        <v>98</v>
      </c>
      <c r="C436" s="6" t="s">
        <v>78</v>
      </c>
      <c r="D436" s="6" t="s">
        <v>79</v>
      </c>
      <c r="E436" s="6" t="s">
        <v>31</v>
      </c>
      <c r="F436" s="35">
        <v>3</v>
      </c>
      <c r="G436" s="15" t="str">
        <f t="shared" si="6"/>
        <v>Night</v>
      </c>
      <c r="H436" s="6" t="b">
        <v>0</v>
      </c>
      <c r="I436" s="6" t="s">
        <v>57</v>
      </c>
      <c r="J436" s="6" t="str">
        <f>IF(OR(Dataset_AFinal[[#This Row],[Weekday]]="Sat",Dataset_AFinal[[#This Row],[Weekday]]="Sun"),"Weekend", "Weekday")</f>
        <v>Weekday</v>
      </c>
      <c r="K436" s="6" t="s">
        <v>32</v>
      </c>
      <c r="L436" s="6">
        <v>0.26</v>
      </c>
      <c r="M436" s="35" t="s">
        <v>41</v>
      </c>
      <c r="N436" s="7">
        <v>0.2576</v>
      </c>
      <c r="O436" s="32">
        <v>0.56000000000000005</v>
      </c>
      <c r="P436" s="7">
        <v>0.16420000000000001</v>
      </c>
      <c r="Q436" s="8">
        <v>0</v>
      </c>
      <c r="R436" s="8">
        <v>1</v>
      </c>
      <c r="S436" s="8">
        <f>SUM(Dataset_AFinal[[#This Row],[Casual_user]:[Registered_user]])</f>
        <v>1</v>
      </c>
    </row>
    <row r="437" spans="1:19" x14ac:dyDescent="0.3">
      <c r="A437" s="4">
        <v>436</v>
      </c>
      <c r="B437" s="7" t="s">
        <v>98</v>
      </c>
      <c r="C437" s="6" t="s">
        <v>78</v>
      </c>
      <c r="D437" s="6" t="s">
        <v>79</v>
      </c>
      <c r="E437" s="6" t="s">
        <v>31</v>
      </c>
      <c r="F437" s="35">
        <v>4</v>
      </c>
      <c r="G437" s="15" t="str">
        <f t="shared" si="6"/>
        <v>Night</v>
      </c>
      <c r="H437" s="6" t="b">
        <v>0</v>
      </c>
      <c r="I437" s="6" t="s">
        <v>57</v>
      </c>
      <c r="J437" s="6" t="str">
        <f>IF(OR(Dataset_AFinal[[#This Row],[Weekday]]="Sat",Dataset_AFinal[[#This Row],[Weekday]]="Sun"),"Weekend", "Weekday")</f>
        <v>Weekday</v>
      </c>
      <c r="K437" s="6" t="s">
        <v>32</v>
      </c>
      <c r="L437" s="6">
        <v>0.26</v>
      </c>
      <c r="M437" s="35" t="s">
        <v>41</v>
      </c>
      <c r="N437" s="7">
        <v>0.2576</v>
      </c>
      <c r="O437" s="32">
        <v>0.56000000000000005</v>
      </c>
      <c r="P437" s="7">
        <v>0.16420000000000001</v>
      </c>
      <c r="Q437" s="8">
        <v>0</v>
      </c>
      <c r="R437" s="8">
        <v>1</v>
      </c>
      <c r="S437" s="8">
        <f>SUM(Dataset_AFinal[[#This Row],[Casual_user]:[Registered_user]])</f>
        <v>1</v>
      </c>
    </row>
    <row r="438" spans="1:19" x14ac:dyDescent="0.3">
      <c r="A438" s="4">
        <v>437</v>
      </c>
      <c r="B438" s="7" t="s">
        <v>98</v>
      </c>
      <c r="C438" s="6" t="s">
        <v>78</v>
      </c>
      <c r="D438" s="6" t="s">
        <v>79</v>
      </c>
      <c r="E438" s="6" t="s">
        <v>31</v>
      </c>
      <c r="F438" s="35">
        <v>5</v>
      </c>
      <c r="G438" s="15" t="str">
        <f t="shared" si="6"/>
        <v>Night</v>
      </c>
      <c r="H438" s="6" t="b">
        <v>0</v>
      </c>
      <c r="I438" s="6" t="s">
        <v>57</v>
      </c>
      <c r="J438" s="6" t="str">
        <f>IF(OR(Dataset_AFinal[[#This Row],[Weekday]]="Sat",Dataset_AFinal[[#This Row],[Weekday]]="Sun"),"Weekend", "Weekday")</f>
        <v>Weekday</v>
      </c>
      <c r="K438" s="6" t="s">
        <v>32</v>
      </c>
      <c r="L438" s="6">
        <v>0.24</v>
      </c>
      <c r="M438" s="35" t="s">
        <v>40</v>
      </c>
      <c r="N438" s="7">
        <v>0.2273</v>
      </c>
      <c r="O438" s="32">
        <v>0.6</v>
      </c>
      <c r="P438" s="7">
        <v>0.22389999999999999</v>
      </c>
      <c r="Q438" s="8">
        <v>0</v>
      </c>
      <c r="R438" s="8">
        <v>6</v>
      </c>
      <c r="S438" s="8">
        <f>SUM(Dataset_AFinal[[#This Row],[Casual_user]:[Registered_user]])</f>
        <v>6</v>
      </c>
    </row>
    <row r="439" spans="1:19" x14ac:dyDescent="0.3">
      <c r="A439" s="4">
        <v>438</v>
      </c>
      <c r="B439" s="7" t="s">
        <v>98</v>
      </c>
      <c r="C439" s="6" t="s">
        <v>78</v>
      </c>
      <c r="D439" s="6" t="s">
        <v>79</v>
      </c>
      <c r="E439" s="6" t="s">
        <v>31</v>
      </c>
      <c r="F439" s="35">
        <v>6</v>
      </c>
      <c r="G439" s="15" t="str">
        <f t="shared" si="6"/>
        <v>Morning</v>
      </c>
      <c r="H439" s="6" t="b">
        <v>0</v>
      </c>
      <c r="I439" s="6" t="s">
        <v>57</v>
      </c>
      <c r="J439" s="6" t="str">
        <f>IF(OR(Dataset_AFinal[[#This Row],[Weekday]]="Sat",Dataset_AFinal[[#This Row],[Weekday]]="Sun"),"Weekend", "Weekday")</f>
        <v>Weekday</v>
      </c>
      <c r="K439" s="6" t="s">
        <v>32</v>
      </c>
      <c r="L439" s="6">
        <v>0.22</v>
      </c>
      <c r="M439" s="35" t="s">
        <v>40</v>
      </c>
      <c r="N439" s="7">
        <v>0.21210000000000001</v>
      </c>
      <c r="O439" s="32">
        <v>0.6</v>
      </c>
      <c r="P439" s="7">
        <v>0.22389999999999999</v>
      </c>
      <c r="Q439" s="8">
        <v>0</v>
      </c>
      <c r="R439" s="8">
        <v>35</v>
      </c>
      <c r="S439" s="8">
        <f>SUM(Dataset_AFinal[[#This Row],[Casual_user]:[Registered_user]])</f>
        <v>35</v>
      </c>
    </row>
    <row r="440" spans="1:19" x14ac:dyDescent="0.3">
      <c r="A440" s="4">
        <v>439</v>
      </c>
      <c r="B440" s="7" t="s">
        <v>98</v>
      </c>
      <c r="C440" s="6" t="s">
        <v>78</v>
      </c>
      <c r="D440" s="6" t="s">
        <v>79</v>
      </c>
      <c r="E440" s="6" t="s">
        <v>31</v>
      </c>
      <c r="F440" s="35">
        <v>7</v>
      </c>
      <c r="G440" s="15" t="str">
        <f t="shared" si="6"/>
        <v>Morning</v>
      </c>
      <c r="H440" s="6" t="b">
        <v>0</v>
      </c>
      <c r="I440" s="6" t="s">
        <v>57</v>
      </c>
      <c r="J440" s="6" t="str">
        <f>IF(OR(Dataset_AFinal[[#This Row],[Weekday]]="Sat",Dataset_AFinal[[#This Row],[Weekday]]="Sun"),"Weekend", "Weekday")</f>
        <v>Weekday</v>
      </c>
      <c r="K440" s="6" t="s">
        <v>32</v>
      </c>
      <c r="L440" s="6">
        <v>0.22</v>
      </c>
      <c r="M440" s="35" t="s">
        <v>40</v>
      </c>
      <c r="N440" s="7">
        <v>0.21210000000000001</v>
      </c>
      <c r="O440" s="32">
        <v>0.55000000000000004</v>
      </c>
      <c r="P440" s="7">
        <v>0.22389999999999999</v>
      </c>
      <c r="Q440" s="8">
        <v>1</v>
      </c>
      <c r="R440" s="8">
        <v>100</v>
      </c>
      <c r="S440" s="8">
        <f>SUM(Dataset_AFinal[[#This Row],[Casual_user]:[Registered_user]])</f>
        <v>101</v>
      </c>
    </row>
    <row r="441" spans="1:19" x14ac:dyDescent="0.3">
      <c r="A441" s="4">
        <v>440</v>
      </c>
      <c r="B441" s="7" t="s">
        <v>98</v>
      </c>
      <c r="C441" s="6" t="s">
        <v>78</v>
      </c>
      <c r="D441" s="6" t="s">
        <v>79</v>
      </c>
      <c r="E441" s="6" t="s">
        <v>31</v>
      </c>
      <c r="F441" s="35">
        <v>8</v>
      </c>
      <c r="G441" s="15" t="str">
        <f t="shared" si="6"/>
        <v>Morning</v>
      </c>
      <c r="H441" s="6" t="b">
        <v>0</v>
      </c>
      <c r="I441" s="6" t="s">
        <v>57</v>
      </c>
      <c r="J441" s="6" t="str">
        <f>IF(OR(Dataset_AFinal[[#This Row],[Weekday]]="Sat",Dataset_AFinal[[#This Row],[Weekday]]="Sun"),"Weekend", "Weekday")</f>
        <v>Weekday</v>
      </c>
      <c r="K441" s="6" t="s">
        <v>32</v>
      </c>
      <c r="L441" s="6">
        <v>0.22</v>
      </c>
      <c r="M441" s="35" t="s">
        <v>40</v>
      </c>
      <c r="N441" s="7">
        <v>0.21210000000000001</v>
      </c>
      <c r="O441" s="32">
        <v>0.55000000000000004</v>
      </c>
      <c r="P441" s="7">
        <v>0.28360000000000002</v>
      </c>
      <c r="Q441" s="8">
        <v>2</v>
      </c>
      <c r="R441" s="8">
        <v>247</v>
      </c>
      <c r="S441" s="8">
        <f>SUM(Dataset_AFinal[[#This Row],[Casual_user]:[Registered_user]])</f>
        <v>249</v>
      </c>
    </row>
    <row r="442" spans="1:19" x14ac:dyDescent="0.3">
      <c r="A442" s="4">
        <v>441</v>
      </c>
      <c r="B442" s="7" t="s">
        <v>98</v>
      </c>
      <c r="C442" s="6" t="s">
        <v>78</v>
      </c>
      <c r="D442" s="6" t="s">
        <v>79</v>
      </c>
      <c r="E442" s="6" t="s">
        <v>31</v>
      </c>
      <c r="F442" s="35">
        <v>9</v>
      </c>
      <c r="G442" s="15" t="str">
        <f t="shared" si="6"/>
        <v>Morning</v>
      </c>
      <c r="H442" s="6" t="b">
        <v>0</v>
      </c>
      <c r="I442" s="6" t="s">
        <v>57</v>
      </c>
      <c r="J442" s="6" t="str">
        <f>IF(OR(Dataset_AFinal[[#This Row],[Weekday]]="Sat",Dataset_AFinal[[#This Row],[Weekday]]="Sun"),"Weekend", "Weekday")</f>
        <v>Weekday</v>
      </c>
      <c r="K442" s="6" t="s">
        <v>33</v>
      </c>
      <c r="L442" s="6">
        <v>0.24</v>
      </c>
      <c r="M442" s="35" t="s">
        <v>40</v>
      </c>
      <c r="N442" s="7">
        <v>0.2273</v>
      </c>
      <c r="O442" s="32">
        <v>0.52</v>
      </c>
      <c r="P442" s="7">
        <v>0.22389999999999999</v>
      </c>
      <c r="Q442" s="8">
        <v>3</v>
      </c>
      <c r="R442" s="8">
        <v>140</v>
      </c>
      <c r="S442" s="8">
        <f>SUM(Dataset_AFinal[[#This Row],[Casual_user]:[Registered_user]])</f>
        <v>143</v>
      </c>
    </row>
    <row r="443" spans="1:19" x14ac:dyDescent="0.3">
      <c r="A443" s="4">
        <v>442</v>
      </c>
      <c r="B443" s="7" t="s">
        <v>98</v>
      </c>
      <c r="C443" s="6" t="s">
        <v>78</v>
      </c>
      <c r="D443" s="6" t="s">
        <v>79</v>
      </c>
      <c r="E443" s="6" t="s">
        <v>31</v>
      </c>
      <c r="F443" s="35">
        <v>10</v>
      </c>
      <c r="G443" s="15" t="str">
        <f t="shared" si="6"/>
        <v>Morning</v>
      </c>
      <c r="H443" s="6" t="b">
        <v>0</v>
      </c>
      <c r="I443" s="6" t="s">
        <v>57</v>
      </c>
      <c r="J443" s="6" t="str">
        <f>IF(OR(Dataset_AFinal[[#This Row],[Weekday]]="Sat",Dataset_AFinal[[#This Row],[Weekday]]="Sun"),"Weekend", "Weekday")</f>
        <v>Weekday</v>
      </c>
      <c r="K443" s="6" t="s">
        <v>32</v>
      </c>
      <c r="L443" s="6">
        <v>0.26</v>
      </c>
      <c r="M443" s="35" t="s">
        <v>41</v>
      </c>
      <c r="N443" s="7">
        <v>0.2273</v>
      </c>
      <c r="O443" s="32">
        <v>0.48</v>
      </c>
      <c r="P443" s="7">
        <v>0.29849999999999999</v>
      </c>
      <c r="Q443" s="8">
        <v>1</v>
      </c>
      <c r="R443" s="8">
        <v>56</v>
      </c>
      <c r="S443" s="8">
        <f>SUM(Dataset_AFinal[[#This Row],[Casual_user]:[Registered_user]])</f>
        <v>57</v>
      </c>
    </row>
    <row r="444" spans="1:19" x14ac:dyDescent="0.3">
      <c r="A444" s="4">
        <v>443</v>
      </c>
      <c r="B444" s="7" t="s">
        <v>98</v>
      </c>
      <c r="C444" s="6" t="s">
        <v>78</v>
      </c>
      <c r="D444" s="6" t="s">
        <v>79</v>
      </c>
      <c r="E444" s="6" t="s">
        <v>31</v>
      </c>
      <c r="F444" s="35">
        <v>11</v>
      </c>
      <c r="G444" s="15" t="str">
        <f t="shared" si="6"/>
        <v>Morning</v>
      </c>
      <c r="H444" s="6" t="b">
        <v>0</v>
      </c>
      <c r="I444" s="6" t="s">
        <v>57</v>
      </c>
      <c r="J444" s="6" t="str">
        <f>IF(OR(Dataset_AFinal[[#This Row],[Weekday]]="Sat",Dataset_AFinal[[#This Row],[Weekday]]="Sun"),"Weekend", "Weekday")</f>
        <v>Weekday</v>
      </c>
      <c r="K444" s="6" t="s">
        <v>33</v>
      </c>
      <c r="L444" s="6">
        <v>0.28000000000000003</v>
      </c>
      <c r="M444" s="35" t="s">
        <v>41</v>
      </c>
      <c r="N444" s="7">
        <v>0.2727</v>
      </c>
      <c r="O444" s="32">
        <v>0.45</v>
      </c>
      <c r="P444" s="7">
        <v>0.16420000000000001</v>
      </c>
      <c r="Q444" s="8">
        <v>5</v>
      </c>
      <c r="R444" s="8">
        <v>63</v>
      </c>
      <c r="S444" s="8">
        <f>SUM(Dataset_AFinal[[#This Row],[Casual_user]:[Registered_user]])</f>
        <v>68</v>
      </c>
    </row>
    <row r="445" spans="1:19" x14ac:dyDescent="0.3">
      <c r="A445" s="4">
        <v>444</v>
      </c>
      <c r="B445" s="7" t="s">
        <v>98</v>
      </c>
      <c r="C445" s="6" t="s">
        <v>78</v>
      </c>
      <c r="D445" s="6" t="s">
        <v>79</v>
      </c>
      <c r="E445" s="6" t="s">
        <v>31</v>
      </c>
      <c r="F445" s="35">
        <v>12</v>
      </c>
      <c r="G445" s="15" t="str">
        <f t="shared" si="6"/>
        <v>Afternoon</v>
      </c>
      <c r="H445" s="6" t="b">
        <v>0</v>
      </c>
      <c r="I445" s="6" t="s">
        <v>57</v>
      </c>
      <c r="J445" s="6" t="str">
        <f>IF(OR(Dataset_AFinal[[#This Row],[Weekday]]="Sat",Dataset_AFinal[[#This Row],[Weekday]]="Sun"),"Weekend", "Weekday")</f>
        <v>Weekday</v>
      </c>
      <c r="K445" s="6" t="s">
        <v>33</v>
      </c>
      <c r="L445" s="6">
        <v>0.3</v>
      </c>
      <c r="M445" s="35" t="s">
        <v>41</v>
      </c>
      <c r="N445" s="7">
        <v>0.33329999999999999</v>
      </c>
      <c r="O445" s="32">
        <v>0.42</v>
      </c>
      <c r="P445" s="7">
        <v>0</v>
      </c>
      <c r="Q445" s="8">
        <v>7</v>
      </c>
      <c r="R445" s="8">
        <v>77</v>
      </c>
      <c r="S445" s="8">
        <f>SUM(Dataset_AFinal[[#This Row],[Casual_user]:[Registered_user]])</f>
        <v>84</v>
      </c>
    </row>
    <row r="446" spans="1:19" x14ac:dyDescent="0.3">
      <c r="A446" s="4">
        <v>445</v>
      </c>
      <c r="B446" s="7" t="s">
        <v>98</v>
      </c>
      <c r="C446" s="6" t="s">
        <v>78</v>
      </c>
      <c r="D446" s="6" t="s">
        <v>79</v>
      </c>
      <c r="E446" s="6" t="s">
        <v>31</v>
      </c>
      <c r="F446" s="35">
        <v>13</v>
      </c>
      <c r="G446" s="15" t="str">
        <f t="shared" si="6"/>
        <v>Afternoon</v>
      </c>
      <c r="H446" s="6" t="b">
        <v>0</v>
      </c>
      <c r="I446" s="6" t="s">
        <v>57</v>
      </c>
      <c r="J446" s="6" t="str">
        <f>IF(OR(Dataset_AFinal[[#This Row],[Weekday]]="Sat",Dataset_AFinal[[#This Row],[Weekday]]="Sun"),"Weekend", "Weekday")</f>
        <v>Weekday</v>
      </c>
      <c r="K446" s="6" t="s">
        <v>33</v>
      </c>
      <c r="L446" s="6">
        <v>0.28000000000000003</v>
      </c>
      <c r="M446" s="35" t="s">
        <v>41</v>
      </c>
      <c r="N446" s="7">
        <v>0.28789999999999999</v>
      </c>
      <c r="O446" s="32">
        <v>0.45</v>
      </c>
      <c r="P446" s="7">
        <v>0.1045</v>
      </c>
      <c r="Q446" s="8">
        <v>12</v>
      </c>
      <c r="R446" s="8">
        <v>86</v>
      </c>
      <c r="S446" s="8">
        <f>SUM(Dataset_AFinal[[#This Row],[Casual_user]:[Registered_user]])</f>
        <v>98</v>
      </c>
    </row>
    <row r="447" spans="1:19" x14ac:dyDescent="0.3">
      <c r="A447" s="4">
        <v>446</v>
      </c>
      <c r="B447" s="7" t="s">
        <v>98</v>
      </c>
      <c r="C447" s="6" t="s">
        <v>78</v>
      </c>
      <c r="D447" s="6" t="s">
        <v>79</v>
      </c>
      <c r="E447" s="6" t="s">
        <v>31</v>
      </c>
      <c r="F447" s="35">
        <v>14</v>
      </c>
      <c r="G447" s="15" t="str">
        <f t="shared" si="6"/>
        <v>Afternoon</v>
      </c>
      <c r="H447" s="6" t="b">
        <v>0</v>
      </c>
      <c r="I447" s="6" t="s">
        <v>57</v>
      </c>
      <c r="J447" s="6" t="str">
        <f>IF(OR(Dataset_AFinal[[#This Row],[Weekday]]="Sat",Dataset_AFinal[[#This Row],[Weekday]]="Sun"),"Weekend", "Weekday")</f>
        <v>Weekday</v>
      </c>
      <c r="K447" s="6" t="s">
        <v>33</v>
      </c>
      <c r="L447" s="6">
        <v>0.3</v>
      </c>
      <c r="M447" s="35" t="s">
        <v>41</v>
      </c>
      <c r="N447" s="7">
        <v>0.30299999999999999</v>
      </c>
      <c r="O447" s="32">
        <v>0.45</v>
      </c>
      <c r="P447" s="7">
        <v>0.1343</v>
      </c>
      <c r="Q447" s="8">
        <v>6</v>
      </c>
      <c r="R447" s="8">
        <v>75</v>
      </c>
      <c r="S447" s="8">
        <f>SUM(Dataset_AFinal[[#This Row],[Casual_user]:[Registered_user]])</f>
        <v>81</v>
      </c>
    </row>
    <row r="448" spans="1:19" x14ac:dyDescent="0.3">
      <c r="A448" s="4">
        <v>447</v>
      </c>
      <c r="B448" s="7" t="s">
        <v>98</v>
      </c>
      <c r="C448" s="6" t="s">
        <v>78</v>
      </c>
      <c r="D448" s="6" t="s">
        <v>79</v>
      </c>
      <c r="E448" s="6" t="s">
        <v>31</v>
      </c>
      <c r="F448" s="35">
        <v>15</v>
      </c>
      <c r="G448" s="15" t="str">
        <f t="shared" si="6"/>
        <v>Afternoon</v>
      </c>
      <c r="H448" s="6" t="b">
        <v>0</v>
      </c>
      <c r="I448" s="6" t="s">
        <v>57</v>
      </c>
      <c r="J448" s="6" t="str">
        <f>IF(OR(Dataset_AFinal[[#This Row],[Weekday]]="Sat",Dataset_AFinal[[#This Row],[Weekday]]="Sun"),"Weekend", "Weekday")</f>
        <v>Weekday</v>
      </c>
      <c r="K448" s="6" t="s">
        <v>33</v>
      </c>
      <c r="L448" s="6">
        <v>0.32</v>
      </c>
      <c r="M448" s="35" t="s">
        <v>41</v>
      </c>
      <c r="N448" s="7">
        <v>0.31819999999999998</v>
      </c>
      <c r="O448" s="32">
        <v>0.45</v>
      </c>
      <c r="P448" s="7">
        <v>0.19400000000000001</v>
      </c>
      <c r="Q448" s="8">
        <v>8</v>
      </c>
      <c r="R448" s="8">
        <v>62</v>
      </c>
      <c r="S448" s="8">
        <f>SUM(Dataset_AFinal[[#This Row],[Casual_user]:[Registered_user]])</f>
        <v>70</v>
      </c>
    </row>
    <row r="449" spans="1:19" x14ac:dyDescent="0.3">
      <c r="A449" s="4">
        <v>448</v>
      </c>
      <c r="B449" s="7" t="s">
        <v>98</v>
      </c>
      <c r="C449" s="6" t="s">
        <v>78</v>
      </c>
      <c r="D449" s="6" t="s">
        <v>79</v>
      </c>
      <c r="E449" s="6" t="s">
        <v>31</v>
      </c>
      <c r="F449" s="35">
        <v>16</v>
      </c>
      <c r="G449" s="15" t="str">
        <f t="shared" si="6"/>
        <v>Afternoon</v>
      </c>
      <c r="H449" s="6" t="b">
        <v>0</v>
      </c>
      <c r="I449" s="6" t="s">
        <v>57</v>
      </c>
      <c r="J449" s="6" t="str">
        <f>IF(OR(Dataset_AFinal[[#This Row],[Weekday]]="Sat",Dataset_AFinal[[#This Row],[Weekday]]="Sun"),"Weekend", "Weekday")</f>
        <v>Weekday</v>
      </c>
      <c r="K449" s="6" t="s">
        <v>33</v>
      </c>
      <c r="L449" s="6">
        <v>0.3</v>
      </c>
      <c r="M449" s="35" t="s">
        <v>41</v>
      </c>
      <c r="N449" s="7">
        <v>0.30299999999999999</v>
      </c>
      <c r="O449" s="32">
        <v>0.49</v>
      </c>
      <c r="P449" s="7">
        <v>0.1343</v>
      </c>
      <c r="Q449" s="8">
        <v>8</v>
      </c>
      <c r="R449" s="8">
        <v>83</v>
      </c>
      <c r="S449" s="8">
        <f>SUM(Dataset_AFinal[[#This Row],[Casual_user]:[Registered_user]])</f>
        <v>91</v>
      </c>
    </row>
    <row r="450" spans="1:19" x14ac:dyDescent="0.3">
      <c r="A450" s="4">
        <v>449</v>
      </c>
      <c r="B450" s="7" t="s">
        <v>98</v>
      </c>
      <c r="C450" s="6" t="s">
        <v>78</v>
      </c>
      <c r="D450" s="6" t="s">
        <v>79</v>
      </c>
      <c r="E450" s="6" t="s">
        <v>31</v>
      </c>
      <c r="F450" s="35">
        <v>17</v>
      </c>
      <c r="G450" s="15" t="str">
        <f t="shared" ref="G450:G513" si="7">IF(F450&lt;6,"Night",IF(F450&lt;12,"Morning",IF(F450&lt;18,"Afternoon","Evening")))</f>
        <v>Afternoon</v>
      </c>
      <c r="H450" s="6" t="b">
        <v>0</v>
      </c>
      <c r="I450" s="6" t="s">
        <v>57</v>
      </c>
      <c r="J450" s="6" t="str">
        <f>IF(OR(Dataset_AFinal[[#This Row],[Weekday]]="Sat",Dataset_AFinal[[#This Row],[Weekday]]="Sun"),"Weekend", "Weekday")</f>
        <v>Weekday</v>
      </c>
      <c r="K450" s="6" t="s">
        <v>33</v>
      </c>
      <c r="L450" s="6">
        <v>0.3</v>
      </c>
      <c r="M450" s="35" t="s">
        <v>41</v>
      </c>
      <c r="N450" s="7">
        <v>0.31819999999999998</v>
      </c>
      <c r="O450" s="32">
        <v>0.49</v>
      </c>
      <c r="P450" s="7">
        <v>0.1045</v>
      </c>
      <c r="Q450" s="8">
        <v>8</v>
      </c>
      <c r="R450" s="8">
        <v>207</v>
      </c>
      <c r="S450" s="8">
        <f>SUM(Dataset_AFinal[[#This Row],[Casual_user]:[Registered_user]])</f>
        <v>215</v>
      </c>
    </row>
    <row r="451" spans="1:19" x14ac:dyDescent="0.3">
      <c r="A451" s="4">
        <v>450</v>
      </c>
      <c r="B451" s="7" t="s">
        <v>98</v>
      </c>
      <c r="C451" s="6" t="s">
        <v>78</v>
      </c>
      <c r="D451" s="6" t="s">
        <v>79</v>
      </c>
      <c r="E451" s="6" t="s">
        <v>31</v>
      </c>
      <c r="F451" s="35">
        <v>18</v>
      </c>
      <c r="G451" s="15" t="str">
        <f t="shared" si="7"/>
        <v>Evening</v>
      </c>
      <c r="H451" s="6" t="b">
        <v>0</v>
      </c>
      <c r="I451" s="6" t="s">
        <v>57</v>
      </c>
      <c r="J451" s="6" t="str">
        <f>IF(OR(Dataset_AFinal[[#This Row],[Weekday]]="Sat",Dataset_AFinal[[#This Row],[Weekday]]="Sun"),"Weekend", "Weekday")</f>
        <v>Weekday</v>
      </c>
      <c r="K451" s="6" t="s">
        <v>33</v>
      </c>
      <c r="L451" s="6">
        <v>0.26</v>
      </c>
      <c r="M451" s="35" t="s">
        <v>41</v>
      </c>
      <c r="N451" s="7">
        <v>0.2576</v>
      </c>
      <c r="O451" s="32">
        <v>0.56000000000000005</v>
      </c>
      <c r="P451" s="7">
        <v>0.19400000000000001</v>
      </c>
      <c r="Q451" s="8">
        <v>1</v>
      </c>
      <c r="R451" s="8">
        <v>184</v>
      </c>
      <c r="S451" s="8">
        <f>SUM(Dataset_AFinal[[#This Row],[Casual_user]:[Registered_user]])</f>
        <v>185</v>
      </c>
    </row>
    <row r="452" spans="1:19" x14ac:dyDescent="0.3">
      <c r="A452" s="4">
        <v>451</v>
      </c>
      <c r="B452" s="7" t="s">
        <v>98</v>
      </c>
      <c r="C452" s="6" t="s">
        <v>78</v>
      </c>
      <c r="D452" s="6" t="s">
        <v>79</v>
      </c>
      <c r="E452" s="6" t="s">
        <v>31</v>
      </c>
      <c r="F452" s="35">
        <v>19</v>
      </c>
      <c r="G452" s="15" t="str">
        <f t="shared" si="7"/>
        <v>Evening</v>
      </c>
      <c r="H452" s="6" t="b">
        <v>0</v>
      </c>
      <c r="I452" s="6" t="s">
        <v>57</v>
      </c>
      <c r="J452" s="6" t="str">
        <f>IF(OR(Dataset_AFinal[[#This Row],[Weekday]]="Sat",Dataset_AFinal[[#This Row],[Weekday]]="Sun"),"Weekend", "Weekday")</f>
        <v>Weekday</v>
      </c>
      <c r="K452" s="6" t="s">
        <v>32</v>
      </c>
      <c r="L452" s="6">
        <v>0.26</v>
      </c>
      <c r="M452" s="35" t="s">
        <v>41</v>
      </c>
      <c r="N452" s="7">
        <v>0.2273</v>
      </c>
      <c r="O452" s="32">
        <v>0.56000000000000005</v>
      </c>
      <c r="P452" s="7">
        <v>0.32840000000000003</v>
      </c>
      <c r="Q452" s="8">
        <v>6</v>
      </c>
      <c r="R452" s="8">
        <v>146</v>
      </c>
      <c r="S452" s="8">
        <f>SUM(Dataset_AFinal[[#This Row],[Casual_user]:[Registered_user]])</f>
        <v>152</v>
      </c>
    </row>
    <row r="453" spans="1:19" x14ac:dyDescent="0.3">
      <c r="A453" s="4">
        <v>452</v>
      </c>
      <c r="B453" s="7" t="s">
        <v>98</v>
      </c>
      <c r="C453" s="6" t="s">
        <v>78</v>
      </c>
      <c r="D453" s="6" t="s">
        <v>79</v>
      </c>
      <c r="E453" s="6" t="s">
        <v>31</v>
      </c>
      <c r="F453" s="35">
        <v>20</v>
      </c>
      <c r="G453" s="15" t="str">
        <f t="shared" si="7"/>
        <v>Evening</v>
      </c>
      <c r="H453" s="6" t="b">
        <v>0</v>
      </c>
      <c r="I453" s="6" t="s">
        <v>57</v>
      </c>
      <c r="J453" s="6" t="str">
        <f>IF(OR(Dataset_AFinal[[#This Row],[Weekday]]="Sat",Dataset_AFinal[[#This Row],[Weekday]]="Sun"),"Weekend", "Weekday")</f>
        <v>Weekday</v>
      </c>
      <c r="K453" s="6" t="s">
        <v>33</v>
      </c>
      <c r="L453" s="6">
        <v>0.26</v>
      </c>
      <c r="M453" s="35" t="s">
        <v>41</v>
      </c>
      <c r="N453" s="7">
        <v>0.2424</v>
      </c>
      <c r="O453" s="32">
        <v>0.6</v>
      </c>
      <c r="P453" s="7">
        <v>0.28360000000000002</v>
      </c>
      <c r="Q453" s="8">
        <v>2</v>
      </c>
      <c r="R453" s="8">
        <v>124</v>
      </c>
      <c r="S453" s="8">
        <f>SUM(Dataset_AFinal[[#This Row],[Casual_user]:[Registered_user]])</f>
        <v>126</v>
      </c>
    </row>
    <row r="454" spans="1:19" x14ac:dyDescent="0.3">
      <c r="A454" s="4">
        <v>453</v>
      </c>
      <c r="B454" s="7" t="s">
        <v>98</v>
      </c>
      <c r="C454" s="6" t="s">
        <v>78</v>
      </c>
      <c r="D454" s="6" t="s">
        <v>79</v>
      </c>
      <c r="E454" s="6" t="s">
        <v>31</v>
      </c>
      <c r="F454" s="35">
        <v>21</v>
      </c>
      <c r="G454" s="15" t="str">
        <f t="shared" si="7"/>
        <v>Evening</v>
      </c>
      <c r="H454" s="6" t="b">
        <v>0</v>
      </c>
      <c r="I454" s="6" t="s">
        <v>57</v>
      </c>
      <c r="J454" s="6" t="str">
        <f>IF(OR(Dataset_AFinal[[#This Row],[Weekday]]="Sat",Dataset_AFinal[[#This Row],[Weekday]]="Sun"),"Weekend", "Weekday")</f>
        <v>Weekday</v>
      </c>
      <c r="K454" s="6" t="s">
        <v>33</v>
      </c>
      <c r="L454" s="6">
        <v>0.24</v>
      </c>
      <c r="M454" s="35" t="s">
        <v>40</v>
      </c>
      <c r="N454" s="7">
        <v>0.2273</v>
      </c>
      <c r="O454" s="32">
        <v>0.6</v>
      </c>
      <c r="P454" s="7">
        <v>0.25369999999999998</v>
      </c>
      <c r="Q454" s="8">
        <v>3</v>
      </c>
      <c r="R454" s="8">
        <v>54</v>
      </c>
      <c r="S454" s="8">
        <f>SUM(Dataset_AFinal[[#This Row],[Casual_user]:[Registered_user]])</f>
        <v>57</v>
      </c>
    </row>
    <row r="455" spans="1:19" x14ac:dyDescent="0.3">
      <c r="A455" s="4">
        <v>454</v>
      </c>
      <c r="B455" s="7" t="s">
        <v>98</v>
      </c>
      <c r="C455" s="6" t="s">
        <v>78</v>
      </c>
      <c r="D455" s="6" t="s">
        <v>79</v>
      </c>
      <c r="E455" s="6" t="s">
        <v>31</v>
      </c>
      <c r="F455" s="35">
        <v>22</v>
      </c>
      <c r="G455" s="15" t="str">
        <f t="shared" si="7"/>
        <v>Evening</v>
      </c>
      <c r="H455" s="6" t="b">
        <v>0</v>
      </c>
      <c r="I455" s="6" t="s">
        <v>57</v>
      </c>
      <c r="J455" s="6" t="str">
        <f>IF(OR(Dataset_AFinal[[#This Row],[Weekday]]="Sat",Dataset_AFinal[[#This Row],[Weekday]]="Sun"),"Weekend", "Weekday")</f>
        <v>Weekday</v>
      </c>
      <c r="K455" s="6" t="s">
        <v>33</v>
      </c>
      <c r="L455" s="6">
        <v>0.24</v>
      </c>
      <c r="M455" s="35" t="s">
        <v>40</v>
      </c>
      <c r="N455" s="7">
        <v>0.21210000000000001</v>
      </c>
      <c r="O455" s="32">
        <v>0.65</v>
      </c>
      <c r="P455" s="7">
        <v>0.28360000000000002</v>
      </c>
      <c r="Q455" s="8">
        <v>0</v>
      </c>
      <c r="R455" s="8">
        <v>56</v>
      </c>
      <c r="S455" s="8">
        <f>SUM(Dataset_AFinal[[#This Row],[Casual_user]:[Registered_user]])</f>
        <v>56</v>
      </c>
    </row>
    <row r="456" spans="1:19" x14ac:dyDescent="0.3">
      <c r="A456" s="4">
        <v>455</v>
      </c>
      <c r="B456" s="7" t="s">
        <v>98</v>
      </c>
      <c r="C456" s="6" t="s">
        <v>78</v>
      </c>
      <c r="D456" s="6" t="s">
        <v>79</v>
      </c>
      <c r="E456" s="6" t="s">
        <v>31</v>
      </c>
      <c r="F456" s="35">
        <v>23</v>
      </c>
      <c r="G456" s="15" t="str">
        <f t="shared" si="7"/>
        <v>Evening</v>
      </c>
      <c r="H456" s="6" t="b">
        <v>0</v>
      </c>
      <c r="I456" s="6" t="s">
        <v>57</v>
      </c>
      <c r="J456" s="6" t="str">
        <f>IF(OR(Dataset_AFinal[[#This Row],[Weekday]]="Sat",Dataset_AFinal[[#This Row],[Weekday]]="Sun"),"Weekend", "Weekday")</f>
        <v>Weekday</v>
      </c>
      <c r="K456" s="6" t="s">
        <v>33</v>
      </c>
      <c r="L456" s="6">
        <v>0.24</v>
      </c>
      <c r="M456" s="35" t="s">
        <v>40</v>
      </c>
      <c r="N456" s="7">
        <v>0.21210000000000001</v>
      </c>
      <c r="O456" s="32">
        <v>0.65</v>
      </c>
      <c r="P456" s="7">
        <v>0.32840000000000003</v>
      </c>
      <c r="Q456" s="8">
        <v>3</v>
      </c>
      <c r="R456" s="8">
        <v>28</v>
      </c>
      <c r="S456" s="8">
        <f>SUM(Dataset_AFinal[[#This Row],[Casual_user]:[Registered_user]])</f>
        <v>31</v>
      </c>
    </row>
    <row r="457" spans="1:19" x14ac:dyDescent="0.3">
      <c r="A457" s="4">
        <v>456</v>
      </c>
      <c r="B457" s="7" t="s">
        <v>99</v>
      </c>
      <c r="C457" s="6" t="s">
        <v>78</v>
      </c>
      <c r="D457" s="6" t="s">
        <v>79</v>
      </c>
      <c r="E457" s="6" t="s">
        <v>31</v>
      </c>
      <c r="F457" s="35">
        <v>0</v>
      </c>
      <c r="G457" s="15" t="str">
        <f t="shared" si="7"/>
        <v>Night</v>
      </c>
      <c r="H457" s="6" t="b">
        <v>0</v>
      </c>
      <c r="I457" s="6" t="s">
        <v>58</v>
      </c>
      <c r="J457" s="6" t="str">
        <f>IF(OR(Dataset_AFinal[[#This Row],[Weekday]]="Sat",Dataset_AFinal[[#This Row],[Weekday]]="Sun"),"Weekend", "Weekday")</f>
        <v>Weekday</v>
      </c>
      <c r="K457" s="6" t="s">
        <v>33</v>
      </c>
      <c r="L457" s="6">
        <v>0.24</v>
      </c>
      <c r="M457" s="35" t="s">
        <v>40</v>
      </c>
      <c r="N457" s="7">
        <v>0.2273</v>
      </c>
      <c r="O457" s="32">
        <v>0.7</v>
      </c>
      <c r="P457" s="7">
        <v>0.25369999999999998</v>
      </c>
      <c r="Q457" s="8">
        <v>1</v>
      </c>
      <c r="R457" s="8">
        <v>20</v>
      </c>
      <c r="S457" s="8">
        <f>SUM(Dataset_AFinal[[#This Row],[Casual_user]:[Registered_user]])</f>
        <v>21</v>
      </c>
    </row>
    <row r="458" spans="1:19" x14ac:dyDescent="0.3">
      <c r="A458" s="4">
        <v>457</v>
      </c>
      <c r="B458" s="7" t="s">
        <v>99</v>
      </c>
      <c r="C458" s="6" t="s">
        <v>78</v>
      </c>
      <c r="D458" s="6" t="s">
        <v>79</v>
      </c>
      <c r="E458" s="6" t="s">
        <v>31</v>
      </c>
      <c r="F458" s="35">
        <v>1</v>
      </c>
      <c r="G458" s="15" t="str">
        <f t="shared" si="7"/>
        <v>Night</v>
      </c>
      <c r="H458" s="6" t="b">
        <v>0</v>
      </c>
      <c r="I458" s="6" t="s">
        <v>58</v>
      </c>
      <c r="J458" s="6" t="str">
        <f>IF(OR(Dataset_AFinal[[#This Row],[Weekday]]="Sat",Dataset_AFinal[[#This Row],[Weekday]]="Sun"),"Weekend", "Weekday")</f>
        <v>Weekday</v>
      </c>
      <c r="K458" s="6" t="s">
        <v>33</v>
      </c>
      <c r="L458" s="6">
        <v>0.24</v>
      </c>
      <c r="M458" s="35" t="s">
        <v>40</v>
      </c>
      <c r="N458" s="7">
        <v>0.2273</v>
      </c>
      <c r="O458" s="32">
        <v>0.7</v>
      </c>
      <c r="P458" s="7">
        <v>0.25369999999999998</v>
      </c>
      <c r="Q458" s="8">
        <v>0</v>
      </c>
      <c r="R458" s="8">
        <v>6</v>
      </c>
      <c r="S458" s="8">
        <f>SUM(Dataset_AFinal[[#This Row],[Casual_user]:[Registered_user]])</f>
        <v>6</v>
      </c>
    </row>
    <row r="459" spans="1:19" x14ac:dyDescent="0.3">
      <c r="A459" s="4">
        <v>458</v>
      </c>
      <c r="B459" s="7" t="s">
        <v>99</v>
      </c>
      <c r="C459" s="6" t="s">
        <v>78</v>
      </c>
      <c r="D459" s="6" t="s">
        <v>79</v>
      </c>
      <c r="E459" s="6" t="s">
        <v>31</v>
      </c>
      <c r="F459" s="35">
        <v>2</v>
      </c>
      <c r="G459" s="15" t="str">
        <f t="shared" si="7"/>
        <v>Night</v>
      </c>
      <c r="H459" s="6" t="b">
        <v>0</v>
      </c>
      <c r="I459" s="6" t="s">
        <v>58</v>
      </c>
      <c r="J459" s="6" t="str">
        <f>IF(OR(Dataset_AFinal[[#This Row],[Weekday]]="Sat",Dataset_AFinal[[#This Row],[Weekday]]="Sun"),"Weekend", "Weekday")</f>
        <v>Weekday</v>
      </c>
      <c r="K459" s="6" t="s">
        <v>34</v>
      </c>
      <c r="L459" s="6">
        <v>0.24</v>
      </c>
      <c r="M459" s="35" t="s">
        <v>40</v>
      </c>
      <c r="N459" s="7">
        <v>0.2424</v>
      </c>
      <c r="O459" s="32">
        <v>0.75</v>
      </c>
      <c r="P459" s="7">
        <v>0.16420000000000001</v>
      </c>
      <c r="Q459" s="8">
        <v>0</v>
      </c>
      <c r="R459" s="8">
        <v>2</v>
      </c>
      <c r="S459" s="8">
        <f>SUM(Dataset_AFinal[[#This Row],[Casual_user]:[Registered_user]])</f>
        <v>2</v>
      </c>
    </row>
    <row r="460" spans="1:19" x14ac:dyDescent="0.3">
      <c r="A460" s="4">
        <v>459</v>
      </c>
      <c r="B460" s="7" t="s">
        <v>99</v>
      </c>
      <c r="C460" s="6" t="s">
        <v>78</v>
      </c>
      <c r="D460" s="6" t="s">
        <v>79</v>
      </c>
      <c r="E460" s="6" t="s">
        <v>31</v>
      </c>
      <c r="F460" s="35">
        <v>3</v>
      </c>
      <c r="G460" s="15" t="str">
        <f t="shared" si="7"/>
        <v>Night</v>
      </c>
      <c r="H460" s="6" t="b">
        <v>0</v>
      </c>
      <c r="I460" s="6" t="s">
        <v>58</v>
      </c>
      <c r="J460" s="6" t="str">
        <f>IF(OR(Dataset_AFinal[[#This Row],[Weekday]]="Sat",Dataset_AFinal[[#This Row],[Weekday]]="Sun"),"Weekend", "Weekday")</f>
        <v>Weekday</v>
      </c>
      <c r="K460" s="6" t="s">
        <v>34</v>
      </c>
      <c r="L460" s="6">
        <v>0.22</v>
      </c>
      <c r="M460" s="35" t="s">
        <v>40</v>
      </c>
      <c r="N460" s="7">
        <v>0.21210000000000001</v>
      </c>
      <c r="O460" s="32">
        <v>0.8</v>
      </c>
      <c r="P460" s="7">
        <v>0.29849999999999999</v>
      </c>
      <c r="Q460" s="8">
        <v>0</v>
      </c>
      <c r="R460" s="8">
        <v>1</v>
      </c>
      <c r="S460" s="8">
        <f>SUM(Dataset_AFinal[[#This Row],[Casual_user]:[Registered_user]])</f>
        <v>1</v>
      </c>
    </row>
    <row r="461" spans="1:19" x14ac:dyDescent="0.3">
      <c r="A461" s="4">
        <v>460</v>
      </c>
      <c r="B461" s="7" t="s">
        <v>99</v>
      </c>
      <c r="C461" s="6" t="s">
        <v>78</v>
      </c>
      <c r="D461" s="6" t="s">
        <v>79</v>
      </c>
      <c r="E461" s="6" t="s">
        <v>31</v>
      </c>
      <c r="F461" s="35">
        <v>4</v>
      </c>
      <c r="G461" s="15" t="str">
        <f t="shared" si="7"/>
        <v>Night</v>
      </c>
      <c r="H461" s="6" t="b">
        <v>0</v>
      </c>
      <c r="I461" s="6" t="s">
        <v>58</v>
      </c>
      <c r="J461" s="6" t="str">
        <f>IF(OR(Dataset_AFinal[[#This Row],[Weekday]]="Sat",Dataset_AFinal[[#This Row],[Weekday]]="Sun"),"Weekend", "Weekday")</f>
        <v>Weekday</v>
      </c>
      <c r="K461" s="6" t="s">
        <v>33</v>
      </c>
      <c r="L461" s="6">
        <v>0.22</v>
      </c>
      <c r="M461" s="35" t="s">
        <v>40</v>
      </c>
      <c r="N461" s="7">
        <v>0.2576</v>
      </c>
      <c r="O461" s="32">
        <v>0.87</v>
      </c>
      <c r="P461" s="7">
        <v>8.9599999999999999E-2</v>
      </c>
      <c r="Q461" s="8">
        <v>0</v>
      </c>
      <c r="R461" s="8">
        <v>1</v>
      </c>
      <c r="S461" s="8">
        <f>SUM(Dataset_AFinal[[#This Row],[Casual_user]:[Registered_user]])</f>
        <v>1</v>
      </c>
    </row>
    <row r="462" spans="1:19" x14ac:dyDescent="0.3">
      <c r="A462" s="4">
        <v>461</v>
      </c>
      <c r="B462" s="7" t="s">
        <v>99</v>
      </c>
      <c r="C462" s="6" t="s">
        <v>78</v>
      </c>
      <c r="D462" s="6" t="s">
        <v>79</v>
      </c>
      <c r="E462" s="6" t="s">
        <v>31</v>
      </c>
      <c r="F462" s="35">
        <v>5</v>
      </c>
      <c r="G462" s="15" t="str">
        <f t="shared" si="7"/>
        <v>Night</v>
      </c>
      <c r="H462" s="6" t="b">
        <v>0</v>
      </c>
      <c r="I462" s="6" t="s">
        <v>58</v>
      </c>
      <c r="J462" s="6" t="str">
        <f>IF(OR(Dataset_AFinal[[#This Row],[Weekday]]="Sat",Dataset_AFinal[[#This Row],[Weekday]]="Sun"),"Weekend", "Weekday")</f>
        <v>Weekday</v>
      </c>
      <c r="K462" s="6" t="s">
        <v>32</v>
      </c>
      <c r="L462" s="6">
        <v>0.24</v>
      </c>
      <c r="M462" s="35" t="s">
        <v>40</v>
      </c>
      <c r="N462" s="7">
        <v>0.19700000000000001</v>
      </c>
      <c r="O462" s="32">
        <v>0.6</v>
      </c>
      <c r="P462" s="7">
        <v>0.41789999999999999</v>
      </c>
      <c r="Q462" s="8">
        <v>1</v>
      </c>
      <c r="R462" s="8">
        <v>4</v>
      </c>
      <c r="S462" s="8">
        <f>SUM(Dataset_AFinal[[#This Row],[Casual_user]:[Registered_user]])</f>
        <v>5</v>
      </c>
    </row>
    <row r="463" spans="1:19" x14ac:dyDescent="0.3">
      <c r="A463" s="4">
        <v>462</v>
      </c>
      <c r="B463" s="7" t="s">
        <v>99</v>
      </c>
      <c r="C463" s="6" t="s">
        <v>78</v>
      </c>
      <c r="D463" s="6" t="s">
        <v>79</v>
      </c>
      <c r="E463" s="6" t="s">
        <v>31</v>
      </c>
      <c r="F463" s="35">
        <v>6</v>
      </c>
      <c r="G463" s="15" t="str">
        <f t="shared" si="7"/>
        <v>Morning</v>
      </c>
      <c r="H463" s="6" t="b">
        <v>0</v>
      </c>
      <c r="I463" s="6" t="s">
        <v>58</v>
      </c>
      <c r="J463" s="6" t="str">
        <f>IF(OR(Dataset_AFinal[[#This Row],[Weekday]]="Sat",Dataset_AFinal[[#This Row],[Weekday]]="Sun"),"Weekend", "Weekday")</f>
        <v>Weekday</v>
      </c>
      <c r="K463" s="6" t="s">
        <v>32</v>
      </c>
      <c r="L463" s="6">
        <v>0.22</v>
      </c>
      <c r="M463" s="35" t="s">
        <v>40</v>
      </c>
      <c r="N463" s="7">
        <v>0.21210000000000001</v>
      </c>
      <c r="O463" s="32">
        <v>0.55000000000000004</v>
      </c>
      <c r="P463" s="7">
        <v>0.25369999999999998</v>
      </c>
      <c r="Q463" s="8">
        <v>0</v>
      </c>
      <c r="R463" s="8">
        <v>27</v>
      </c>
      <c r="S463" s="8">
        <f>SUM(Dataset_AFinal[[#This Row],[Casual_user]:[Registered_user]])</f>
        <v>27</v>
      </c>
    </row>
    <row r="464" spans="1:19" x14ac:dyDescent="0.3">
      <c r="A464" s="4">
        <v>463</v>
      </c>
      <c r="B464" s="7" t="s">
        <v>99</v>
      </c>
      <c r="C464" s="6" t="s">
        <v>78</v>
      </c>
      <c r="D464" s="6" t="s">
        <v>79</v>
      </c>
      <c r="E464" s="6" t="s">
        <v>31</v>
      </c>
      <c r="F464" s="35">
        <v>7</v>
      </c>
      <c r="G464" s="15" t="str">
        <f t="shared" si="7"/>
        <v>Morning</v>
      </c>
      <c r="H464" s="6" t="b">
        <v>0</v>
      </c>
      <c r="I464" s="6" t="s">
        <v>58</v>
      </c>
      <c r="J464" s="6" t="str">
        <f>IF(OR(Dataset_AFinal[[#This Row],[Weekday]]="Sat",Dataset_AFinal[[#This Row],[Weekday]]="Sun"),"Weekend", "Weekday")</f>
        <v>Weekday</v>
      </c>
      <c r="K464" s="6" t="s">
        <v>32</v>
      </c>
      <c r="L464" s="6">
        <v>0.2</v>
      </c>
      <c r="M464" s="35" t="s">
        <v>40</v>
      </c>
      <c r="N464" s="7">
        <v>0.18179999999999999</v>
      </c>
      <c r="O464" s="32">
        <v>0.51</v>
      </c>
      <c r="P464" s="7">
        <v>0.28360000000000002</v>
      </c>
      <c r="Q464" s="8">
        <v>2</v>
      </c>
      <c r="R464" s="8">
        <v>66</v>
      </c>
      <c r="S464" s="8">
        <f>SUM(Dataset_AFinal[[#This Row],[Casual_user]:[Registered_user]])</f>
        <v>68</v>
      </c>
    </row>
    <row r="465" spans="1:19" x14ac:dyDescent="0.3">
      <c r="A465" s="4">
        <v>464</v>
      </c>
      <c r="B465" s="7" t="s">
        <v>99</v>
      </c>
      <c r="C465" s="6" t="s">
        <v>78</v>
      </c>
      <c r="D465" s="6" t="s">
        <v>79</v>
      </c>
      <c r="E465" s="6" t="s">
        <v>31</v>
      </c>
      <c r="F465" s="35">
        <v>8</v>
      </c>
      <c r="G465" s="15" t="str">
        <f t="shared" si="7"/>
        <v>Morning</v>
      </c>
      <c r="H465" s="6" t="b">
        <v>0</v>
      </c>
      <c r="I465" s="6" t="s">
        <v>58</v>
      </c>
      <c r="J465" s="6" t="str">
        <f>IF(OR(Dataset_AFinal[[#This Row],[Weekday]]="Sat",Dataset_AFinal[[#This Row],[Weekday]]="Sun"),"Weekend", "Weekday")</f>
        <v>Weekday</v>
      </c>
      <c r="K465" s="6" t="s">
        <v>32</v>
      </c>
      <c r="L465" s="6">
        <v>0.2</v>
      </c>
      <c r="M465" s="35" t="s">
        <v>40</v>
      </c>
      <c r="N465" s="7">
        <v>0.18179999999999999</v>
      </c>
      <c r="O465" s="32">
        <v>0.47</v>
      </c>
      <c r="P465" s="7">
        <v>0.32840000000000003</v>
      </c>
      <c r="Q465" s="8">
        <v>7</v>
      </c>
      <c r="R465" s="8">
        <v>210</v>
      </c>
      <c r="S465" s="8">
        <f>SUM(Dataset_AFinal[[#This Row],[Casual_user]:[Registered_user]])</f>
        <v>217</v>
      </c>
    </row>
    <row r="466" spans="1:19" x14ac:dyDescent="0.3">
      <c r="A466" s="4">
        <v>465</v>
      </c>
      <c r="B466" s="7" t="s">
        <v>99</v>
      </c>
      <c r="C466" s="6" t="s">
        <v>78</v>
      </c>
      <c r="D466" s="6" t="s">
        <v>79</v>
      </c>
      <c r="E466" s="6" t="s">
        <v>31</v>
      </c>
      <c r="F466" s="35">
        <v>9</v>
      </c>
      <c r="G466" s="15" t="str">
        <f t="shared" si="7"/>
        <v>Morning</v>
      </c>
      <c r="H466" s="6" t="b">
        <v>0</v>
      </c>
      <c r="I466" s="6" t="s">
        <v>58</v>
      </c>
      <c r="J466" s="6" t="str">
        <f>IF(OR(Dataset_AFinal[[#This Row],[Weekday]]="Sat",Dataset_AFinal[[#This Row],[Weekday]]="Sun"),"Weekend", "Weekday")</f>
        <v>Weekday</v>
      </c>
      <c r="K466" s="6" t="s">
        <v>32</v>
      </c>
      <c r="L466" s="6">
        <v>0.2</v>
      </c>
      <c r="M466" s="35" t="s">
        <v>40</v>
      </c>
      <c r="N466" s="7">
        <v>0.18179999999999999</v>
      </c>
      <c r="O466" s="32">
        <v>0.51</v>
      </c>
      <c r="P466" s="7">
        <v>0.35820000000000002</v>
      </c>
      <c r="Q466" s="8">
        <v>7</v>
      </c>
      <c r="R466" s="8">
        <v>159</v>
      </c>
      <c r="S466" s="8">
        <f>SUM(Dataset_AFinal[[#This Row],[Casual_user]:[Registered_user]])</f>
        <v>166</v>
      </c>
    </row>
    <row r="467" spans="1:19" x14ac:dyDescent="0.3">
      <c r="A467" s="4">
        <v>466</v>
      </c>
      <c r="B467" s="7" t="s">
        <v>99</v>
      </c>
      <c r="C467" s="6" t="s">
        <v>78</v>
      </c>
      <c r="D467" s="6" t="s">
        <v>79</v>
      </c>
      <c r="E467" s="6" t="s">
        <v>31</v>
      </c>
      <c r="F467" s="35">
        <v>10</v>
      </c>
      <c r="G467" s="15" t="str">
        <f t="shared" si="7"/>
        <v>Morning</v>
      </c>
      <c r="H467" s="6" t="b">
        <v>0</v>
      </c>
      <c r="I467" s="6" t="s">
        <v>58</v>
      </c>
      <c r="J467" s="6" t="str">
        <f>IF(OR(Dataset_AFinal[[#This Row],[Weekday]]="Sat",Dataset_AFinal[[#This Row],[Weekday]]="Sun"),"Weekend", "Weekday")</f>
        <v>Weekday</v>
      </c>
      <c r="K467" s="6" t="s">
        <v>32</v>
      </c>
      <c r="L467" s="6">
        <v>0.2</v>
      </c>
      <c r="M467" s="35" t="s">
        <v>40</v>
      </c>
      <c r="N467" s="7">
        <v>0.16669999999999999</v>
      </c>
      <c r="O467" s="32">
        <v>0.47</v>
      </c>
      <c r="P467" s="7">
        <v>0.4627</v>
      </c>
      <c r="Q467" s="8">
        <v>6</v>
      </c>
      <c r="R467" s="8">
        <v>57</v>
      </c>
      <c r="S467" s="8">
        <f>SUM(Dataset_AFinal[[#This Row],[Casual_user]:[Registered_user]])</f>
        <v>63</v>
      </c>
    </row>
    <row r="468" spans="1:19" x14ac:dyDescent="0.3">
      <c r="A468" s="4">
        <v>467</v>
      </c>
      <c r="B468" s="7" t="s">
        <v>99</v>
      </c>
      <c r="C468" s="6" t="s">
        <v>78</v>
      </c>
      <c r="D468" s="6" t="s">
        <v>79</v>
      </c>
      <c r="E468" s="6" t="s">
        <v>31</v>
      </c>
      <c r="F468" s="35">
        <v>11</v>
      </c>
      <c r="G468" s="15" t="str">
        <f t="shared" si="7"/>
        <v>Morning</v>
      </c>
      <c r="H468" s="6" t="b">
        <v>0</v>
      </c>
      <c r="I468" s="6" t="s">
        <v>58</v>
      </c>
      <c r="J468" s="6" t="str">
        <f>IF(OR(Dataset_AFinal[[#This Row],[Weekday]]="Sat",Dataset_AFinal[[#This Row],[Weekday]]="Sun"),"Weekend", "Weekday")</f>
        <v>Weekday</v>
      </c>
      <c r="K468" s="6" t="s">
        <v>32</v>
      </c>
      <c r="L468" s="6">
        <v>0.22</v>
      </c>
      <c r="M468" s="35" t="s">
        <v>40</v>
      </c>
      <c r="N468" s="7">
        <v>0.18179999999999999</v>
      </c>
      <c r="O468" s="32">
        <v>0.41</v>
      </c>
      <c r="P468" s="7">
        <v>0.4627</v>
      </c>
      <c r="Q468" s="8">
        <v>6</v>
      </c>
      <c r="R468" s="8">
        <v>53</v>
      </c>
      <c r="S468" s="8">
        <f>SUM(Dataset_AFinal[[#This Row],[Casual_user]:[Registered_user]])</f>
        <v>59</v>
      </c>
    </row>
    <row r="469" spans="1:19" x14ac:dyDescent="0.3">
      <c r="A469" s="4">
        <v>468</v>
      </c>
      <c r="B469" s="7" t="s">
        <v>99</v>
      </c>
      <c r="C469" s="6" t="s">
        <v>78</v>
      </c>
      <c r="D469" s="6" t="s">
        <v>79</v>
      </c>
      <c r="E469" s="6" t="s">
        <v>31</v>
      </c>
      <c r="F469" s="35">
        <v>12</v>
      </c>
      <c r="G469" s="15" t="str">
        <f t="shared" si="7"/>
        <v>Afternoon</v>
      </c>
      <c r="H469" s="6" t="b">
        <v>0</v>
      </c>
      <c r="I469" s="6" t="s">
        <v>58</v>
      </c>
      <c r="J469" s="6" t="str">
        <f>IF(OR(Dataset_AFinal[[#This Row],[Weekday]]="Sat",Dataset_AFinal[[#This Row],[Weekday]]="Sun"),"Weekend", "Weekday")</f>
        <v>Weekday</v>
      </c>
      <c r="K469" s="6" t="s">
        <v>32</v>
      </c>
      <c r="L469" s="6">
        <v>0.22</v>
      </c>
      <c r="M469" s="35" t="s">
        <v>40</v>
      </c>
      <c r="N469" s="7">
        <v>0.18179999999999999</v>
      </c>
      <c r="O469" s="32">
        <v>0.27</v>
      </c>
      <c r="P469" s="7">
        <v>0.58209999999999995</v>
      </c>
      <c r="Q469" s="8">
        <v>11</v>
      </c>
      <c r="R469" s="8">
        <v>67</v>
      </c>
      <c r="S469" s="8">
        <f>SUM(Dataset_AFinal[[#This Row],[Casual_user]:[Registered_user]])</f>
        <v>78</v>
      </c>
    </row>
    <row r="470" spans="1:19" x14ac:dyDescent="0.3">
      <c r="A470" s="4">
        <v>469</v>
      </c>
      <c r="B470" s="7" t="s">
        <v>99</v>
      </c>
      <c r="C470" s="6" t="s">
        <v>78</v>
      </c>
      <c r="D470" s="6" t="s">
        <v>79</v>
      </c>
      <c r="E470" s="6" t="s">
        <v>31</v>
      </c>
      <c r="F470" s="35">
        <v>13</v>
      </c>
      <c r="G470" s="15" t="str">
        <f t="shared" si="7"/>
        <v>Afternoon</v>
      </c>
      <c r="H470" s="6" t="b">
        <v>0</v>
      </c>
      <c r="I470" s="6" t="s">
        <v>58</v>
      </c>
      <c r="J470" s="6" t="str">
        <f>IF(OR(Dataset_AFinal[[#This Row],[Weekday]]="Sat",Dataset_AFinal[[#This Row],[Weekday]]="Sun"),"Weekend", "Weekday")</f>
        <v>Weekday</v>
      </c>
      <c r="K470" s="6" t="s">
        <v>32</v>
      </c>
      <c r="L470" s="6">
        <v>0.2</v>
      </c>
      <c r="M470" s="35" t="s">
        <v>40</v>
      </c>
      <c r="N470" s="7">
        <v>0.1515</v>
      </c>
      <c r="O470" s="32">
        <v>0.21</v>
      </c>
      <c r="P470" s="7">
        <v>0.58209999999999995</v>
      </c>
      <c r="Q470" s="8">
        <v>8</v>
      </c>
      <c r="R470" s="8">
        <v>65</v>
      </c>
      <c r="S470" s="8">
        <f>SUM(Dataset_AFinal[[#This Row],[Casual_user]:[Registered_user]])</f>
        <v>73</v>
      </c>
    </row>
    <row r="471" spans="1:19" x14ac:dyDescent="0.3">
      <c r="A471" s="4">
        <v>470</v>
      </c>
      <c r="B471" s="7" t="s">
        <v>99</v>
      </c>
      <c r="C471" s="6" t="s">
        <v>78</v>
      </c>
      <c r="D471" s="6" t="s">
        <v>79</v>
      </c>
      <c r="E471" s="6" t="s">
        <v>31</v>
      </c>
      <c r="F471" s="35">
        <v>14</v>
      </c>
      <c r="G471" s="15" t="str">
        <f t="shared" si="7"/>
        <v>Afternoon</v>
      </c>
      <c r="H471" s="6" t="b">
        <v>0</v>
      </c>
      <c r="I471" s="6" t="s">
        <v>58</v>
      </c>
      <c r="J471" s="6" t="str">
        <f>IF(OR(Dataset_AFinal[[#This Row],[Weekday]]="Sat",Dataset_AFinal[[#This Row],[Weekday]]="Sun"),"Weekend", "Weekday")</f>
        <v>Weekday</v>
      </c>
      <c r="K471" s="6" t="s">
        <v>32</v>
      </c>
      <c r="L471" s="6">
        <v>0.2</v>
      </c>
      <c r="M471" s="35" t="s">
        <v>40</v>
      </c>
      <c r="N471" s="7">
        <v>0.1515</v>
      </c>
      <c r="O471" s="32">
        <v>0.25</v>
      </c>
      <c r="P471" s="7">
        <v>0.52239999999999998</v>
      </c>
      <c r="Q471" s="8">
        <v>6</v>
      </c>
      <c r="R471" s="8">
        <v>56</v>
      </c>
      <c r="S471" s="8">
        <f>SUM(Dataset_AFinal[[#This Row],[Casual_user]:[Registered_user]])</f>
        <v>62</v>
      </c>
    </row>
    <row r="472" spans="1:19" x14ac:dyDescent="0.3">
      <c r="A472" s="4">
        <v>471</v>
      </c>
      <c r="B472" s="7" t="s">
        <v>99</v>
      </c>
      <c r="C472" s="6" t="s">
        <v>78</v>
      </c>
      <c r="D472" s="6" t="s">
        <v>79</v>
      </c>
      <c r="E472" s="6" t="s">
        <v>31</v>
      </c>
      <c r="F472" s="35">
        <v>15</v>
      </c>
      <c r="G472" s="15" t="str">
        <f t="shared" si="7"/>
        <v>Afternoon</v>
      </c>
      <c r="H472" s="6" t="b">
        <v>0</v>
      </c>
      <c r="I472" s="6" t="s">
        <v>58</v>
      </c>
      <c r="J472" s="6" t="str">
        <f>IF(OR(Dataset_AFinal[[#This Row],[Weekday]]="Sat",Dataset_AFinal[[#This Row],[Weekday]]="Sun"),"Weekend", "Weekday")</f>
        <v>Weekday</v>
      </c>
      <c r="K472" s="6" t="s">
        <v>32</v>
      </c>
      <c r="L472" s="6">
        <v>0.16</v>
      </c>
      <c r="M472" s="35" t="s">
        <v>40</v>
      </c>
      <c r="N472" s="7">
        <v>0.1212</v>
      </c>
      <c r="O472" s="32">
        <v>0.26</v>
      </c>
      <c r="P472" s="7">
        <v>0.44779999999999998</v>
      </c>
      <c r="Q472" s="8">
        <v>4</v>
      </c>
      <c r="R472" s="8">
        <v>61</v>
      </c>
      <c r="S472" s="8">
        <f>SUM(Dataset_AFinal[[#This Row],[Casual_user]:[Registered_user]])</f>
        <v>65</v>
      </c>
    </row>
    <row r="473" spans="1:19" x14ac:dyDescent="0.3">
      <c r="A473" s="4">
        <v>472</v>
      </c>
      <c r="B473" s="7" t="s">
        <v>99</v>
      </c>
      <c r="C473" s="6" t="s">
        <v>78</v>
      </c>
      <c r="D473" s="6" t="s">
        <v>79</v>
      </c>
      <c r="E473" s="6" t="s">
        <v>31</v>
      </c>
      <c r="F473" s="35">
        <v>16</v>
      </c>
      <c r="G473" s="15" t="str">
        <f t="shared" si="7"/>
        <v>Afternoon</v>
      </c>
      <c r="H473" s="6" t="b">
        <v>0</v>
      </c>
      <c r="I473" s="6" t="s">
        <v>58</v>
      </c>
      <c r="J473" s="6" t="str">
        <f>IF(OR(Dataset_AFinal[[#This Row],[Weekday]]="Sat",Dataset_AFinal[[#This Row],[Weekday]]="Sun"),"Weekend", "Weekday")</f>
        <v>Weekday</v>
      </c>
      <c r="K473" s="6" t="s">
        <v>32</v>
      </c>
      <c r="L473" s="6">
        <v>0.16</v>
      </c>
      <c r="M473" s="35" t="s">
        <v>40</v>
      </c>
      <c r="N473" s="7">
        <v>0.13639999999999999</v>
      </c>
      <c r="O473" s="32">
        <v>0.26</v>
      </c>
      <c r="P473" s="7">
        <v>0.35820000000000002</v>
      </c>
      <c r="Q473" s="8">
        <v>0</v>
      </c>
      <c r="R473" s="8">
        <v>97</v>
      </c>
      <c r="S473" s="8">
        <f>SUM(Dataset_AFinal[[#This Row],[Casual_user]:[Registered_user]])</f>
        <v>97</v>
      </c>
    </row>
    <row r="474" spans="1:19" x14ac:dyDescent="0.3">
      <c r="A474" s="4">
        <v>473</v>
      </c>
      <c r="B474" s="7" t="s">
        <v>99</v>
      </c>
      <c r="C474" s="6" t="s">
        <v>78</v>
      </c>
      <c r="D474" s="6" t="s">
        <v>79</v>
      </c>
      <c r="E474" s="6" t="s">
        <v>31</v>
      </c>
      <c r="F474" s="35">
        <v>17</v>
      </c>
      <c r="G474" s="15" t="str">
        <f t="shared" si="7"/>
        <v>Afternoon</v>
      </c>
      <c r="H474" s="6" t="b">
        <v>0</v>
      </c>
      <c r="I474" s="6" t="s">
        <v>58</v>
      </c>
      <c r="J474" s="6" t="str">
        <f>IF(OR(Dataset_AFinal[[#This Row],[Weekday]]="Sat",Dataset_AFinal[[#This Row],[Weekday]]="Sun"),"Weekend", "Weekday")</f>
        <v>Weekday</v>
      </c>
      <c r="K474" s="6" t="s">
        <v>32</v>
      </c>
      <c r="L474" s="6">
        <v>0.14000000000000001</v>
      </c>
      <c r="M474" s="35" t="s">
        <v>44</v>
      </c>
      <c r="N474" s="7">
        <v>0.1212</v>
      </c>
      <c r="O474" s="32">
        <v>0.28000000000000003</v>
      </c>
      <c r="P474" s="7">
        <v>0.35820000000000002</v>
      </c>
      <c r="Q474" s="8">
        <v>10</v>
      </c>
      <c r="R474" s="8">
        <v>151</v>
      </c>
      <c r="S474" s="8">
        <f>SUM(Dataset_AFinal[[#This Row],[Casual_user]:[Registered_user]])</f>
        <v>161</v>
      </c>
    </row>
    <row r="475" spans="1:19" x14ac:dyDescent="0.3">
      <c r="A475" s="4">
        <v>474</v>
      </c>
      <c r="B475" s="7" t="s">
        <v>99</v>
      </c>
      <c r="C475" s="6" t="s">
        <v>78</v>
      </c>
      <c r="D475" s="6" t="s">
        <v>79</v>
      </c>
      <c r="E475" s="6" t="s">
        <v>31</v>
      </c>
      <c r="F475" s="35">
        <v>18</v>
      </c>
      <c r="G475" s="15" t="str">
        <f t="shared" si="7"/>
        <v>Evening</v>
      </c>
      <c r="H475" s="6" t="b">
        <v>0</v>
      </c>
      <c r="I475" s="6" t="s">
        <v>58</v>
      </c>
      <c r="J475" s="6" t="str">
        <f>IF(OR(Dataset_AFinal[[#This Row],[Weekday]]="Sat",Dataset_AFinal[[#This Row],[Weekday]]="Sun"),"Weekend", "Weekday")</f>
        <v>Weekday</v>
      </c>
      <c r="K475" s="6" t="s">
        <v>32</v>
      </c>
      <c r="L475" s="6">
        <v>0.12</v>
      </c>
      <c r="M475" s="35" t="s">
        <v>44</v>
      </c>
      <c r="N475" s="7">
        <v>0.1212</v>
      </c>
      <c r="O475" s="32">
        <v>0.3</v>
      </c>
      <c r="P475" s="7">
        <v>0.25369999999999998</v>
      </c>
      <c r="Q475" s="8">
        <v>1</v>
      </c>
      <c r="R475" s="8">
        <v>119</v>
      </c>
      <c r="S475" s="8">
        <f>SUM(Dataset_AFinal[[#This Row],[Casual_user]:[Registered_user]])</f>
        <v>120</v>
      </c>
    </row>
    <row r="476" spans="1:19" x14ac:dyDescent="0.3">
      <c r="A476" s="4">
        <v>475</v>
      </c>
      <c r="B476" s="7" t="s">
        <v>99</v>
      </c>
      <c r="C476" s="6" t="s">
        <v>78</v>
      </c>
      <c r="D476" s="6" t="s">
        <v>79</v>
      </c>
      <c r="E476" s="6" t="s">
        <v>31</v>
      </c>
      <c r="F476" s="35">
        <v>19</v>
      </c>
      <c r="G476" s="15" t="str">
        <f t="shared" si="7"/>
        <v>Evening</v>
      </c>
      <c r="H476" s="6" t="b">
        <v>0</v>
      </c>
      <c r="I476" s="6" t="s">
        <v>58</v>
      </c>
      <c r="J476" s="6" t="str">
        <f>IF(OR(Dataset_AFinal[[#This Row],[Weekday]]="Sat",Dataset_AFinal[[#This Row],[Weekday]]="Sun"),"Weekend", "Weekday")</f>
        <v>Weekday</v>
      </c>
      <c r="K476" s="6" t="s">
        <v>32</v>
      </c>
      <c r="L476" s="6">
        <v>0.12</v>
      </c>
      <c r="M476" s="35" t="s">
        <v>44</v>
      </c>
      <c r="N476" s="7">
        <v>0.1061</v>
      </c>
      <c r="O476" s="32">
        <v>0.3</v>
      </c>
      <c r="P476" s="7">
        <v>0.32840000000000003</v>
      </c>
      <c r="Q476" s="8">
        <v>3</v>
      </c>
      <c r="R476" s="8">
        <v>93</v>
      </c>
      <c r="S476" s="8">
        <f>SUM(Dataset_AFinal[[#This Row],[Casual_user]:[Registered_user]])</f>
        <v>96</v>
      </c>
    </row>
    <row r="477" spans="1:19" x14ac:dyDescent="0.3">
      <c r="A477" s="4">
        <v>476</v>
      </c>
      <c r="B477" s="7" t="s">
        <v>99</v>
      </c>
      <c r="C477" s="6" t="s">
        <v>78</v>
      </c>
      <c r="D477" s="6" t="s">
        <v>79</v>
      </c>
      <c r="E477" s="6" t="s">
        <v>31</v>
      </c>
      <c r="F477" s="35">
        <v>20</v>
      </c>
      <c r="G477" s="15" t="str">
        <f t="shared" si="7"/>
        <v>Evening</v>
      </c>
      <c r="H477" s="6" t="b">
        <v>0</v>
      </c>
      <c r="I477" s="6" t="s">
        <v>58</v>
      </c>
      <c r="J477" s="6" t="str">
        <f>IF(OR(Dataset_AFinal[[#This Row],[Weekday]]="Sat",Dataset_AFinal[[#This Row],[Weekday]]="Sun"),"Weekend", "Weekday")</f>
        <v>Weekday</v>
      </c>
      <c r="K477" s="6" t="s">
        <v>32</v>
      </c>
      <c r="L477" s="6">
        <v>0.1</v>
      </c>
      <c r="M477" s="35" t="s">
        <v>44</v>
      </c>
      <c r="N477" s="7">
        <v>7.5800000000000006E-2</v>
      </c>
      <c r="O477" s="32">
        <v>0.33</v>
      </c>
      <c r="P477" s="7">
        <v>0.41789999999999999</v>
      </c>
      <c r="Q477" s="8">
        <v>1</v>
      </c>
      <c r="R477" s="8">
        <v>52</v>
      </c>
      <c r="S477" s="8">
        <f>SUM(Dataset_AFinal[[#This Row],[Casual_user]:[Registered_user]])</f>
        <v>53</v>
      </c>
    </row>
    <row r="478" spans="1:19" x14ac:dyDescent="0.3">
      <c r="A478" s="4">
        <v>477</v>
      </c>
      <c r="B478" s="7" t="s">
        <v>99</v>
      </c>
      <c r="C478" s="6" t="s">
        <v>78</v>
      </c>
      <c r="D478" s="6" t="s">
        <v>79</v>
      </c>
      <c r="E478" s="6" t="s">
        <v>31</v>
      </c>
      <c r="F478" s="35">
        <v>21</v>
      </c>
      <c r="G478" s="15" t="str">
        <f t="shared" si="7"/>
        <v>Evening</v>
      </c>
      <c r="H478" s="6" t="b">
        <v>0</v>
      </c>
      <c r="I478" s="6" t="s">
        <v>58</v>
      </c>
      <c r="J478" s="6" t="str">
        <f>IF(OR(Dataset_AFinal[[#This Row],[Weekday]]="Sat",Dataset_AFinal[[#This Row],[Weekday]]="Sun"),"Weekend", "Weekday")</f>
        <v>Weekday</v>
      </c>
      <c r="K478" s="6" t="s">
        <v>32</v>
      </c>
      <c r="L478" s="6">
        <v>0.08</v>
      </c>
      <c r="M478" s="35" t="s">
        <v>44</v>
      </c>
      <c r="N478" s="7">
        <v>7.5800000000000006E-2</v>
      </c>
      <c r="O478" s="32">
        <v>0.38</v>
      </c>
      <c r="P478" s="7">
        <v>0.28360000000000002</v>
      </c>
      <c r="Q478" s="8">
        <v>0</v>
      </c>
      <c r="R478" s="8">
        <v>41</v>
      </c>
      <c r="S478" s="8">
        <f>SUM(Dataset_AFinal[[#This Row],[Casual_user]:[Registered_user]])</f>
        <v>41</v>
      </c>
    </row>
    <row r="479" spans="1:19" x14ac:dyDescent="0.3">
      <c r="A479" s="4">
        <v>478</v>
      </c>
      <c r="B479" s="7" t="s">
        <v>99</v>
      </c>
      <c r="C479" s="6" t="s">
        <v>78</v>
      </c>
      <c r="D479" s="6" t="s">
        <v>79</v>
      </c>
      <c r="E479" s="6" t="s">
        <v>31</v>
      </c>
      <c r="F479" s="35">
        <v>22</v>
      </c>
      <c r="G479" s="15" t="str">
        <f t="shared" si="7"/>
        <v>Evening</v>
      </c>
      <c r="H479" s="6" t="b">
        <v>0</v>
      </c>
      <c r="I479" s="6" t="s">
        <v>58</v>
      </c>
      <c r="J479" s="6" t="str">
        <f>IF(OR(Dataset_AFinal[[#This Row],[Weekday]]="Sat",Dataset_AFinal[[#This Row],[Weekday]]="Sun"),"Weekend", "Weekday")</f>
        <v>Weekday</v>
      </c>
      <c r="K479" s="6" t="s">
        <v>32</v>
      </c>
      <c r="L479" s="6">
        <v>0.06</v>
      </c>
      <c r="M479" s="35" t="s">
        <v>44</v>
      </c>
      <c r="N479" s="7">
        <v>3.0300000000000001E-2</v>
      </c>
      <c r="O479" s="32">
        <v>0.41</v>
      </c>
      <c r="P479" s="7">
        <v>0.3881</v>
      </c>
      <c r="Q479" s="8">
        <v>1</v>
      </c>
      <c r="R479" s="8">
        <v>33</v>
      </c>
      <c r="S479" s="8">
        <f>SUM(Dataset_AFinal[[#This Row],[Casual_user]:[Registered_user]])</f>
        <v>34</v>
      </c>
    </row>
    <row r="480" spans="1:19" x14ac:dyDescent="0.3">
      <c r="A480" s="4">
        <v>479</v>
      </c>
      <c r="B480" s="7" t="s">
        <v>99</v>
      </c>
      <c r="C480" s="6" t="s">
        <v>78</v>
      </c>
      <c r="D480" s="6" t="s">
        <v>79</v>
      </c>
      <c r="E480" s="6" t="s">
        <v>31</v>
      </c>
      <c r="F480" s="35">
        <v>23</v>
      </c>
      <c r="G480" s="15" t="str">
        <f t="shared" si="7"/>
        <v>Evening</v>
      </c>
      <c r="H480" s="6" t="b">
        <v>0</v>
      </c>
      <c r="I480" s="6" t="s">
        <v>58</v>
      </c>
      <c r="J480" s="6" t="str">
        <f>IF(OR(Dataset_AFinal[[#This Row],[Weekday]]="Sat",Dataset_AFinal[[#This Row],[Weekday]]="Sun"),"Weekend", "Weekday")</f>
        <v>Weekday</v>
      </c>
      <c r="K480" s="6" t="s">
        <v>32</v>
      </c>
      <c r="L480" s="6">
        <v>0.06</v>
      </c>
      <c r="M480" s="35" t="s">
        <v>44</v>
      </c>
      <c r="N480" s="7">
        <v>4.5499999999999999E-2</v>
      </c>
      <c r="O480" s="32">
        <v>0.38</v>
      </c>
      <c r="P480" s="7">
        <v>0.32840000000000003</v>
      </c>
      <c r="Q480" s="8">
        <v>0</v>
      </c>
      <c r="R480" s="8">
        <v>27</v>
      </c>
      <c r="S480" s="8">
        <f>SUM(Dataset_AFinal[[#This Row],[Casual_user]:[Registered_user]])</f>
        <v>27</v>
      </c>
    </row>
    <row r="481" spans="1:19" x14ac:dyDescent="0.3">
      <c r="A481" s="4">
        <v>480</v>
      </c>
      <c r="B481" s="7" t="s">
        <v>100</v>
      </c>
      <c r="C481" s="6" t="s">
        <v>78</v>
      </c>
      <c r="D481" s="6" t="s">
        <v>79</v>
      </c>
      <c r="E481" s="6" t="s">
        <v>31</v>
      </c>
      <c r="F481" s="35">
        <v>0</v>
      </c>
      <c r="G481" s="15" t="str">
        <f t="shared" si="7"/>
        <v>Night</v>
      </c>
      <c r="H481" s="6" t="b">
        <v>0</v>
      </c>
      <c r="I481" s="6" t="s">
        <v>52</v>
      </c>
      <c r="J481" s="6" t="str">
        <f>IF(OR(Dataset_AFinal[[#This Row],[Weekday]]="Sat",Dataset_AFinal[[#This Row],[Weekday]]="Sun"),"Weekend", "Weekday")</f>
        <v>Weekend</v>
      </c>
      <c r="K481" s="6" t="s">
        <v>32</v>
      </c>
      <c r="L481" s="6">
        <v>0.04</v>
      </c>
      <c r="M481" s="35" t="s">
        <v>44</v>
      </c>
      <c r="N481" s="7">
        <v>3.0300000000000001E-2</v>
      </c>
      <c r="O481" s="32">
        <v>0.45</v>
      </c>
      <c r="P481" s="7">
        <v>0.25369999999999998</v>
      </c>
      <c r="Q481" s="8">
        <v>0</v>
      </c>
      <c r="R481" s="8">
        <v>13</v>
      </c>
      <c r="S481" s="8">
        <f>SUM(Dataset_AFinal[[#This Row],[Casual_user]:[Registered_user]])</f>
        <v>13</v>
      </c>
    </row>
    <row r="482" spans="1:19" x14ac:dyDescent="0.3">
      <c r="A482" s="4">
        <v>481</v>
      </c>
      <c r="B482" s="7" t="s">
        <v>100</v>
      </c>
      <c r="C482" s="6" t="s">
        <v>78</v>
      </c>
      <c r="D482" s="6" t="s">
        <v>79</v>
      </c>
      <c r="E482" s="6" t="s">
        <v>31</v>
      </c>
      <c r="F482" s="35">
        <v>1</v>
      </c>
      <c r="G482" s="15" t="str">
        <f t="shared" si="7"/>
        <v>Night</v>
      </c>
      <c r="H482" s="6" t="b">
        <v>0</v>
      </c>
      <c r="I482" s="6" t="s">
        <v>52</v>
      </c>
      <c r="J482" s="6" t="str">
        <f>IF(OR(Dataset_AFinal[[#This Row],[Weekday]]="Sat",Dataset_AFinal[[#This Row],[Weekday]]="Sun"),"Weekend", "Weekday")</f>
        <v>Weekend</v>
      </c>
      <c r="K482" s="6" t="s">
        <v>33</v>
      </c>
      <c r="L482" s="6">
        <v>0.04</v>
      </c>
      <c r="M482" s="35" t="s">
        <v>44</v>
      </c>
      <c r="N482" s="7">
        <v>0</v>
      </c>
      <c r="O482" s="32">
        <v>0.41</v>
      </c>
      <c r="P482" s="7">
        <v>0.3881</v>
      </c>
      <c r="Q482" s="8">
        <v>3</v>
      </c>
      <c r="R482" s="8">
        <v>9</v>
      </c>
      <c r="S482" s="8">
        <f>SUM(Dataset_AFinal[[#This Row],[Casual_user]:[Registered_user]])</f>
        <v>12</v>
      </c>
    </row>
    <row r="483" spans="1:19" x14ac:dyDescent="0.3">
      <c r="A483" s="4">
        <v>482</v>
      </c>
      <c r="B483" s="7" t="s">
        <v>100</v>
      </c>
      <c r="C483" s="6" t="s">
        <v>78</v>
      </c>
      <c r="D483" s="6" t="s">
        <v>79</v>
      </c>
      <c r="E483" s="6" t="s">
        <v>31</v>
      </c>
      <c r="F483" s="35">
        <v>2</v>
      </c>
      <c r="G483" s="15" t="str">
        <f t="shared" si="7"/>
        <v>Night</v>
      </c>
      <c r="H483" s="6" t="b">
        <v>0</v>
      </c>
      <c r="I483" s="6" t="s">
        <v>52</v>
      </c>
      <c r="J483" s="6" t="str">
        <f>IF(OR(Dataset_AFinal[[#This Row],[Weekday]]="Sat",Dataset_AFinal[[#This Row],[Weekday]]="Sun"),"Weekend", "Weekday")</f>
        <v>Weekend</v>
      </c>
      <c r="K483" s="6" t="s">
        <v>33</v>
      </c>
      <c r="L483" s="6">
        <v>0.04</v>
      </c>
      <c r="M483" s="35" t="s">
        <v>44</v>
      </c>
      <c r="N483" s="7">
        <v>3.0300000000000001E-2</v>
      </c>
      <c r="O483" s="32">
        <v>0.41</v>
      </c>
      <c r="P483" s="7">
        <v>0.25369999999999998</v>
      </c>
      <c r="Q483" s="8">
        <v>0</v>
      </c>
      <c r="R483" s="8">
        <v>11</v>
      </c>
      <c r="S483" s="8">
        <f>SUM(Dataset_AFinal[[#This Row],[Casual_user]:[Registered_user]])</f>
        <v>11</v>
      </c>
    </row>
    <row r="484" spans="1:19" x14ac:dyDescent="0.3">
      <c r="A484" s="4">
        <v>483</v>
      </c>
      <c r="B484" s="7" t="s">
        <v>100</v>
      </c>
      <c r="C484" s="6" t="s">
        <v>78</v>
      </c>
      <c r="D484" s="6" t="s">
        <v>79</v>
      </c>
      <c r="E484" s="6" t="s">
        <v>31</v>
      </c>
      <c r="F484" s="35">
        <v>3</v>
      </c>
      <c r="G484" s="15" t="str">
        <f t="shared" si="7"/>
        <v>Night</v>
      </c>
      <c r="H484" s="6" t="b">
        <v>0</v>
      </c>
      <c r="I484" s="6" t="s">
        <v>52</v>
      </c>
      <c r="J484" s="6" t="str">
        <f>IF(OR(Dataset_AFinal[[#This Row],[Weekday]]="Sat",Dataset_AFinal[[#This Row],[Weekday]]="Sun"),"Weekend", "Weekday")</f>
        <v>Weekend</v>
      </c>
      <c r="K484" s="6" t="s">
        <v>33</v>
      </c>
      <c r="L484" s="6">
        <v>0.04</v>
      </c>
      <c r="M484" s="35" t="s">
        <v>44</v>
      </c>
      <c r="N484" s="7">
        <v>3.0300000000000001E-2</v>
      </c>
      <c r="O484" s="32">
        <v>0.41</v>
      </c>
      <c r="P484" s="7">
        <v>0.28360000000000002</v>
      </c>
      <c r="Q484" s="8">
        <v>1</v>
      </c>
      <c r="R484" s="8">
        <v>6</v>
      </c>
      <c r="S484" s="8">
        <f>SUM(Dataset_AFinal[[#This Row],[Casual_user]:[Registered_user]])</f>
        <v>7</v>
      </c>
    </row>
    <row r="485" spans="1:19" x14ac:dyDescent="0.3">
      <c r="A485" s="4">
        <v>484</v>
      </c>
      <c r="B485" s="7" t="s">
        <v>100</v>
      </c>
      <c r="C485" s="6" t="s">
        <v>78</v>
      </c>
      <c r="D485" s="6" t="s">
        <v>79</v>
      </c>
      <c r="E485" s="6" t="s">
        <v>31</v>
      </c>
      <c r="F485" s="35">
        <v>4</v>
      </c>
      <c r="G485" s="15" t="str">
        <f t="shared" si="7"/>
        <v>Night</v>
      </c>
      <c r="H485" s="6" t="b">
        <v>0</v>
      </c>
      <c r="I485" s="6" t="s">
        <v>52</v>
      </c>
      <c r="J485" s="6" t="str">
        <f>IF(OR(Dataset_AFinal[[#This Row],[Weekday]]="Sat",Dataset_AFinal[[#This Row],[Weekday]]="Sun"),"Weekend", "Weekday")</f>
        <v>Weekend</v>
      </c>
      <c r="K485" s="6" t="s">
        <v>33</v>
      </c>
      <c r="L485" s="6">
        <v>0.02</v>
      </c>
      <c r="M485" s="35" t="s">
        <v>44</v>
      </c>
      <c r="N485" s="7">
        <v>1.52E-2</v>
      </c>
      <c r="O485" s="32">
        <v>0.48</v>
      </c>
      <c r="P485" s="7">
        <v>0.29849999999999999</v>
      </c>
      <c r="Q485" s="8">
        <v>0</v>
      </c>
      <c r="R485" s="8">
        <v>3</v>
      </c>
      <c r="S485" s="8">
        <f>SUM(Dataset_AFinal[[#This Row],[Casual_user]:[Registered_user]])</f>
        <v>3</v>
      </c>
    </row>
    <row r="486" spans="1:19" x14ac:dyDescent="0.3">
      <c r="A486" s="4">
        <v>485</v>
      </c>
      <c r="B486" s="7" t="s">
        <v>100</v>
      </c>
      <c r="C486" s="6" t="s">
        <v>78</v>
      </c>
      <c r="D486" s="6" t="s">
        <v>79</v>
      </c>
      <c r="E486" s="6" t="s">
        <v>31</v>
      </c>
      <c r="F486" s="35">
        <v>6</v>
      </c>
      <c r="G486" s="15" t="str">
        <f t="shared" si="7"/>
        <v>Morning</v>
      </c>
      <c r="H486" s="6" t="b">
        <v>0</v>
      </c>
      <c r="I486" s="6" t="s">
        <v>52</v>
      </c>
      <c r="J486" s="6" t="str">
        <f>IF(OR(Dataset_AFinal[[#This Row],[Weekday]]="Sat",Dataset_AFinal[[#This Row],[Weekday]]="Sun"),"Weekend", "Weekday")</f>
        <v>Weekend</v>
      </c>
      <c r="K486" s="6" t="s">
        <v>33</v>
      </c>
      <c r="L486" s="6">
        <v>0.02</v>
      </c>
      <c r="M486" s="35" t="s">
        <v>44</v>
      </c>
      <c r="N486" s="7">
        <v>3.0300000000000001E-2</v>
      </c>
      <c r="O486" s="32">
        <v>0.44</v>
      </c>
      <c r="P486" s="7">
        <v>0.22389999999999999</v>
      </c>
      <c r="Q486" s="8">
        <v>0</v>
      </c>
      <c r="R486" s="8">
        <v>2</v>
      </c>
      <c r="S486" s="8">
        <f>SUM(Dataset_AFinal[[#This Row],[Casual_user]:[Registered_user]])</f>
        <v>2</v>
      </c>
    </row>
    <row r="487" spans="1:19" x14ac:dyDescent="0.3">
      <c r="A487" s="4">
        <v>486</v>
      </c>
      <c r="B487" s="7" t="s">
        <v>100</v>
      </c>
      <c r="C487" s="6" t="s">
        <v>78</v>
      </c>
      <c r="D487" s="6" t="s">
        <v>79</v>
      </c>
      <c r="E487" s="6" t="s">
        <v>31</v>
      </c>
      <c r="F487" s="35">
        <v>7</v>
      </c>
      <c r="G487" s="15" t="str">
        <f t="shared" si="7"/>
        <v>Morning</v>
      </c>
      <c r="H487" s="6" t="b">
        <v>0</v>
      </c>
      <c r="I487" s="6" t="s">
        <v>52</v>
      </c>
      <c r="J487" s="6" t="str">
        <f>IF(OR(Dataset_AFinal[[#This Row],[Weekday]]="Sat",Dataset_AFinal[[#This Row],[Weekday]]="Sun"),"Weekend", "Weekday")</f>
        <v>Weekend</v>
      </c>
      <c r="K487" s="6" t="s">
        <v>32</v>
      </c>
      <c r="L487" s="6">
        <v>0.02</v>
      </c>
      <c r="M487" s="35" t="s">
        <v>44</v>
      </c>
      <c r="N487" s="7">
        <v>1.52E-2</v>
      </c>
      <c r="O487" s="32">
        <v>0.44</v>
      </c>
      <c r="P487" s="7">
        <v>0.28360000000000002</v>
      </c>
      <c r="Q487" s="8">
        <v>0</v>
      </c>
      <c r="R487" s="8">
        <v>8</v>
      </c>
      <c r="S487" s="8">
        <f>SUM(Dataset_AFinal[[#This Row],[Casual_user]:[Registered_user]])</f>
        <v>8</v>
      </c>
    </row>
    <row r="488" spans="1:19" x14ac:dyDescent="0.3">
      <c r="A488" s="4">
        <v>487</v>
      </c>
      <c r="B488" s="7" t="s">
        <v>100</v>
      </c>
      <c r="C488" s="6" t="s">
        <v>78</v>
      </c>
      <c r="D488" s="6" t="s">
        <v>79</v>
      </c>
      <c r="E488" s="6" t="s">
        <v>31</v>
      </c>
      <c r="F488" s="35">
        <v>8</v>
      </c>
      <c r="G488" s="15" t="str">
        <f t="shared" si="7"/>
        <v>Morning</v>
      </c>
      <c r="H488" s="6" t="b">
        <v>0</v>
      </c>
      <c r="I488" s="6" t="s">
        <v>52</v>
      </c>
      <c r="J488" s="6" t="str">
        <f>IF(OR(Dataset_AFinal[[#This Row],[Weekday]]="Sat",Dataset_AFinal[[#This Row],[Weekday]]="Sun"),"Weekend", "Weekday")</f>
        <v>Weekend</v>
      </c>
      <c r="K488" s="6" t="s">
        <v>32</v>
      </c>
      <c r="L488" s="6">
        <v>0.02</v>
      </c>
      <c r="M488" s="35" t="s">
        <v>44</v>
      </c>
      <c r="N488" s="7">
        <v>0</v>
      </c>
      <c r="O488" s="32">
        <v>0.44</v>
      </c>
      <c r="P488" s="7">
        <v>0.32840000000000003</v>
      </c>
      <c r="Q488" s="8">
        <v>1</v>
      </c>
      <c r="R488" s="8">
        <v>26</v>
      </c>
      <c r="S488" s="8">
        <f>SUM(Dataset_AFinal[[#This Row],[Casual_user]:[Registered_user]])</f>
        <v>27</v>
      </c>
    </row>
    <row r="489" spans="1:19" x14ac:dyDescent="0.3">
      <c r="A489" s="4">
        <v>488</v>
      </c>
      <c r="B489" s="7" t="s">
        <v>100</v>
      </c>
      <c r="C489" s="6" t="s">
        <v>78</v>
      </c>
      <c r="D489" s="6" t="s">
        <v>79</v>
      </c>
      <c r="E489" s="6" t="s">
        <v>31</v>
      </c>
      <c r="F489" s="35">
        <v>9</v>
      </c>
      <c r="G489" s="15" t="str">
        <f t="shared" si="7"/>
        <v>Morning</v>
      </c>
      <c r="H489" s="6" t="b">
        <v>0</v>
      </c>
      <c r="I489" s="6" t="s">
        <v>52</v>
      </c>
      <c r="J489" s="6" t="str">
        <f>IF(OR(Dataset_AFinal[[#This Row],[Weekday]]="Sat",Dataset_AFinal[[#This Row],[Weekday]]="Sun"),"Weekend", "Weekday")</f>
        <v>Weekend</v>
      </c>
      <c r="K489" s="6" t="s">
        <v>32</v>
      </c>
      <c r="L489" s="6">
        <v>0.04</v>
      </c>
      <c r="M489" s="35" t="s">
        <v>44</v>
      </c>
      <c r="N489" s="7">
        <v>3.0300000000000001E-2</v>
      </c>
      <c r="O489" s="32">
        <v>0.41</v>
      </c>
      <c r="P489" s="7">
        <v>0.25369999999999998</v>
      </c>
      <c r="Q489" s="8">
        <v>3</v>
      </c>
      <c r="R489" s="8">
        <v>37</v>
      </c>
      <c r="S489" s="8">
        <f>SUM(Dataset_AFinal[[#This Row],[Casual_user]:[Registered_user]])</f>
        <v>40</v>
      </c>
    </row>
    <row r="490" spans="1:19" x14ac:dyDescent="0.3">
      <c r="A490" s="4">
        <v>489</v>
      </c>
      <c r="B490" s="7" t="s">
        <v>100</v>
      </c>
      <c r="C490" s="6" t="s">
        <v>78</v>
      </c>
      <c r="D490" s="6" t="s">
        <v>79</v>
      </c>
      <c r="E490" s="6" t="s">
        <v>31</v>
      </c>
      <c r="F490" s="35">
        <v>10</v>
      </c>
      <c r="G490" s="15" t="str">
        <f t="shared" si="7"/>
        <v>Morning</v>
      </c>
      <c r="H490" s="6" t="b">
        <v>0</v>
      </c>
      <c r="I490" s="6" t="s">
        <v>52</v>
      </c>
      <c r="J490" s="6" t="str">
        <f>IF(OR(Dataset_AFinal[[#This Row],[Weekday]]="Sat",Dataset_AFinal[[#This Row],[Weekday]]="Sun"),"Weekend", "Weekday")</f>
        <v>Weekend</v>
      </c>
      <c r="K490" s="6" t="s">
        <v>33</v>
      </c>
      <c r="L490" s="6">
        <v>0.04</v>
      </c>
      <c r="M490" s="35" t="s">
        <v>44</v>
      </c>
      <c r="N490" s="7">
        <v>6.0600000000000001E-2</v>
      </c>
      <c r="O490" s="32">
        <v>0.41</v>
      </c>
      <c r="P490" s="7">
        <v>0.16420000000000001</v>
      </c>
      <c r="Q490" s="8">
        <v>3</v>
      </c>
      <c r="R490" s="8">
        <v>50</v>
      </c>
      <c r="S490" s="8">
        <f>SUM(Dataset_AFinal[[#This Row],[Casual_user]:[Registered_user]])</f>
        <v>53</v>
      </c>
    </row>
    <row r="491" spans="1:19" x14ac:dyDescent="0.3">
      <c r="A491" s="4">
        <v>490</v>
      </c>
      <c r="B491" s="7" t="s">
        <v>100</v>
      </c>
      <c r="C491" s="6" t="s">
        <v>78</v>
      </c>
      <c r="D491" s="6" t="s">
        <v>79</v>
      </c>
      <c r="E491" s="6" t="s">
        <v>31</v>
      </c>
      <c r="F491" s="35">
        <v>11</v>
      </c>
      <c r="G491" s="15" t="str">
        <f t="shared" si="7"/>
        <v>Morning</v>
      </c>
      <c r="H491" s="6" t="b">
        <v>0</v>
      </c>
      <c r="I491" s="6" t="s">
        <v>52</v>
      </c>
      <c r="J491" s="6" t="str">
        <f>IF(OR(Dataset_AFinal[[#This Row],[Weekday]]="Sat",Dataset_AFinal[[#This Row],[Weekday]]="Sun"),"Weekend", "Weekday")</f>
        <v>Weekend</v>
      </c>
      <c r="K491" s="6" t="s">
        <v>33</v>
      </c>
      <c r="L491" s="6">
        <v>0.06</v>
      </c>
      <c r="M491" s="35" t="s">
        <v>44</v>
      </c>
      <c r="N491" s="7">
        <v>7.5800000000000006E-2</v>
      </c>
      <c r="O491" s="32">
        <v>0.38</v>
      </c>
      <c r="P491" s="7">
        <v>0.1343</v>
      </c>
      <c r="Q491" s="8">
        <v>4</v>
      </c>
      <c r="R491" s="8">
        <v>59</v>
      </c>
      <c r="S491" s="8">
        <f>SUM(Dataset_AFinal[[#This Row],[Casual_user]:[Registered_user]])</f>
        <v>63</v>
      </c>
    </row>
    <row r="492" spans="1:19" x14ac:dyDescent="0.3">
      <c r="A492" s="4">
        <v>491</v>
      </c>
      <c r="B492" s="7" t="s">
        <v>100</v>
      </c>
      <c r="C492" s="6" t="s">
        <v>78</v>
      </c>
      <c r="D492" s="6" t="s">
        <v>79</v>
      </c>
      <c r="E492" s="6" t="s">
        <v>31</v>
      </c>
      <c r="F492" s="35">
        <v>12</v>
      </c>
      <c r="G492" s="15" t="str">
        <f t="shared" si="7"/>
        <v>Afternoon</v>
      </c>
      <c r="H492" s="6" t="b">
        <v>0</v>
      </c>
      <c r="I492" s="6" t="s">
        <v>52</v>
      </c>
      <c r="J492" s="6" t="str">
        <f>IF(OR(Dataset_AFinal[[#This Row],[Weekday]]="Sat",Dataset_AFinal[[#This Row],[Weekday]]="Sun"),"Weekend", "Weekday")</f>
        <v>Weekend</v>
      </c>
      <c r="K492" s="6" t="s">
        <v>33</v>
      </c>
      <c r="L492" s="6">
        <v>0.06</v>
      </c>
      <c r="M492" s="35" t="s">
        <v>44</v>
      </c>
      <c r="N492" s="7">
        <v>0.1061</v>
      </c>
      <c r="O492" s="32">
        <v>0.38</v>
      </c>
      <c r="P492" s="7">
        <v>0.1045</v>
      </c>
      <c r="Q492" s="8">
        <v>10</v>
      </c>
      <c r="R492" s="8">
        <v>60</v>
      </c>
      <c r="S492" s="8">
        <f>SUM(Dataset_AFinal[[#This Row],[Casual_user]:[Registered_user]])</f>
        <v>70</v>
      </c>
    </row>
    <row r="493" spans="1:19" x14ac:dyDescent="0.3">
      <c r="A493" s="4">
        <v>492</v>
      </c>
      <c r="B493" s="7" t="s">
        <v>100</v>
      </c>
      <c r="C493" s="6" t="s">
        <v>78</v>
      </c>
      <c r="D493" s="6" t="s">
        <v>79</v>
      </c>
      <c r="E493" s="6" t="s">
        <v>31</v>
      </c>
      <c r="F493" s="35">
        <v>13</v>
      </c>
      <c r="G493" s="15" t="str">
        <f t="shared" si="7"/>
        <v>Afternoon</v>
      </c>
      <c r="H493" s="6" t="b">
        <v>0</v>
      </c>
      <c r="I493" s="6" t="s">
        <v>52</v>
      </c>
      <c r="J493" s="6" t="str">
        <f>IF(OR(Dataset_AFinal[[#This Row],[Weekday]]="Sat",Dataset_AFinal[[#This Row],[Weekday]]="Sun"),"Weekend", "Weekday")</f>
        <v>Weekend</v>
      </c>
      <c r="K493" s="6" t="s">
        <v>32</v>
      </c>
      <c r="L493" s="6">
        <v>0.08</v>
      </c>
      <c r="M493" s="35" t="s">
        <v>44</v>
      </c>
      <c r="N493" s="7">
        <v>0.16669999999999999</v>
      </c>
      <c r="O493" s="32">
        <v>0.35</v>
      </c>
      <c r="P493" s="7">
        <v>0</v>
      </c>
      <c r="Q493" s="8">
        <v>12</v>
      </c>
      <c r="R493" s="8">
        <v>72</v>
      </c>
      <c r="S493" s="8">
        <f>SUM(Dataset_AFinal[[#This Row],[Casual_user]:[Registered_user]])</f>
        <v>84</v>
      </c>
    </row>
    <row r="494" spans="1:19" x14ac:dyDescent="0.3">
      <c r="A494" s="4">
        <v>493</v>
      </c>
      <c r="B494" s="7" t="s">
        <v>100</v>
      </c>
      <c r="C494" s="6" t="s">
        <v>78</v>
      </c>
      <c r="D494" s="6" t="s">
        <v>79</v>
      </c>
      <c r="E494" s="6" t="s">
        <v>31</v>
      </c>
      <c r="F494" s="35">
        <v>14</v>
      </c>
      <c r="G494" s="15" t="str">
        <f t="shared" si="7"/>
        <v>Afternoon</v>
      </c>
      <c r="H494" s="6" t="b">
        <v>0</v>
      </c>
      <c r="I494" s="6" t="s">
        <v>52</v>
      </c>
      <c r="J494" s="6" t="str">
        <f>IF(OR(Dataset_AFinal[[#This Row],[Weekday]]="Sat",Dataset_AFinal[[#This Row],[Weekday]]="Sun"),"Weekend", "Weekday")</f>
        <v>Weekend</v>
      </c>
      <c r="K494" s="6" t="s">
        <v>32</v>
      </c>
      <c r="L494" s="6">
        <v>0.1</v>
      </c>
      <c r="M494" s="35" t="s">
        <v>44</v>
      </c>
      <c r="N494" s="7">
        <v>0.13639999999999999</v>
      </c>
      <c r="O494" s="32">
        <v>0.33</v>
      </c>
      <c r="P494" s="7">
        <v>0.1045</v>
      </c>
      <c r="Q494" s="8">
        <v>11</v>
      </c>
      <c r="R494" s="8">
        <v>64</v>
      </c>
      <c r="S494" s="8">
        <f>SUM(Dataset_AFinal[[#This Row],[Casual_user]:[Registered_user]])</f>
        <v>75</v>
      </c>
    </row>
    <row r="495" spans="1:19" x14ac:dyDescent="0.3">
      <c r="A495" s="4">
        <v>494</v>
      </c>
      <c r="B495" s="7" t="s">
        <v>100</v>
      </c>
      <c r="C495" s="6" t="s">
        <v>78</v>
      </c>
      <c r="D495" s="6" t="s">
        <v>79</v>
      </c>
      <c r="E495" s="6" t="s">
        <v>31</v>
      </c>
      <c r="F495" s="35">
        <v>15</v>
      </c>
      <c r="G495" s="15" t="str">
        <f t="shared" si="7"/>
        <v>Afternoon</v>
      </c>
      <c r="H495" s="6" t="b">
        <v>0</v>
      </c>
      <c r="I495" s="6" t="s">
        <v>52</v>
      </c>
      <c r="J495" s="6" t="str">
        <f>IF(OR(Dataset_AFinal[[#This Row],[Weekday]]="Sat",Dataset_AFinal[[#This Row],[Weekday]]="Sun"),"Weekend", "Weekday")</f>
        <v>Weekend</v>
      </c>
      <c r="K495" s="6" t="s">
        <v>32</v>
      </c>
      <c r="L495" s="6">
        <v>0.12</v>
      </c>
      <c r="M495" s="35" t="s">
        <v>44</v>
      </c>
      <c r="N495" s="7">
        <v>0.1515</v>
      </c>
      <c r="O495" s="32">
        <v>0.28000000000000003</v>
      </c>
      <c r="P495" s="7">
        <v>0</v>
      </c>
      <c r="Q495" s="8">
        <v>10</v>
      </c>
      <c r="R495" s="8">
        <v>93</v>
      </c>
      <c r="S495" s="8">
        <f>SUM(Dataset_AFinal[[#This Row],[Casual_user]:[Registered_user]])</f>
        <v>103</v>
      </c>
    </row>
    <row r="496" spans="1:19" x14ac:dyDescent="0.3">
      <c r="A496" s="4">
        <v>495</v>
      </c>
      <c r="B496" s="7" t="s">
        <v>100</v>
      </c>
      <c r="C496" s="6" t="s">
        <v>78</v>
      </c>
      <c r="D496" s="6" t="s">
        <v>79</v>
      </c>
      <c r="E496" s="6" t="s">
        <v>31</v>
      </c>
      <c r="F496" s="35">
        <v>16</v>
      </c>
      <c r="G496" s="15" t="str">
        <f t="shared" si="7"/>
        <v>Afternoon</v>
      </c>
      <c r="H496" s="6" t="b">
        <v>0</v>
      </c>
      <c r="I496" s="6" t="s">
        <v>52</v>
      </c>
      <c r="J496" s="6" t="str">
        <f>IF(OR(Dataset_AFinal[[#This Row],[Weekday]]="Sat",Dataset_AFinal[[#This Row],[Weekday]]="Sun"),"Weekend", "Weekday")</f>
        <v>Weekend</v>
      </c>
      <c r="K496" s="6" t="s">
        <v>32</v>
      </c>
      <c r="L496" s="6">
        <v>0.12</v>
      </c>
      <c r="M496" s="35" t="s">
        <v>44</v>
      </c>
      <c r="N496" s="7">
        <v>0.13639999999999999</v>
      </c>
      <c r="O496" s="32">
        <v>0.28000000000000003</v>
      </c>
      <c r="P496" s="7">
        <v>0.19400000000000001</v>
      </c>
      <c r="Q496" s="8">
        <v>11</v>
      </c>
      <c r="R496" s="8">
        <v>72</v>
      </c>
      <c r="S496" s="8">
        <f>SUM(Dataset_AFinal[[#This Row],[Casual_user]:[Registered_user]])</f>
        <v>83</v>
      </c>
    </row>
    <row r="497" spans="1:19" x14ac:dyDescent="0.3">
      <c r="A497" s="4">
        <v>496</v>
      </c>
      <c r="B497" s="7" t="s">
        <v>100</v>
      </c>
      <c r="C497" s="6" t="s">
        <v>78</v>
      </c>
      <c r="D497" s="6" t="s">
        <v>79</v>
      </c>
      <c r="E497" s="6" t="s">
        <v>31</v>
      </c>
      <c r="F497" s="35">
        <v>17</v>
      </c>
      <c r="G497" s="15" t="str">
        <f t="shared" si="7"/>
        <v>Afternoon</v>
      </c>
      <c r="H497" s="6" t="b">
        <v>0</v>
      </c>
      <c r="I497" s="6" t="s">
        <v>52</v>
      </c>
      <c r="J497" s="6" t="str">
        <f>IF(OR(Dataset_AFinal[[#This Row],[Weekday]]="Sat",Dataset_AFinal[[#This Row],[Weekday]]="Sun"),"Weekend", "Weekday")</f>
        <v>Weekend</v>
      </c>
      <c r="K497" s="6" t="s">
        <v>32</v>
      </c>
      <c r="L497" s="6">
        <v>0.12</v>
      </c>
      <c r="M497" s="35" t="s">
        <v>44</v>
      </c>
      <c r="N497" s="7">
        <v>0.19700000000000001</v>
      </c>
      <c r="O497" s="32">
        <v>0.28000000000000003</v>
      </c>
      <c r="P497" s="7">
        <v>0</v>
      </c>
      <c r="Q497" s="8">
        <v>8</v>
      </c>
      <c r="R497" s="8">
        <v>59</v>
      </c>
      <c r="S497" s="8">
        <f>SUM(Dataset_AFinal[[#This Row],[Casual_user]:[Registered_user]])</f>
        <v>67</v>
      </c>
    </row>
    <row r="498" spans="1:19" x14ac:dyDescent="0.3">
      <c r="A498" s="4">
        <v>497</v>
      </c>
      <c r="B498" s="7" t="s">
        <v>100</v>
      </c>
      <c r="C498" s="6" t="s">
        <v>78</v>
      </c>
      <c r="D498" s="6" t="s">
        <v>79</v>
      </c>
      <c r="E498" s="6" t="s">
        <v>31</v>
      </c>
      <c r="F498" s="35">
        <v>18</v>
      </c>
      <c r="G498" s="15" t="str">
        <f t="shared" si="7"/>
        <v>Evening</v>
      </c>
      <c r="H498" s="6" t="b">
        <v>0</v>
      </c>
      <c r="I498" s="6" t="s">
        <v>52</v>
      </c>
      <c r="J498" s="6" t="str">
        <f>IF(OR(Dataset_AFinal[[#This Row],[Weekday]]="Sat",Dataset_AFinal[[#This Row],[Weekday]]="Sun"),"Weekend", "Weekday")</f>
        <v>Weekend</v>
      </c>
      <c r="K498" s="6" t="s">
        <v>32</v>
      </c>
      <c r="L498" s="6">
        <v>0.08</v>
      </c>
      <c r="M498" s="35" t="s">
        <v>44</v>
      </c>
      <c r="N498" s="7">
        <v>9.0899999999999995E-2</v>
      </c>
      <c r="O498" s="32">
        <v>0.35</v>
      </c>
      <c r="P498" s="7">
        <v>0.19400000000000001</v>
      </c>
      <c r="Q498" s="8">
        <v>0</v>
      </c>
      <c r="R498" s="8">
        <v>54</v>
      </c>
      <c r="S498" s="8">
        <f>SUM(Dataset_AFinal[[#This Row],[Casual_user]:[Registered_user]])</f>
        <v>54</v>
      </c>
    </row>
    <row r="499" spans="1:19" x14ac:dyDescent="0.3">
      <c r="A499" s="4">
        <v>498</v>
      </c>
      <c r="B499" s="7" t="s">
        <v>100</v>
      </c>
      <c r="C499" s="6" t="s">
        <v>78</v>
      </c>
      <c r="D499" s="6" t="s">
        <v>79</v>
      </c>
      <c r="E499" s="6" t="s">
        <v>31</v>
      </c>
      <c r="F499" s="35">
        <v>19</v>
      </c>
      <c r="G499" s="15" t="str">
        <f t="shared" si="7"/>
        <v>Evening</v>
      </c>
      <c r="H499" s="6" t="b">
        <v>0</v>
      </c>
      <c r="I499" s="6" t="s">
        <v>52</v>
      </c>
      <c r="J499" s="6" t="str">
        <f>IF(OR(Dataset_AFinal[[#This Row],[Weekday]]="Sat",Dataset_AFinal[[#This Row],[Weekday]]="Sun"),"Weekend", "Weekday")</f>
        <v>Weekend</v>
      </c>
      <c r="K499" s="6" t="s">
        <v>32</v>
      </c>
      <c r="L499" s="6">
        <v>0.08</v>
      </c>
      <c r="M499" s="35" t="s">
        <v>44</v>
      </c>
      <c r="N499" s="7">
        <v>0.1061</v>
      </c>
      <c r="O499" s="32">
        <v>0.35</v>
      </c>
      <c r="P499" s="7">
        <v>0.1343</v>
      </c>
      <c r="Q499" s="8">
        <v>6</v>
      </c>
      <c r="R499" s="8">
        <v>53</v>
      </c>
      <c r="S499" s="8">
        <f>SUM(Dataset_AFinal[[#This Row],[Casual_user]:[Registered_user]])</f>
        <v>59</v>
      </c>
    </row>
    <row r="500" spans="1:19" x14ac:dyDescent="0.3">
      <c r="A500" s="4">
        <v>499</v>
      </c>
      <c r="B500" s="7" t="s">
        <v>100</v>
      </c>
      <c r="C500" s="6" t="s">
        <v>78</v>
      </c>
      <c r="D500" s="6" t="s">
        <v>79</v>
      </c>
      <c r="E500" s="6" t="s">
        <v>31</v>
      </c>
      <c r="F500" s="35">
        <v>20</v>
      </c>
      <c r="G500" s="15" t="str">
        <f t="shared" si="7"/>
        <v>Evening</v>
      </c>
      <c r="H500" s="6" t="b">
        <v>0</v>
      </c>
      <c r="I500" s="6" t="s">
        <v>52</v>
      </c>
      <c r="J500" s="6" t="str">
        <f>IF(OR(Dataset_AFinal[[#This Row],[Weekday]]="Sat",Dataset_AFinal[[#This Row],[Weekday]]="Sun"),"Weekend", "Weekday")</f>
        <v>Weekend</v>
      </c>
      <c r="K500" s="6" t="s">
        <v>32</v>
      </c>
      <c r="L500" s="6">
        <v>0.06</v>
      </c>
      <c r="M500" s="35" t="s">
        <v>44</v>
      </c>
      <c r="N500" s="7">
        <v>7.5800000000000006E-2</v>
      </c>
      <c r="O500" s="32">
        <v>0.45</v>
      </c>
      <c r="P500" s="7">
        <v>0.16420000000000001</v>
      </c>
      <c r="Q500" s="8">
        <v>1</v>
      </c>
      <c r="R500" s="8">
        <v>44</v>
      </c>
      <c r="S500" s="8">
        <f>SUM(Dataset_AFinal[[#This Row],[Casual_user]:[Registered_user]])</f>
        <v>45</v>
      </c>
    </row>
    <row r="501" spans="1:19" x14ac:dyDescent="0.3">
      <c r="A501" s="4">
        <v>500</v>
      </c>
      <c r="B501" s="7" t="s">
        <v>100</v>
      </c>
      <c r="C501" s="6" t="s">
        <v>78</v>
      </c>
      <c r="D501" s="6" t="s">
        <v>79</v>
      </c>
      <c r="E501" s="6" t="s">
        <v>31</v>
      </c>
      <c r="F501" s="35">
        <v>21</v>
      </c>
      <c r="G501" s="15" t="str">
        <f t="shared" si="7"/>
        <v>Evening</v>
      </c>
      <c r="H501" s="6" t="b">
        <v>0</v>
      </c>
      <c r="I501" s="6" t="s">
        <v>52</v>
      </c>
      <c r="J501" s="6" t="str">
        <f>IF(OR(Dataset_AFinal[[#This Row],[Weekday]]="Sat",Dataset_AFinal[[#This Row],[Weekday]]="Sun"),"Weekend", "Weekday")</f>
        <v>Weekend</v>
      </c>
      <c r="K501" s="6" t="s">
        <v>32</v>
      </c>
      <c r="L501" s="6">
        <v>0.06</v>
      </c>
      <c r="M501" s="35" t="s">
        <v>44</v>
      </c>
      <c r="N501" s="7">
        <v>0.1061</v>
      </c>
      <c r="O501" s="32">
        <v>0.41</v>
      </c>
      <c r="P501" s="7">
        <v>8.9599999999999999E-2</v>
      </c>
      <c r="Q501" s="8">
        <v>0</v>
      </c>
      <c r="R501" s="8">
        <v>39</v>
      </c>
      <c r="S501" s="8">
        <f>SUM(Dataset_AFinal[[#This Row],[Casual_user]:[Registered_user]])</f>
        <v>39</v>
      </c>
    </row>
    <row r="502" spans="1:19" x14ac:dyDescent="0.3">
      <c r="A502" s="4">
        <v>501</v>
      </c>
      <c r="B502" s="7" t="s">
        <v>100</v>
      </c>
      <c r="C502" s="6" t="s">
        <v>78</v>
      </c>
      <c r="D502" s="6" t="s">
        <v>79</v>
      </c>
      <c r="E502" s="6" t="s">
        <v>31</v>
      </c>
      <c r="F502" s="35">
        <v>22</v>
      </c>
      <c r="G502" s="15" t="str">
        <f t="shared" si="7"/>
        <v>Evening</v>
      </c>
      <c r="H502" s="6" t="b">
        <v>0</v>
      </c>
      <c r="I502" s="6" t="s">
        <v>52</v>
      </c>
      <c r="J502" s="6" t="str">
        <f>IF(OR(Dataset_AFinal[[#This Row],[Weekday]]="Sat",Dataset_AFinal[[#This Row],[Weekday]]="Sun"),"Weekend", "Weekday")</f>
        <v>Weekend</v>
      </c>
      <c r="K502" s="6" t="s">
        <v>32</v>
      </c>
      <c r="L502" s="6">
        <v>0.06</v>
      </c>
      <c r="M502" s="35" t="s">
        <v>44</v>
      </c>
      <c r="N502" s="7">
        <v>0.1515</v>
      </c>
      <c r="O502" s="32">
        <v>0.49</v>
      </c>
      <c r="P502" s="7">
        <v>0</v>
      </c>
      <c r="Q502" s="8">
        <v>7</v>
      </c>
      <c r="R502" s="8">
        <v>23</v>
      </c>
      <c r="S502" s="8">
        <f>SUM(Dataset_AFinal[[#This Row],[Casual_user]:[Registered_user]])</f>
        <v>30</v>
      </c>
    </row>
    <row r="503" spans="1:19" x14ac:dyDescent="0.3">
      <c r="A503" s="4">
        <v>502</v>
      </c>
      <c r="B503" s="7" t="s">
        <v>100</v>
      </c>
      <c r="C503" s="6" t="s">
        <v>78</v>
      </c>
      <c r="D503" s="6" t="s">
        <v>79</v>
      </c>
      <c r="E503" s="6" t="s">
        <v>31</v>
      </c>
      <c r="F503" s="35">
        <v>23</v>
      </c>
      <c r="G503" s="15" t="str">
        <f t="shared" si="7"/>
        <v>Evening</v>
      </c>
      <c r="H503" s="6" t="b">
        <v>0</v>
      </c>
      <c r="I503" s="6" t="s">
        <v>52</v>
      </c>
      <c r="J503" s="6" t="str">
        <f>IF(OR(Dataset_AFinal[[#This Row],[Weekday]]="Sat",Dataset_AFinal[[#This Row],[Weekday]]="Sun"),"Weekend", "Weekday")</f>
        <v>Weekend</v>
      </c>
      <c r="K503" s="6" t="s">
        <v>32</v>
      </c>
      <c r="L503" s="6">
        <v>0.04</v>
      </c>
      <c r="M503" s="35" t="s">
        <v>44</v>
      </c>
      <c r="N503" s="7">
        <v>7.5800000000000006E-2</v>
      </c>
      <c r="O503" s="32">
        <v>0.56999999999999995</v>
      </c>
      <c r="P503" s="7">
        <v>0.1045</v>
      </c>
      <c r="Q503" s="8">
        <v>2</v>
      </c>
      <c r="R503" s="8">
        <v>31</v>
      </c>
      <c r="S503" s="8">
        <f>SUM(Dataset_AFinal[[#This Row],[Casual_user]:[Registered_user]])</f>
        <v>33</v>
      </c>
    </row>
    <row r="504" spans="1:19" x14ac:dyDescent="0.3">
      <c r="A504" s="4">
        <v>503</v>
      </c>
      <c r="B504" s="7" t="s">
        <v>101</v>
      </c>
      <c r="C504" s="6" t="s">
        <v>78</v>
      </c>
      <c r="D504" s="6" t="s">
        <v>79</v>
      </c>
      <c r="E504" s="6" t="s">
        <v>31</v>
      </c>
      <c r="F504" s="35">
        <v>0</v>
      </c>
      <c r="G504" s="15" t="str">
        <f t="shared" si="7"/>
        <v>Night</v>
      </c>
      <c r="H504" s="6" t="b">
        <v>0</v>
      </c>
      <c r="I504" s="6" t="s">
        <v>53</v>
      </c>
      <c r="J504" s="6" t="str">
        <f>IF(OR(Dataset_AFinal[[#This Row],[Weekday]]="Sat",Dataset_AFinal[[#This Row],[Weekday]]="Sun"),"Weekend", "Weekday")</f>
        <v>Weekend</v>
      </c>
      <c r="K504" s="6" t="s">
        <v>32</v>
      </c>
      <c r="L504" s="6">
        <v>0.04</v>
      </c>
      <c r="M504" s="35" t="s">
        <v>44</v>
      </c>
      <c r="N504" s="7">
        <v>7.5800000000000006E-2</v>
      </c>
      <c r="O504" s="32">
        <v>0.56999999999999995</v>
      </c>
      <c r="P504" s="7">
        <v>0.1045</v>
      </c>
      <c r="Q504" s="8">
        <v>2</v>
      </c>
      <c r="R504" s="8">
        <v>20</v>
      </c>
      <c r="S504" s="8">
        <f>SUM(Dataset_AFinal[[#This Row],[Casual_user]:[Registered_user]])</f>
        <v>22</v>
      </c>
    </row>
    <row r="505" spans="1:19" x14ac:dyDescent="0.3">
      <c r="A505" s="4">
        <v>504</v>
      </c>
      <c r="B505" s="7" t="s">
        <v>101</v>
      </c>
      <c r="C505" s="6" t="s">
        <v>78</v>
      </c>
      <c r="D505" s="6" t="s">
        <v>79</v>
      </c>
      <c r="E505" s="6" t="s">
        <v>31</v>
      </c>
      <c r="F505" s="35">
        <v>1</v>
      </c>
      <c r="G505" s="15" t="str">
        <f t="shared" si="7"/>
        <v>Night</v>
      </c>
      <c r="H505" s="6" t="b">
        <v>0</v>
      </c>
      <c r="I505" s="6" t="s">
        <v>53</v>
      </c>
      <c r="J505" s="6" t="str">
        <f>IF(OR(Dataset_AFinal[[#This Row],[Weekday]]="Sat",Dataset_AFinal[[#This Row],[Weekday]]="Sun"),"Weekend", "Weekday")</f>
        <v>Weekend</v>
      </c>
      <c r="K505" s="6" t="s">
        <v>32</v>
      </c>
      <c r="L505" s="6">
        <v>0.04</v>
      </c>
      <c r="M505" s="35" t="s">
        <v>44</v>
      </c>
      <c r="N505" s="7">
        <v>7.5800000000000006E-2</v>
      </c>
      <c r="O505" s="32">
        <v>0.56999999999999995</v>
      </c>
      <c r="P505" s="7">
        <v>0.1045</v>
      </c>
      <c r="Q505" s="8">
        <v>1</v>
      </c>
      <c r="R505" s="8">
        <v>12</v>
      </c>
      <c r="S505" s="8">
        <f>SUM(Dataset_AFinal[[#This Row],[Casual_user]:[Registered_user]])</f>
        <v>13</v>
      </c>
    </row>
    <row r="506" spans="1:19" x14ac:dyDescent="0.3">
      <c r="A506" s="4">
        <v>505</v>
      </c>
      <c r="B506" s="7" t="s">
        <v>101</v>
      </c>
      <c r="C506" s="6" t="s">
        <v>78</v>
      </c>
      <c r="D506" s="6" t="s">
        <v>79</v>
      </c>
      <c r="E506" s="6" t="s">
        <v>31</v>
      </c>
      <c r="F506" s="35">
        <v>2</v>
      </c>
      <c r="G506" s="15" t="str">
        <f t="shared" si="7"/>
        <v>Night</v>
      </c>
      <c r="H506" s="6" t="b">
        <v>0</v>
      </c>
      <c r="I506" s="6" t="s">
        <v>53</v>
      </c>
      <c r="J506" s="6" t="str">
        <f>IF(OR(Dataset_AFinal[[#This Row],[Weekday]]="Sat",Dataset_AFinal[[#This Row],[Weekday]]="Sun"),"Weekend", "Weekday")</f>
        <v>Weekend</v>
      </c>
      <c r="K506" s="6" t="s">
        <v>32</v>
      </c>
      <c r="L506" s="6">
        <v>0.02</v>
      </c>
      <c r="M506" s="35" t="s">
        <v>44</v>
      </c>
      <c r="N506" s="7">
        <v>6.0600000000000001E-2</v>
      </c>
      <c r="O506" s="32">
        <v>0.62</v>
      </c>
      <c r="P506" s="7">
        <v>0.1343</v>
      </c>
      <c r="Q506" s="8">
        <v>3</v>
      </c>
      <c r="R506" s="8">
        <v>15</v>
      </c>
      <c r="S506" s="8">
        <f>SUM(Dataset_AFinal[[#This Row],[Casual_user]:[Registered_user]])</f>
        <v>18</v>
      </c>
    </row>
    <row r="507" spans="1:19" x14ac:dyDescent="0.3">
      <c r="A507" s="4">
        <v>506</v>
      </c>
      <c r="B507" s="7" t="s">
        <v>101</v>
      </c>
      <c r="C507" s="6" t="s">
        <v>78</v>
      </c>
      <c r="D507" s="6" t="s">
        <v>79</v>
      </c>
      <c r="E507" s="6" t="s">
        <v>31</v>
      </c>
      <c r="F507" s="35">
        <v>3</v>
      </c>
      <c r="G507" s="15" t="str">
        <f t="shared" si="7"/>
        <v>Night</v>
      </c>
      <c r="H507" s="6" t="b">
        <v>0</v>
      </c>
      <c r="I507" s="6" t="s">
        <v>53</v>
      </c>
      <c r="J507" s="6" t="str">
        <f>IF(OR(Dataset_AFinal[[#This Row],[Weekday]]="Sat",Dataset_AFinal[[#This Row],[Weekday]]="Sun"),"Weekend", "Weekday")</f>
        <v>Weekend</v>
      </c>
      <c r="K507" s="6" t="s">
        <v>32</v>
      </c>
      <c r="L507" s="6">
        <v>0.02</v>
      </c>
      <c r="M507" s="35" t="s">
        <v>44</v>
      </c>
      <c r="N507" s="7">
        <v>6.0600000000000001E-2</v>
      </c>
      <c r="O507" s="32">
        <v>0.62</v>
      </c>
      <c r="P507" s="7">
        <v>0.1343</v>
      </c>
      <c r="Q507" s="8">
        <v>1</v>
      </c>
      <c r="R507" s="8">
        <v>4</v>
      </c>
      <c r="S507" s="8">
        <f>SUM(Dataset_AFinal[[#This Row],[Casual_user]:[Registered_user]])</f>
        <v>5</v>
      </c>
    </row>
    <row r="508" spans="1:19" x14ac:dyDescent="0.3">
      <c r="A508" s="4">
        <v>507</v>
      </c>
      <c r="B508" s="7" t="s">
        <v>101</v>
      </c>
      <c r="C508" s="6" t="s">
        <v>78</v>
      </c>
      <c r="D508" s="6" t="s">
        <v>79</v>
      </c>
      <c r="E508" s="6" t="s">
        <v>31</v>
      </c>
      <c r="F508" s="35">
        <v>5</v>
      </c>
      <c r="G508" s="15" t="str">
        <f t="shared" si="7"/>
        <v>Night</v>
      </c>
      <c r="H508" s="6" t="b">
        <v>0</v>
      </c>
      <c r="I508" s="6" t="s">
        <v>53</v>
      </c>
      <c r="J508" s="6" t="str">
        <f>IF(OR(Dataset_AFinal[[#This Row],[Weekday]]="Sat",Dataset_AFinal[[#This Row],[Weekday]]="Sun"),"Weekend", "Weekday")</f>
        <v>Weekend</v>
      </c>
      <c r="K508" s="6" t="s">
        <v>33</v>
      </c>
      <c r="L508" s="6">
        <v>0.04</v>
      </c>
      <c r="M508" s="35" t="s">
        <v>44</v>
      </c>
      <c r="N508" s="7">
        <v>7.5800000000000006E-2</v>
      </c>
      <c r="O508" s="32">
        <v>0.56999999999999995</v>
      </c>
      <c r="P508" s="7">
        <v>0.1045</v>
      </c>
      <c r="Q508" s="8">
        <v>0</v>
      </c>
      <c r="R508" s="8">
        <v>3</v>
      </c>
      <c r="S508" s="8">
        <f>SUM(Dataset_AFinal[[#This Row],[Casual_user]:[Registered_user]])</f>
        <v>3</v>
      </c>
    </row>
    <row r="509" spans="1:19" x14ac:dyDescent="0.3">
      <c r="A509" s="4">
        <v>508</v>
      </c>
      <c r="B509" s="7" t="s">
        <v>101</v>
      </c>
      <c r="C509" s="6" t="s">
        <v>78</v>
      </c>
      <c r="D509" s="6" t="s">
        <v>79</v>
      </c>
      <c r="E509" s="6" t="s">
        <v>31</v>
      </c>
      <c r="F509" s="35">
        <v>6</v>
      </c>
      <c r="G509" s="15" t="str">
        <f t="shared" si="7"/>
        <v>Morning</v>
      </c>
      <c r="H509" s="6" t="b">
        <v>0</v>
      </c>
      <c r="I509" s="6" t="s">
        <v>53</v>
      </c>
      <c r="J509" s="6" t="str">
        <f>IF(OR(Dataset_AFinal[[#This Row],[Weekday]]="Sat",Dataset_AFinal[[#This Row],[Weekday]]="Sun"),"Weekend", "Weekday")</f>
        <v>Weekend</v>
      </c>
      <c r="K509" s="6" t="s">
        <v>33</v>
      </c>
      <c r="L509" s="6">
        <v>0.04</v>
      </c>
      <c r="M509" s="35" t="s">
        <v>44</v>
      </c>
      <c r="N509" s="7">
        <v>7.5800000000000006E-2</v>
      </c>
      <c r="O509" s="32">
        <v>0.56999999999999995</v>
      </c>
      <c r="P509" s="7">
        <v>0.1045</v>
      </c>
      <c r="Q509" s="8">
        <v>0</v>
      </c>
      <c r="R509" s="8">
        <v>1</v>
      </c>
      <c r="S509" s="8">
        <f>SUM(Dataset_AFinal[[#This Row],[Casual_user]:[Registered_user]])</f>
        <v>1</v>
      </c>
    </row>
    <row r="510" spans="1:19" x14ac:dyDescent="0.3">
      <c r="A510" s="4">
        <v>509</v>
      </c>
      <c r="B510" s="7" t="s">
        <v>101</v>
      </c>
      <c r="C510" s="6" t="s">
        <v>78</v>
      </c>
      <c r="D510" s="6" t="s">
        <v>79</v>
      </c>
      <c r="E510" s="6" t="s">
        <v>31</v>
      </c>
      <c r="F510" s="35">
        <v>7</v>
      </c>
      <c r="G510" s="15" t="str">
        <f t="shared" si="7"/>
        <v>Morning</v>
      </c>
      <c r="H510" s="6" t="b">
        <v>0</v>
      </c>
      <c r="I510" s="6" t="s">
        <v>53</v>
      </c>
      <c r="J510" s="6" t="str">
        <f>IF(OR(Dataset_AFinal[[#This Row],[Weekday]]="Sat",Dataset_AFinal[[#This Row],[Weekday]]="Sun"),"Weekend", "Weekday")</f>
        <v>Weekend</v>
      </c>
      <c r="K510" s="6" t="s">
        <v>32</v>
      </c>
      <c r="L510" s="6">
        <v>0.08</v>
      </c>
      <c r="M510" s="35" t="s">
        <v>44</v>
      </c>
      <c r="N510" s="7">
        <v>0.1061</v>
      </c>
      <c r="O510" s="32">
        <v>0.57999999999999996</v>
      </c>
      <c r="P510" s="7">
        <v>0.16420000000000001</v>
      </c>
      <c r="Q510" s="8">
        <v>1</v>
      </c>
      <c r="R510" s="8">
        <v>1</v>
      </c>
      <c r="S510" s="8">
        <f>SUM(Dataset_AFinal[[#This Row],[Casual_user]:[Registered_user]])</f>
        <v>2</v>
      </c>
    </row>
    <row r="511" spans="1:19" x14ac:dyDescent="0.3">
      <c r="A511" s="4">
        <v>510</v>
      </c>
      <c r="B511" s="7" t="s">
        <v>101</v>
      </c>
      <c r="C511" s="6" t="s">
        <v>78</v>
      </c>
      <c r="D511" s="6" t="s">
        <v>79</v>
      </c>
      <c r="E511" s="6" t="s">
        <v>31</v>
      </c>
      <c r="F511" s="35">
        <v>8</v>
      </c>
      <c r="G511" s="15" t="str">
        <f t="shared" si="7"/>
        <v>Morning</v>
      </c>
      <c r="H511" s="6" t="b">
        <v>0</v>
      </c>
      <c r="I511" s="6" t="s">
        <v>53</v>
      </c>
      <c r="J511" s="6" t="str">
        <f>IF(OR(Dataset_AFinal[[#This Row],[Weekday]]="Sat",Dataset_AFinal[[#This Row],[Weekday]]="Sun"),"Weekend", "Weekday")</f>
        <v>Weekend</v>
      </c>
      <c r="K511" s="6" t="s">
        <v>32</v>
      </c>
      <c r="L511" s="6">
        <v>0.06</v>
      </c>
      <c r="M511" s="35" t="s">
        <v>44</v>
      </c>
      <c r="N511" s="7">
        <v>7.5800000000000006E-2</v>
      </c>
      <c r="O511" s="32">
        <v>0.62</v>
      </c>
      <c r="P511" s="7">
        <v>0.16420000000000001</v>
      </c>
      <c r="Q511" s="8">
        <v>2</v>
      </c>
      <c r="R511" s="8">
        <v>17</v>
      </c>
      <c r="S511" s="8">
        <f>SUM(Dataset_AFinal[[#This Row],[Casual_user]:[Registered_user]])</f>
        <v>19</v>
      </c>
    </row>
    <row r="512" spans="1:19" x14ac:dyDescent="0.3">
      <c r="A512" s="4">
        <v>511</v>
      </c>
      <c r="B512" s="7" t="s">
        <v>101</v>
      </c>
      <c r="C512" s="6" t="s">
        <v>78</v>
      </c>
      <c r="D512" s="6" t="s">
        <v>79</v>
      </c>
      <c r="E512" s="6" t="s">
        <v>31</v>
      </c>
      <c r="F512" s="35">
        <v>9</v>
      </c>
      <c r="G512" s="15" t="str">
        <f t="shared" si="7"/>
        <v>Morning</v>
      </c>
      <c r="H512" s="6" t="b">
        <v>0</v>
      </c>
      <c r="I512" s="6" t="s">
        <v>53</v>
      </c>
      <c r="J512" s="6" t="str">
        <f>IF(OR(Dataset_AFinal[[#This Row],[Weekday]]="Sat",Dataset_AFinal[[#This Row],[Weekday]]="Sun"),"Weekend", "Weekday")</f>
        <v>Weekend</v>
      </c>
      <c r="K512" s="6" t="s">
        <v>32</v>
      </c>
      <c r="L512" s="6">
        <v>0.1</v>
      </c>
      <c r="M512" s="35" t="s">
        <v>44</v>
      </c>
      <c r="N512" s="7">
        <v>7.5800000000000006E-2</v>
      </c>
      <c r="O512" s="32">
        <v>0.54</v>
      </c>
      <c r="P512" s="7">
        <v>0.35820000000000002</v>
      </c>
      <c r="Q512" s="8">
        <v>3</v>
      </c>
      <c r="R512" s="8">
        <v>25</v>
      </c>
      <c r="S512" s="8">
        <f>SUM(Dataset_AFinal[[#This Row],[Casual_user]:[Registered_user]])</f>
        <v>28</v>
      </c>
    </row>
    <row r="513" spans="1:19" x14ac:dyDescent="0.3">
      <c r="A513" s="4">
        <v>512</v>
      </c>
      <c r="B513" s="7" t="s">
        <v>101</v>
      </c>
      <c r="C513" s="6" t="s">
        <v>78</v>
      </c>
      <c r="D513" s="6" t="s">
        <v>79</v>
      </c>
      <c r="E513" s="6" t="s">
        <v>31</v>
      </c>
      <c r="F513" s="35">
        <v>10</v>
      </c>
      <c r="G513" s="15" t="str">
        <f t="shared" si="7"/>
        <v>Morning</v>
      </c>
      <c r="H513" s="6" t="b">
        <v>0</v>
      </c>
      <c r="I513" s="6" t="s">
        <v>53</v>
      </c>
      <c r="J513" s="6" t="str">
        <f>IF(OR(Dataset_AFinal[[#This Row],[Weekday]]="Sat",Dataset_AFinal[[#This Row],[Weekday]]="Sun"),"Weekend", "Weekday")</f>
        <v>Weekend</v>
      </c>
      <c r="K513" s="6" t="s">
        <v>32</v>
      </c>
      <c r="L513" s="6">
        <v>0.14000000000000001</v>
      </c>
      <c r="M513" s="35" t="s">
        <v>44</v>
      </c>
      <c r="N513" s="7">
        <v>0.1061</v>
      </c>
      <c r="O513" s="32">
        <v>0.46</v>
      </c>
      <c r="P513" s="7">
        <v>0.3881</v>
      </c>
      <c r="Q513" s="8">
        <v>7</v>
      </c>
      <c r="R513" s="8">
        <v>51</v>
      </c>
      <c r="S513" s="8">
        <f>SUM(Dataset_AFinal[[#This Row],[Casual_user]:[Registered_user]])</f>
        <v>58</v>
      </c>
    </row>
    <row r="514" spans="1:19" x14ac:dyDescent="0.3">
      <c r="A514" s="4">
        <v>513</v>
      </c>
      <c r="B514" s="7" t="s">
        <v>101</v>
      </c>
      <c r="C514" s="6" t="s">
        <v>78</v>
      </c>
      <c r="D514" s="6" t="s">
        <v>79</v>
      </c>
      <c r="E514" s="6" t="s">
        <v>31</v>
      </c>
      <c r="F514" s="35">
        <v>11</v>
      </c>
      <c r="G514" s="15" t="str">
        <f t="shared" ref="G514:G577" si="8">IF(F514&lt;6,"Night",IF(F514&lt;12,"Morning",IF(F514&lt;18,"Afternoon","Evening")))</f>
        <v>Morning</v>
      </c>
      <c r="H514" s="6" t="b">
        <v>0</v>
      </c>
      <c r="I514" s="6" t="s">
        <v>53</v>
      </c>
      <c r="J514" s="6" t="str">
        <f>IF(OR(Dataset_AFinal[[#This Row],[Weekday]]="Sat",Dataset_AFinal[[#This Row],[Weekday]]="Sun"),"Weekend", "Weekday")</f>
        <v>Weekend</v>
      </c>
      <c r="K514" s="6" t="s">
        <v>32</v>
      </c>
      <c r="L514" s="6">
        <v>0.14000000000000001</v>
      </c>
      <c r="M514" s="35" t="s">
        <v>44</v>
      </c>
      <c r="N514" s="7">
        <v>0.13639999999999999</v>
      </c>
      <c r="O514" s="32">
        <v>0.43</v>
      </c>
      <c r="P514" s="7">
        <v>0.22389999999999999</v>
      </c>
      <c r="Q514" s="8">
        <v>22</v>
      </c>
      <c r="R514" s="8">
        <v>77</v>
      </c>
      <c r="S514" s="8">
        <f>SUM(Dataset_AFinal[[#This Row],[Casual_user]:[Registered_user]])</f>
        <v>99</v>
      </c>
    </row>
    <row r="515" spans="1:19" x14ac:dyDescent="0.3">
      <c r="A515" s="4">
        <v>514</v>
      </c>
      <c r="B515" s="7" t="s">
        <v>101</v>
      </c>
      <c r="C515" s="6" t="s">
        <v>78</v>
      </c>
      <c r="D515" s="6" t="s">
        <v>79</v>
      </c>
      <c r="E515" s="6" t="s">
        <v>31</v>
      </c>
      <c r="F515" s="35">
        <v>12</v>
      </c>
      <c r="G515" s="15" t="str">
        <f t="shared" si="8"/>
        <v>Afternoon</v>
      </c>
      <c r="H515" s="6" t="b">
        <v>0</v>
      </c>
      <c r="I515" s="6" t="s">
        <v>53</v>
      </c>
      <c r="J515" s="6" t="str">
        <f>IF(OR(Dataset_AFinal[[#This Row],[Weekday]]="Sat",Dataset_AFinal[[#This Row],[Weekday]]="Sun"),"Weekend", "Weekday")</f>
        <v>Weekend</v>
      </c>
      <c r="K515" s="6" t="s">
        <v>32</v>
      </c>
      <c r="L515" s="6">
        <v>0.16</v>
      </c>
      <c r="M515" s="35" t="s">
        <v>40</v>
      </c>
      <c r="N515" s="7">
        <v>0.1212</v>
      </c>
      <c r="O515" s="32">
        <v>0.37</v>
      </c>
      <c r="P515" s="7">
        <v>0.4627</v>
      </c>
      <c r="Q515" s="8">
        <v>24</v>
      </c>
      <c r="R515" s="8">
        <v>92</v>
      </c>
      <c r="S515" s="8">
        <f>SUM(Dataset_AFinal[[#This Row],[Casual_user]:[Registered_user]])</f>
        <v>116</v>
      </c>
    </row>
    <row r="516" spans="1:19" x14ac:dyDescent="0.3">
      <c r="A516" s="4">
        <v>515</v>
      </c>
      <c r="B516" s="7" t="s">
        <v>101</v>
      </c>
      <c r="C516" s="6" t="s">
        <v>78</v>
      </c>
      <c r="D516" s="6" t="s">
        <v>79</v>
      </c>
      <c r="E516" s="6" t="s">
        <v>31</v>
      </c>
      <c r="F516" s="35">
        <v>13</v>
      </c>
      <c r="G516" s="15" t="str">
        <f t="shared" si="8"/>
        <v>Afternoon</v>
      </c>
      <c r="H516" s="6" t="b">
        <v>0</v>
      </c>
      <c r="I516" s="6" t="s">
        <v>53</v>
      </c>
      <c r="J516" s="6" t="str">
        <f>IF(OR(Dataset_AFinal[[#This Row],[Weekday]]="Sat",Dataset_AFinal[[#This Row],[Weekday]]="Sun"),"Weekend", "Weekday")</f>
        <v>Weekend</v>
      </c>
      <c r="K516" s="6" t="s">
        <v>32</v>
      </c>
      <c r="L516" s="6">
        <v>0.14000000000000001</v>
      </c>
      <c r="M516" s="35" t="s">
        <v>44</v>
      </c>
      <c r="N516" s="7">
        <v>0.1061</v>
      </c>
      <c r="O516" s="32">
        <v>0.33</v>
      </c>
      <c r="P516" s="7">
        <v>0.3881</v>
      </c>
      <c r="Q516" s="8">
        <v>12</v>
      </c>
      <c r="R516" s="8">
        <v>75</v>
      </c>
      <c r="S516" s="8">
        <f>SUM(Dataset_AFinal[[#This Row],[Casual_user]:[Registered_user]])</f>
        <v>87</v>
      </c>
    </row>
    <row r="517" spans="1:19" x14ac:dyDescent="0.3">
      <c r="A517" s="4">
        <v>516</v>
      </c>
      <c r="B517" s="7" t="s">
        <v>101</v>
      </c>
      <c r="C517" s="6" t="s">
        <v>78</v>
      </c>
      <c r="D517" s="6" t="s">
        <v>79</v>
      </c>
      <c r="E517" s="6" t="s">
        <v>31</v>
      </c>
      <c r="F517" s="35">
        <v>14</v>
      </c>
      <c r="G517" s="15" t="str">
        <f t="shared" si="8"/>
        <v>Afternoon</v>
      </c>
      <c r="H517" s="6" t="b">
        <v>0</v>
      </c>
      <c r="I517" s="6" t="s">
        <v>53</v>
      </c>
      <c r="J517" s="6" t="str">
        <f>IF(OR(Dataset_AFinal[[#This Row],[Weekday]]="Sat",Dataset_AFinal[[#This Row],[Weekday]]="Sun"),"Weekend", "Weekday")</f>
        <v>Weekend</v>
      </c>
      <c r="K517" s="6" t="s">
        <v>32</v>
      </c>
      <c r="L517" s="6">
        <v>0.16</v>
      </c>
      <c r="M517" s="35" t="s">
        <v>40</v>
      </c>
      <c r="N517" s="7">
        <v>0.13639999999999999</v>
      </c>
      <c r="O517" s="32">
        <v>0.28000000000000003</v>
      </c>
      <c r="P517" s="7">
        <v>0.35820000000000002</v>
      </c>
      <c r="Q517" s="8">
        <v>17</v>
      </c>
      <c r="R517" s="8">
        <v>93</v>
      </c>
      <c r="S517" s="8">
        <f>SUM(Dataset_AFinal[[#This Row],[Casual_user]:[Registered_user]])</f>
        <v>110</v>
      </c>
    </row>
    <row r="518" spans="1:19" x14ac:dyDescent="0.3">
      <c r="A518" s="4">
        <v>517</v>
      </c>
      <c r="B518" s="7" t="s">
        <v>101</v>
      </c>
      <c r="C518" s="6" t="s">
        <v>78</v>
      </c>
      <c r="D518" s="6" t="s">
        <v>79</v>
      </c>
      <c r="E518" s="6" t="s">
        <v>31</v>
      </c>
      <c r="F518" s="35">
        <v>15</v>
      </c>
      <c r="G518" s="15" t="str">
        <f t="shared" si="8"/>
        <v>Afternoon</v>
      </c>
      <c r="H518" s="6" t="b">
        <v>0</v>
      </c>
      <c r="I518" s="6" t="s">
        <v>53</v>
      </c>
      <c r="J518" s="6" t="str">
        <f>IF(OR(Dataset_AFinal[[#This Row],[Weekday]]="Sat",Dataset_AFinal[[#This Row],[Weekday]]="Sun"),"Weekend", "Weekday")</f>
        <v>Weekend</v>
      </c>
      <c r="K518" s="6" t="s">
        <v>32</v>
      </c>
      <c r="L518" s="6">
        <v>0.16</v>
      </c>
      <c r="M518" s="35" t="s">
        <v>40</v>
      </c>
      <c r="N518" s="7">
        <v>0.13639999999999999</v>
      </c>
      <c r="O518" s="32">
        <v>0.28000000000000003</v>
      </c>
      <c r="P518" s="7">
        <v>0.35820000000000002</v>
      </c>
      <c r="Q518" s="8">
        <v>13</v>
      </c>
      <c r="R518" s="8">
        <v>64</v>
      </c>
      <c r="S518" s="8">
        <f>SUM(Dataset_AFinal[[#This Row],[Casual_user]:[Registered_user]])</f>
        <v>77</v>
      </c>
    </row>
    <row r="519" spans="1:19" x14ac:dyDescent="0.3">
      <c r="A519" s="4">
        <v>518</v>
      </c>
      <c r="B519" s="7" t="s">
        <v>101</v>
      </c>
      <c r="C519" s="6" t="s">
        <v>78</v>
      </c>
      <c r="D519" s="6" t="s">
        <v>79</v>
      </c>
      <c r="E519" s="6" t="s">
        <v>31</v>
      </c>
      <c r="F519" s="35">
        <v>16</v>
      </c>
      <c r="G519" s="15" t="str">
        <f t="shared" si="8"/>
        <v>Afternoon</v>
      </c>
      <c r="H519" s="6" t="b">
        <v>0</v>
      </c>
      <c r="I519" s="6" t="s">
        <v>53</v>
      </c>
      <c r="J519" s="6" t="str">
        <f>IF(OR(Dataset_AFinal[[#This Row],[Weekday]]="Sat",Dataset_AFinal[[#This Row],[Weekday]]="Sun"),"Weekend", "Weekday")</f>
        <v>Weekend</v>
      </c>
      <c r="K519" s="6" t="s">
        <v>32</v>
      </c>
      <c r="L519" s="6">
        <v>0.16</v>
      </c>
      <c r="M519" s="35" t="s">
        <v>40</v>
      </c>
      <c r="N519" s="7">
        <v>0.13639999999999999</v>
      </c>
      <c r="O519" s="32">
        <v>0.26</v>
      </c>
      <c r="P519" s="7">
        <v>0.32840000000000003</v>
      </c>
      <c r="Q519" s="8">
        <v>9</v>
      </c>
      <c r="R519" s="8">
        <v>56</v>
      </c>
      <c r="S519" s="8">
        <f>SUM(Dataset_AFinal[[#This Row],[Casual_user]:[Registered_user]])</f>
        <v>65</v>
      </c>
    </row>
    <row r="520" spans="1:19" x14ac:dyDescent="0.3">
      <c r="A520" s="4">
        <v>519</v>
      </c>
      <c r="B520" s="7" t="s">
        <v>101</v>
      </c>
      <c r="C520" s="6" t="s">
        <v>78</v>
      </c>
      <c r="D520" s="6" t="s">
        <v>79</v>
      </c>
      <c r="E520" s="6" t="s">
        <v>31</v>
      </c>
      <c r="F520" s="35">
        <v>17</v>
      </c>
      <c r="G520" s="15" t="str">
        <f t="shared" si="8"/>
        <v>Afternoon</v>
      </c>
      <c r="H520" s="6" t="b">
        <v>0</v>
      </c>
      <c r="I520" s="6" t="s">
        <v>53</v>
      </c>
      <c r="J520" s="6" t="str">
        <f>IF(OR(Dataset_AFinal[[#This Row],[Weekday]]="Sat",Dataset_AFinal[[#This Row],[Weekday]]="Sun"),"Weekend", "Weekday")</f>
        <v>Weekend</v>
      </c>
      <c r="K520" s="6" t="s">
        <v>32</v>
      </c>
      <c r="L520" s="6">
        <v>0.14000000000000001</v>
      </c>
      <c r="M520" s="35" t="s">
        <v>44</v>
      </c>
      <c r="N520" s="7">
        <v>0.1061</v>
      </c>
      <c r="O520" s="32">
        <v>0.26</v>
      </c>
      <c r="P520" s="7">
        <v>0.3881</v>
      </c>
      <c r="Q520" s="8">
        <v>5</v>
      </c>
      <c r="R520" s="8">
        <v>50</v>
      </c>
      <c r="S520" s="8">
        <f>SUM(Dataset_AFinal[[#This Row],[Casual_user]:[Registered_user]])</f>
        <v>55</v>
      </c>
    </row>
    <row r="521" spans="1:19" x14ac:dyDescent="0.3">
      <c r="A521" s="4">
        <v>520</v>
      </c>
      <c r="B521" s="7" t="s">
        <v>101</v>
      </c>
      <c r="C521" s="6" t="s">
        <v>78</v>
      </c>
      <c r="D521" s="6" t="s">
        <v>79</v>
      </c>
      <c r="E521" s="6" t="s">
        <v>31</v>
      </c>
      <c r="F521" s="35">
        <v>18</v>
      </c>
      <c r="G521" s="15" t="str">
        <f t="shared" si="8"/>
        <v>Evening</v>
      </c>
      <c r="H521" s="6" t="b">
        <v>0</v>
      </c>
      <c r="I521" s="6" t="s">
        <v>53</v>
      </c>
      <c r="J521" s="6" t="str">
        <f>IF(OR(Dataset_AFinal[[#This Row],[Weekday]]="Sat",Dataset_AFinal[[#This Row],[Weekday]]="Sun"),"Weekend", "Weekday")</f>
        <v>Weekend</v>
      </c>
      <c r="K521" s="6" t="s">
        <v>32</v>
      </c>
      <c r="L521" s="6">
        <v>0.12</v>
      </c>
      <c r="M521" s="35" t="s">
        <v>44</v>
      </c>
      <c r="N521" s="7">
        <v>0.1212</v>
      </c>
      <c r="O521" s="32">
        <v>0.3</v>
      </c>
      <c r="P521" s="7">
        <v>0.25369999999999998</v>
      </c>
      <c r="Q521" s="8">
        <v>5</v>
      </c>
      <c r="R521" s="8">
        <v>44</v>
      </c>
      <c r="S521" s="8">
        <f>SUM(Dataset_AFinal[[#This Row],[Casual_user]:[Registered_user]])</f>
        <v>49</v>
      </c>
    </row>
    <row r="522" spans="1:19" x14ac:dyDescent="0.3">
      <c r="A522" s="4">
        <v>521</v>
      </c>
      <c r="B522" s="7" t="s">
        <v>101</v>
      </c>
      <c r="C522" s="6" t="s">
        <v>78</v>
      </c>
      <c r="D522" s="6" t="s">
        <v>79</v>
      </c>
      <c r="E522" s="6" t="s">
        <v>31</v>
      </c>
      <c r="F522" s="35">
        <v>19</v>
      </c>
      <c r="G522" s="15" t="str">
        <f t="shared" si="8"/>
        <v>Evening</v>
      </c>
      <c r="H522" s="6" t="b">
        <v>0</v>
      </c>
      <c r="I522" s="6" t="s">
        <v>53</v>
      </c>
      <c r="J522" s="6" t="str">
        <f>IF(OR(Dataset_AFinal[[#This Row],[Weekday]]="Sat",Dataset_AFinal[[#This Row],[Weekday]]="Sun"),"Weekend", "Weekday")</f>
        <v>Weekend</v>
      </c>
      <c r="K522" s="6" t="s">
        <v>32</v>
      </c>
      <c r="L522" s="6">
        <v>0.12</v>
      </c>
      <c r="M522" s="35" t="s">
        <v>44</v>
      </c>
      <c r="N522" s="7">
        <v>0.1212</v>
      </c>
      <c r="O522" s="32">
        <v>0.3</v>
      </c>
      <c r="P522" s="7">
        <v>0.28360000000000002</v>
      </c>
      <c r="Q522" s="8">
        <v>5</v>
      </c>
      <c r="R522" s="8">
        <v>45</v>
      </c>
      <c r="S522" s="8">
        <f>SUM(Dataset_AFinal[[#This Row],[Casual_user]:[Registered_user]])</f>
        <v>50</v>
      </c>
    </row>
    <row r="523" spans="1:19" x14ac:dyDescent="0.3">
      <c r="A523" s="4">
        <v>522</v>
      </c>
      <c r="B523" s="7" t="s">
        <v>101</v>
      </c>
      <c r="C523" s="6" t="s">
        <v>78</v>
      </c>
      <c r="D523" s="6" t="s">
        <v>79</v>
      </c>
      <c r="E523" s="6" t="s">
        <v>31</v>
      </c>
      <c r="F523" s="35">
        <v>20</v>
      </c>
      <c r="G523" s="15" t="str">
        <f t="shared" si="8"/>
        <v>Evening</v>
      </c>
      <c r="H523" s="6" t="b">
        <v>0</v>
      </c>
      <c r="I523" s="6" t="s">
        <v>53</v>
      </c>
      <c r="J523" s="6" t="str">
        <f>IF(OR(Dataset_AFinal[[#This Row],[Weekday]]="Sat",Dataset_AFinal[[#This Row],[Weekday]]="Sun"),"Weekend", "Weekday")</f>
        <v>Weekend</v>
      </c>
      <c r="K523" s="6" t="s">
        <v>32</v>
      </c>
      <c r="L523" s="6">
        <v>0.1</v>
      </c>
      <c r="M523" s="35" t="s">
        <v>44</v>
      </c>
      <c r="N523" s="7">
        <v>0.1061</v>
      </c>
      <c r="O523" s="32">
        <v>0.36</v>
      </c>
      <c r="P523" s="7">
        <v>0.25369999999999998</v>
      </c>
      <c r="Q523" s="8">
        <v>4</v>
      </c>
      <c r="R523" s="8">
        <v>31</v>
      </c>
      <c r="S523" s="8">
        <f>SUM(Dataset_AFinal[[#This Row],[Casual_user]:[Registered_user]])</f>
        <v>35</v>
      </c>
    </row>
    <row r="524" spans="1:19" x14ac:dyDescent="0.3">
      <c r="A524" s="4">
        <v>523</v>
      </c>
      <c r="B524" s="7" t="s">
        <v>101</v>
      </c>
      <c r="C524" s="6" t="s">
        <v>78</v>
      </c>
      <c r="D524" s="6" t="s">
        <v>79</v>
      </c>
      <c r="E524" s="6" t="s">
        <v>31</v>
      </c>
      <c r="F524" s="35">
        <v>21</v>
      </c>
      <c r="G524" s="15" t="str">
        <f t="shared" si="8"/>
        <v>Evening</v>
      </c>
      <c r="H524" s="6" t="b">
        <v>0</v>
      </c>
      <c r="I524" s="6" t="s">
        <v>53</v>
      </c>
      <c r="J524" s="6" t="str">
        <f>IF(OR(Dataset_AFinal[[#This Row],[Weekday]]="Sat",Dataset_AFinal[[#This Row],[Weekday]]="Sun"),"Weekend", "Weekday")</f>
        <v>Weekend</v>
      </c>
      <c r="K524" s="6" t="s">
        <v>32</v>
      </c>
      <c r="L524" s="6">
        <v>0.1</v>
      </c>
      <c r="M524" s="35" t="s">
        <v>44</v>
      </c>
      <c r="N524" s="7">
        <v>0.1061</v>
      </c>
      <c r="O524" s="32">
        <v>0.36</v>
      </c>
      <c r="P524" s="7">
        <v>0.19400000000000001</v>
      </c>
      <c r="Q524" s="8">
        <v>5</v>
      </c>
      <c r="R524" s="8">
        <v>20</v>
      </c>
      <c r="S524" s="8">
        <f>SUM(Dataset_AFinal[[#This Row],[Casual_user]:[Registered_user]])</f>
        <v>25</v>
      </c>
    </row>
    <row r="525" spans="1:19" x14ac:dyDescent="0.3">
      <c r="A525" s="4">
        <v>524</v>
      </c>
      <c r="B525" s="7" t="s">
        <v>101</v>
      </c>
      <c r="C525" s="6" t="s">
        <v>78</v>
      </c>
      <c r="D525" s="6" t="s">
        <v>79</v>
      </c>
      <c r="E525" s="6" t="s">
        <v>31</v>
      </c>
      <c r="F525" s="35">
        <v>22</v>
      </c>
      <c r="G525" s="15" t="str">
        <f t="shared" si="8"/>
        <v>Evening</v>
      </c>
      <c r="H525" s="6" t="b">
        <v>0</v>
      </c>
      <c r="I525" s="6" t="s">
        <v>53</v>
      </c>
      <c r="J525" s="6" t="str">
        <f>IF(OR(Dataset_AFinal[[#This Row],[Weekday]]="Sat",Dataset_AFinal[[#This Row],[Weekday]]="Sun"),"Weekend", "Weekday")</f>
        <v>Weekend</v>
      </c>
      <c r="K525" s="6" t="s">
        <v>32</v>
      </c>
      <c r="L525" s="6">
        <v>0.08</v>
      </c>
      <c r="M525" s="35" t="s">
        <v>44</v>
      </c>
      <c r="N525" s="7">
        <v>9.0899999999999995E-2</v>
      </c>
      <c r="O525" s="32">
        <v>0.38</v>
      </c>
      <c r="P525" s="7">
        <v>0.19400000000000001</v>
      </c>
      <c r="Q525" s="8">
        <v>5</v>
      </c>
      <c r="R525" s="8">
        <v>23</v>
      </c>
      <c r="S525" s="8">
        <f>SUM(Dataset_AFinal[[#This Row],[Casual_user]:[Registered_user]])</f>
        <v>28</v>
      </c>
    </row>
    <row r="526" spans="1:19" x14ac:dyDescent="0.3">
      <c r="A526" s="4">
        <v>525</v>
      </c>
      <c r="B526" s="7" t="s">
        <v>101</v>
      </c>
      <c r="C526" s="6" t="s">
        <v>78</v>
      </c>
      <c r="D526" s="6" t="s">
        <v>79</v>
      </c>
      <c r="E526" s="6" t="s">
        <v>31</v>
      </c>
      <c r="F526" s="35">
        <v>23</v>
      </c>
      <c r="G526" s="15" t="str">
        <f t="shared" si="8"/>
        <v>Evening</v>
      </c>
      <c r="H526" s="6" t="b">
        <v>0</v>
      </c>
      <c r="I526" s="6" t="s">
        <v>53</v>
      </c>
      <c r="J526" s="6" t="str">
        <f>IF(OR(Dataset_AFinal[[#This Row],[Weekday]]="Sat",Dataset_AFinal[[#This Row],[Weekday]]="Sun"),"Weekend", "Weekday")</f>
        <v>Weekend</v>
      </c>
      <c r="K526" s="6" t="s">
        <v>32</v>
      </c>
      <c r="L526" s="6">
        <v>0.06</v>
      </c>
      <c r="M526" s="35" t="s">
        <v>44</v>
      </c>
      <c r="N526" s="7">
        <v>6.0600000000000001E-2</v>
      </c>
      <c r="O526" s="32">
        <v>0.41</v>
      </c>
      <c r="P526" s="7">
        <v>0.22389999999999999</v>
      </c>
      <c r="Q526" s="8">
        <v>4</v>
      </c>
      <c r="R526" s="8">
        <v>17</v>
      </c>
      <c r="S526" s="8">
        <f>SUM(Dataset_AFinal[[#This Row],[Casual_user]:[Registered_user]])</f>
        <v>21</v>
      </c>
    </row>
    <row r="527" spans="1:19" x14ac:dyDescent="0.3">
      <c r="A527" s="4">
        <v>526</v>
      </c>
      <c r="B527" s="7" t="s">
        <v>102</v>
      </c>
      <c r="C527" s="6" t="s">
        <v>78</v>
      </c>
      <c r="D527" s="6" t="s">
        <v>79</v>
      </c>
      <c r="E527" s="6" t="s">
        <v>31</v>
      </c>
      <c r="F527" s="35">
        <v>0</v>
      </c>
      <c r="G527" s="15" t="str">
        <f t="shared" si="8"/>
        <v>Night</v>
      </c>
      <c r="H527" s="6" t="b">
        <v>0</v>
      </c>
      <c r="I527" s="6" t="s">
        <v>54</v>
      </c>
      <c r="J527" s="6" t="str">
        <f>IF(OR(Dataset_AFinal[[#This Row],[Weekday]]="Sat",Dataset_AFinal[[#This Row],[Weekday]]="Sun"),"Weekend", "Weekday")</f>
        <v>Weekday</v>
      </c>
      <c r="K527" s="6" t="s">
        <v>32</v>
      </c>
      <c r="L527" s="6">
        <v>0.06</v>
      </c>
      <c r="M527" s="35" t="s">
        <v>44</v>
      </c>
      <c r="N527" s="7">
        <v>6.0600000000000001E-2</v>
      </c>
      <c r="O527" s="32">
        <v>0.41</v>
      </c>
      <c r="P527" s="7">
        <v>0.19400000000000001</v>
      </c>
      <c r="Q527" s="8">
        <v>0</v>
      </c>
      <c r="R527" s="8">
        <v>7</v>
      </c>
      <c r="S527" s="8">
        <f>SUM(Dataset_AFinal[[#This Row],[Casual_user]:[Registered_user]])</f>
        <v>7</v>
      </c>
    </row>
    <row r="528" spans="1:19" x14ac:dyDescent="0.3">
      <c r="A528" s="4">
        <v>527</v>
      </c>
      <c r="B528" s="7" t="s">
        <v>102</v>
      </c>
      <c r="C528" s="6" t="s">
        <v>78</v>
      </c>
      <c r="D528" s="6" t="s">
        <v>79</v>
      </c>
      <c r="E528" s="6" t="s">
        <v>31</v>
      </c>
      <c r="F528" s="35">
        <v>1</v>
      </c>
      <c r="G528" s="15" t="str">
        <f t="shared" si="8"/>
        <v>Night</v>
      </c>
      <c r="H528" s="6" t="b">
        <v>0</v>
      </c>
      <c r="I528" s="6" t="s">
        <v>54</v>
      </c>
      <c r="J528" s="6" t="str">
        <f>IF(OR(Dataset_AFinal[[#This Row],[Weekday]]="Sat",Dataset_AFinal[[#This Row],[Weekday]]="Sun"),"Weekend", "Weekday")</f>
        <v>Weekday</v>
      </c>
      <c r="K528" s="6" t="s">
        <v>32</v>
      </c>
      <c r="L528" s="6">
        <v>0.04</v>
      </c>
      <c r="M528" s="35" t="s">
        <v>44</v>
      </c>
      <c r="N528" s="7">
        <v>4.5499999999999999E-2</v>
      </c>
      <c r="O528" s="32">
        <v>0.45</v>
      </c>
      <c r="P528" s="7">
        <v>0.19400000000000001</v>
      </c>
      <c r="Q528" s="8">
        <v>0</v>
      </c>
      <c r="R528" s="8">
        <v>1</v>
      </c>
      <c r="S528" s="8">
        <f>SUM(Dataset_AFinal[[#This Row],[Casual_user]:[Registered_user]])</f>
        <v>1</v>
      </c>
    </row>
    <row r="529" spans="1:19" x14ac:dyDescent="0.3">
      <c r="A529" s="4">
        <v>528</v>
      </c>
      <c r="B529" s="7" t="s">
        <v>102</v>
      </c>
      <c r="C529" s="6" t="s">
        <v>78</v>
      </c>
      <c r="D529" s="6" t="s">
        <v>79</v>
      </c>
      <c r="E529" s="6" t="s">
        <v>31</v>
      </c>
      <c r="F529" s="35">
        <v>3</v>
      </c>
      <c r="G529" s="15" t="str">
        <f t="shared" si="8"/>
        <v>Night</v>
      </c>
      <c r="H529" s="6" t="b">
        <v>0</v>
      </c>
      <c r="I529" s="6" t="s">
        <v>54</v>
      </c>
      <c r="J529" s="6" t="str">
        <f>IF(OR(Dataset_AFinal[[#This Row],[Weekday]]="Sat",Dataset_AFinal[[#This Row],[Weekday]]="Sun"),"Weekend", "Weekday")</f>
        <v>Weekday</v>
      </c>
      <c r="K529" s="6" t="s">
        <v>32</v>
      </c>
      <c r="L529" s="6">
        <v>0.04</v>
      </c>
      <c r="M529" s="35" t="s">
        <v>44</v>
      </c>
      <c r="N529" s="7">
        <v>3.0300000000000001E-2</v>
      </c>
      <c r="O529" s="32">
        <v>0.45</v>
      </c>
      <c r="P529" s="7">
        <v>0.25369999999999998</v>
      </c>
      <c r="Q529" s="8">
        <v>0</v>
      </c>
      <c r="R529" s="8">
        <v>1</v>
      </c>
      <c r="S529" s="8">
        <f>SUM(Dataset_AFinal[[#This Row],[Casual_user]:[Registered_user]])</f>
        <v>1</v>
      </c>
    </row>
    <row r="530" spans="1:19" x14ac:dyDescent="0.3">
      <c r="A530" s="4">
        <v>529</v>
      </c>
      <c r="B530" s="7" t="s">
        <v>102</v>
      </c>
      <c r="C530" s="6" t="s">
        <v>78</v>
      </c>
      <c r="D530" s="6" t="s">
        <v>79</v>
      </c>
      <c r="E530" s="6" t="s">
        <v>31</v>
      </c>
      <c r="F530" s="35">
        <v>4</v>
      </c>
      <c r="G530" s="15" t="str">
        <f t="shared" si="8"/>
        <v>Night</v>
      </c>
      <c r="H530" s="6" t="b">
        <v>0</v>
      </c>
      <c r="I530" s="6" t="s">
        <v>54</v>
      </c>
      <c r="J530" s="6" t="str">
        <f>IF(OR(Dataset_AFinal[[#This Row],[Weekday]]="Sat",Dataset_AFinal[[#This Row],[Weekday]]="Sun"),"Weekend", "Weekday")</f>
        <v>Weekday</v>
      </c>
      <c r="K530" s="6" t="s">
        <v>32</v>
      </c>
      <c r="L530" s="6">
        <v>0.02</v>
      </c>
      <c r="M530" s="35" t="s">
        <v>44</v>
      </c>
      <c r="N530" s="7">
        <v>6.0600000000000001E-2</v>
      </c>
      <c r="O530" s="32">
        <v>0.48</v>
      </c>
      <c r="P530" s="7">
        <v>0.1343</v>
      </c>
      <c r="Q530" s="8">
        <v>0</v>
      </c>
      <c r="R530" s="8">
        <v>1</v>
      </c>
      <c r="S530" s="8">
        <f>SUM(Dataset_AFinal[[#This Row],[Casual_user]:[Registered_user]])</f>
        <v>1</v>
      </c>
    </row>
    <row r="531" spans="1:19" x14ac:dyDescent="0.3">
      <c r="A531" s="4">
        <v>530</v>
      </c>
      <c r="B531" s="7" t="s">
        <v>102</v>
      </c>
      <c r="C531" s="6" t="s">
        <v>78</v>
      </c>
      <c r="D531" s="6" t="s">
        <v>79</v>
      </c>
      <c r="E531" s="6" t="s">
        <v>31</v>
      </c>
      <c r="F531" s="35">
        <v>5</v>
      </c>
      <c r="G531" s="15" t="str">
        <f t="shared" si="8"/>
        <v>Night</v>
      </c>
      <c r="H531" s="6" t="b">
        <v>0</v>
      </c>
      <c r="I531" s="6" t="s">
        <v>54</v>
      </c>
      <c r="J531" s="6" t="str">
        <f>IF(OR(Dataset_AFinal[[#This Row],[Weekday]]="Sat",Dataset_AFinal[[#This Row],[Weekday]]="Sun"),"Weekend", "Weekday")</f>
        <v>Weekday</v>
      </c>
      <c r="K531" s="6" t="s">
        <v>32</v>
      </c>
      <c r="L531" s="6">
        <v>0.02</v>
      </c>
      <c r="M531" s="35" t="s">
        <v>44</v>
      </c>
      <c r="N531" s="7">
        <v>6.0600000000000001E-2</v>
      </c>
      <c r="O531" s="32">
        <v>0.48</v>
      </c>
      <c r="P531" s="7">
        <v>0.1343</v>
      </c>
      <c r="Q531" s="8">
        <v>0</v>
      </c>
      <c r="R531" s="8">
        <v>5</v>
      </c>
      <c r="S531" s="8">
        <f>SUM(Dataset_AFinal[[#This Row],[Casual_user]:[Registered_user]])</f>
        <v>5</v>
      </c>
    </row>
    <row r="532" spans="1:19" x14ac:dyDescent="0.3">
      <c r="A532" s="4">
        <v>531</v>
      </c>
      <c r="B532" s="7" t="s">
        <v>102</v>
      </c>
      <c r="C532" s="6" t="s">
        <v>78</v>
      </c>
      <c r="D532" s="6" t="s">
        <v>79</v>
      </c>
      <c r="E532" s="6" t="s">
        <v>31</v>
      </c>
      <c r="F532" s="35">
        <v>6</v>
      </c>
      <c r="G532" s="15" t="str">
        <f t="shared" si="8"/>
        <v>Morning</v>
      </c>
      <c r="H532" s="6" t="b">
        <v>0</v>
      </c>
      <c r="I532" s="6" t="s">
        <v>54</v>
      </c>
      <c r="J532" s="6" t="str">
        <f>IF(OR(Dataset_AFinal[[#This Row],[Weekday]]="Sat",Dataset_AFinal[[#This Row],[Weekday]]="Sun"),"Weekend", "Weekday")</f>
        <v>Weekday</v>
      </c>
      <c r="K532" s="6" t="s">
        <v>32</v>
      </c>
      <c r="L532" s="6">
        <v>0.02</v>
      </c>
      <c r="M532" s="35" t="s">
        <v>44</v>
      </c>
      <c r="N532" s="7">
        <v>7.5800000000000006E-2</v>
      </c>
      <c r="O532" s="32">
        <v>0.48</v>
      </c>
      <c r="P532" s="7">
        <v>8.9599999999999999E-2</v>
      </c>
      <c r="Q532" s="8">
        <v>0</v>
      </c>
      <c r="R532" s="8">
        <v>15</v>
      </c>
      <c r="S532" s="8">
        <f>SUM(Dataset_AFinal[[#This Row],[Casual_user]:[Registered_user]])</f>
        <v>15</v>
      </c>
    </row>
    <row r="533" spans="1:19" x14ac:dyDescent="0.3">
      <c r="A533" s="4">
        <v>532</v>
      </c>
      <c r="B533" s="7" t="s">
        <v>102</v>
      </c>
      <c r="C533" s="6" t="s">
        <v>78</v>
      </c>
      <c r="D533" s="6" t="s">
        <v>79</v>
      </c>
      <c r="E533" s="6" t="s">
        <v>31</v>
      </c>
      <c r="F533" s="35">
        <v>7</v>
      </c>
      <c r="G533" s="15" t="str">
        <f t="shared" si="8"/>
        <v>Morning</v>
      </c>
      <c r="H533" s="6" t="b">
        <v>0</v>
      </c>
      <c r="I533" s="6" t="s">
        <v>54</v>
      </c>
      <c r="J533" s="6" t="str">
        <f>IF(OR(Dataset_AFinal[[#This Row],[Weekday]]="Sat",Dataset_AFinal[[#This Row],[Weekday]]="Sun"),"Weekend", "Weekday")</f>
        <v>Weekday</v>
      </c>
      <c r="K533" s="6" t="s">
        <v>32</v>
      </c>
      <c r="L533" s="6">
        <v>0.02</v>
      </c>
      <c r="M533" s="35" t="s">
        <v>44</v>
      </c>
      <c r="N533" s="7">
        <v>0.1212</v>
      </c>
      <c r="O533" s="32">
        <v>0.48</v>
      </c>
      <c r="P533" s="7">
        <v>0</v>
      </c>
      <c r="Q533" s="8">
        <v>5</v>
      </c>
      <c r="R533" s="8">
        <v>79</v>
      </c>
      <c r="S533" s="8">
        <f>SUM(Dataset_AFinal[[#This Row],[Casual_user]:[Registered_user]])</f>
        <v>84</v>
      </c>
    </row>
    <row r="534" spans="1:19" x14ac:dyDescent="0.3">
      <c r="A534" s="4">
        <v>533</v>
      </c>
      <c r="B534" s="7" t="s">
        <v>102</v>
      </c>
      <c r="C534" s="6" t="s">
        <v>78</v>
      </c>
      <c r="D534" s="6" t="s">
        <v>79</v>
      </c>
      <c r="E534" s="6" t="s">
        <v>31</v>
      </c>
      <c r="F534" s="35">
        <v>8</v>
      </c>
      <c r="G534" s="15" t="str">
        <f t="shared" si="8"/>
        <v>Morning</v>
      </c>
      <c r="H534" s="6" t="b">
        <v>0</v>
      </c>
      <c r="I534" s="6" t="s">
        <v>54</v>
      </c>
      <c r="J534" s="6" t="str">
        <f>IF(OR(Dataset_AFinal[[#This Row],[Weekday]]="Sat",Dataset_AFinal[[#This Row],[Weekday]]="Sun"),"Weekend", "Weekday")</f>
        <v>Weekday</v>
      </c>
      <c r="K534" s="6" t="s">
        <v>32</v>
      </c>
      <c r="L534" s="6">
        <v>0.04</v>
      </c>
      <c r="M534" s="35" t="s">
        <v>44</v>
      </c>
      <c r="N534" s="7">
        <v>0.13639999999999999</v>
      </c>
      <c r="O534" s="32">
        <v>0.49</v>
      </c>
      <c r="P534" s="7">
        <v>0</v>
      </c>
      <c r="Q534" s="8">
        <v>6</v>
      </c>
      <c r="R534" s="8">
        <v>171</v>
      </c>
      <c r="S534" s="8">
        <f>SUM(Dataset_AFinal[[#This Row],[Casual_user]:[Registered_user]])</f>
        <v>177</v>
      </c>
    </row>
    <row r="535" spans="1:19" x14ac:dyDescent="0.3">
      <c r="A535" s="4">
        <v>534</v>
      </c>
      <c r="B535" s="7" t="s">
        <v>102</v>
      </c>
      <c r="C535" s="6" t="s">
        <v>78</v>
      </c>
      <c r="D535" s="6" t="s">
        <v>79</v>
      </c>
      <c r="E535" s="6" t="s">
        <v>31</v>
      </c>
      <c r="F535" s="35">
        <v>9</v>
      </c>
      <c r="G535" s="15" t="str">
        <f t="shared" si="8"/>
        <v>Morning</v>
      </c>
      <c r="H535" s="6" t="b">
        <v>0</v>
      </c>
      <c r="I535" s="6" t="s">
        <v>54</v>
      </c>
      <c r="J535" s="6" t="str">
        <f>IF(OR(Dataset_AFinal[[#This Row],[Weekday]]="Sat",Dataset_AFinal[[#This Row],[Weekday]]="Sun"),"Weekend", "Weekday")</f>
        <v>Weekday</v>
      </c>
      <c r="K535" s="6" t="s">
        <v>32</v>
      </c>
      <c r="L535" s="6">
        <v>0.06</v>
      </c>
      <c r="M535" s="35" t="s">
        <v>44</v>
      </c>
      <c r="N535" s="7">
        <v>0.1515</v>
      </c>
      <c r="O535" s="32">
        <v>0.41</v>
      </c>
      <c r="P535" s="7">
        <v>0</v>
      </c>
      <c r="Q535" s="8">
        <v>4</v>
      </c>
      <c r="R535" s="8">
        <v>98</v>
      </c>
      <c r="S535" s="8">
        <f>SUM(Dataset_AFinal[[#This Row],[Casual_user]:[Registered_user]])</f>
        <v>102</v>
      </c>
    </row>
    <row r="536" spans="1:19" x14ac:dyDescent="0.3">
      <c r="A536" s="4">
        <v>535</v>
      </c>
      <c r="B536" s="7" t="s">
        <v>102</v>
      </c>
      <c r="C536" s="6" t="s">
        <v>78</v>
      </c>
      <c r="D536" s="6" t="s">
        <v>79</v>
      </c>
      <c r="E536" s="6" t="s">
        <v>31</v>
      </c>
      <c r="F536" s="35">
        <v>10</v>
      </c>
      <c r="G536" s="15" t="str">
        <f t="shared" si="8"/>
        <v>Morning</v>
      </c>
      <c r="H536" s="6" t="b">
        <v>0</v>
      </c>
      <c r="I536" s="6" t="s">
        <v>54</v>
      </c>
      <c r="J536" s="6" t="str">
        <f>IF(OR(Dataset_AFinal[[#This Row],[Weekday]]="Sat",Dataset_AFinal[[#This Row],[Weekday]]="Sun"),"Weekend", "Weekday")</f>
        <v>Weekday</v>
      </c>
      <c r="K536" s="6" t="s">
        <v>32</v>
      </c>
      <c r="L536" s="6">
        <v>0.1</v>
      </c>
      <c r="M536" s="35" t="s">
        <v>44</v>
      </c>
      <c r="N536" s="7">
        <v>0.13639999999999999</v>
      </c>
      <c r="O536" s="32">
        <v>0.42</v>
      </c>
      <c r="P536" s="7">
        <v>0</v>
      </c>
      <c r="Q536" s="8">
        <v>6</v>
      </c>
      <c r="R536" s="8">
        <v>34</v>
      </c>
      <c r="S536" s="8">
        <f>SUM(Dataset_AFinal[[#This Row],[Casual_user]:[Registered_user]])</f>
        <v>40</v>
      </c>
    </row>
    <row r="537" spans="1:19" x14ac:dyDescent="0.3">
      <c r="A537" s="4">
        <v>536</v>
      </c>
      <c r="B537" s="7" t="s">
        <v>102</v>
      </c>
      <c r="C537" s="6" t="s">
        <v>78</v>
      </c>
      <c r="D537" s="6" t="s">
        <v>79</v>
      </c>
      <c r="E537" s="6" t="s">
        <v>31</v>
      </c>
      <c r="F537" s="35">
        <v>11</v>
      </c>
      <c r="G537" s="15" t="str">
        <f t="shared" si="8"/>
        <v>Morning</v>
      </c>
      <c r="H537" s="6" t="b">
        <v>0</v>
      </c>
      <c r="I537" s="6" t="s">
        <v>54</v>
      </c>
      <c r="J537" s="6" t="str">
        <f>IF(OR(Dataset_AFinal[[#This Row],[Weekday]]="Sat",Dataset_AFinal[[#This Row],[Weekday]]="Sun"),"Weekend", "Weekday")</f>
        <v>Weekday</v>
      </c>
      <c r="K537" s="6" t="s">
        <v>32</v>
      </c>
      <c r="L537" s="6">
        <v>0.1</v>
      </c>
      <c r="M537" s="35" t="s">
        <v>44</v>
      </c>
      <c r="N537" s="7">
        <v>0.1212</v>
      </c>
      <c r="O537" s="32">
        <v>0.46</v>
      </c>
      <c r="P537" s="7">
        <v>0.1343</v>
      </c>
      <c r="Q537" s="8">
        <v>3</v>
      </c>
      <c r="R537" s="8">
        <v>43</v>
      </c>
      <c r="S537" s="8">
        <f>SUM(Dataset_AFinal[[#This Row],[Casual_user]:[Registered_user]])</f>
        <v>46</v>
      </c>
    </row>
    <row r="538" spans="1:19" x14ac:dyDescent="0.3">
      <c r="A538" s="4">
        <v>537</v>
      </c>
      <c r="B538" s="7" t="s">
        <v>102</v>
      </c>
      <c r="C538" s="6" t="s">
        <v>78</v>
      </c>
      <c r="D538" s="6" t="s">
        <v>79</v>
      </c>
      <c r="E538" s="6" t="s">
        <v>31</v>
      </c>
      <c r="F538" s="35">
        <v>12</v>
      </c>
      <c r="G538" s="15" t="str">
        <f t="shared" si="8"/>
        <v>Afternoon</v>
      </c>
      <c r="H538" s="6" t="b">
        <v>0</v>
      </c>
      <c r="I538" s="6" t="s">
        <v>54</v>
      </c>
      <c r="J538" s="6" t="str">
        <f>IF(OR(Dataset_AFinal[[#This Row],[Weekday]]="Sat",Dataset_AFinal[[#This Row],[Weekday]]="Sun"),"Weekend", "Weekday")</f>
        <v>Weekday</v>
      </c>
      <c r="K538" s="6" t="s">
        <v>33</v>
      </c>
      <c r="L538" s="6">
        <v>0.12</v>
      </c>
      <c r="M538" s="35" t="s">
        <v>44</v>
      </c>
      <c r="N538" s="7">
        <v>0.13639999999999999</v>
      </c>
      <c r="O538" s="32">
        <v>0.42</v>
      </c>
      <c r="P538" s="7">
        <v>0.19400000000000001</v>
      </c>
      <c r="Q538" s="8">
        <v>11</v>
      </c>
      <c r="R538" s="8">
        <v>52</v>
      </c>
      <c r="S538" s="8">
        <f>SUM(Dataset_AFinal[[#This Row],[Casual_user]:[Registered_user]])</f>
        <v>63</v>
      </c>
    </row>
    <row r="539" spans="1:19" x14ac:dyDescent="0.3">
      <c r="A539" s="4">
        <v>538</v>
      </c>
      <c r="B539" s="7" t="s">
        <v>102</v>
      </c>
      <c r="C539" s="6" t="s">
        <v>78</v>
      </c>
      <c r="D539" s="6" t="s">
        <v>79</v>
      </c>
      <c r="E539" s="6" t="s">
        <v>31</v>
      </c>
      <c r="F539" s="35">
        <v>13</v>
      </c>
      <c r="G539" s="15" t="str">
        <f t="shared" si="8"/>
        <v>Afternoon</v>
      </c>
      <c r="H539" s="6" t="b">
        <v>0</v>
      </c>
      <c r="I539" s="6" t="s">
        <v>54</v>
      </c>
      <c r="J539" s="6" t="str">
        <f>IF(OR(Dataset_AFinal[[#This Row],[Weekday]]="Sat",Dataset_AFinal[[#This Row],[Weekday]]="Sun"),"Weekend", "Weekday")</f>
        <v>Weekday</v>
      </c>
      <c r="K539" s="6" t="s">
        <v>33</v>
      </c>
      <c r="L539" s="6">
        <v>0.14000000000000001</v>
      </c>
      <c r="M539" s="35" t="s">
        <v>44</v>
      </c>
      <c r="N539" s="7">
        <v>0.13639999999999999</v>
      </c>
      <c r="O539" s="32">
        <v>0.43</v>
      </c>
      <c r="P539" s="7">
        <v>0.22389999999999999</v>
      </c>
      <c r="Q539" s="8">
        <v>6</v>
      </c>
      <c r="R539" s="8">
        <v>54</v>
      </c>
      <c r="S539" s="8">
        <f>SUM(Dataset_AFinal[[#This Row],[Casual_user]:[Registered_user]])</f>
        <v>60</v>
      </c>
    </row>
    <row r="540" spans="1:19" x14ac:dyDescent="0.3">
      <c r="A540" s="4">
        <v>539</v>
      </c>
      <c r="B540" s="7" t="s">
        <v>102</v>
      </c>
      <c r="C540" s="6" t="s">
        <v>78</v>
      </c>
      <c r="D540" s="6" t="s">
        <v>79</v>
      </c>
      <c r="E540" s="6" t="s">
        <v>31</v>
      </c>
      <c r="F540" s="35">
        <v>14</v>
      </c>
      <c r="G540" s="15" t="str">
        <f t="shared" si="8"/>
        <v>Afternoon</v>
      </c>
      <c r="H540" s="6" t="b">
        <v>0</v>
      </c>
      <c r="I540" s="6" t="s">
        <v>54</v>
      </c>
      <c r="J540" s="6" t="str">
        <f>IF(OR(Dataset_AFinal[[#This Row],[Weekday]]="Sat",Dataset_AFinal[[#This Row],[Weekday]]="Sun"),"Weekend", "Weekday")</f>
        <v>Weekday</v>
      </c>
      <c r="K540" s="6" t="s">
        <v>33</v>
      </c>
      <c r="L540" s="6">
        <v>0.14000000000000001</v>
      </c>
      <c r="M540" s="35" t="s">
        <v>44</v>
      </c>
      <c r="N540" s="7">
        <v>0.13639999999999999</v>
      </c>
      <c r="O540" s="32">
        <v>0.46</v>
      </c>
      <c r="P540" s="7">
        <v>0.22389999999999999</v>
      </c>
      <c r="Q540" s="8">
        <v>2</v>
      </c>
      <c r="R540" s="8">
        <v>43</v>
      </c>
      <c r="S540" s="8">
        <f>SUM(Dataset_AFinal[[#This Row],[Casual_user]:[Registered_user]])</f>
        <v>45</v>
      </c>
    </row>
    <row r="541" spans="1:19" x14ac:dyDescent="0.3">
      <c r="A541" s="4">
        <v>540</v>
      </c>
      <c r="B541" s="7" t="s">
        <v>102</v>
      </c>
      <c r="C541" s="6" t="s">
        <v>78</v>
      </c>
      <c r="D541" s="6" t="s">
        <v>79</v>
      </c>
      <c r="E541" s="6" t="s">
        <v>31</v>
      </c>
      <c r="F541" s="35">
        <v>15</v>
      </c>
      <c r="G541" s="15" t="str">
        <f t="shared" si="8"/>
        <v>Afternoon</v>
      </c>
      <c r="H541" s="6" t="b">
        <v>0</v>
      </c>
      <c r="I541" s="6" t="s">
        <v>54</v>
      </c>
      <c r="J541" s="6" t="str">
        <f>IF(OR(Dataset_AFinal[[#This Row],[Weekday]]="Sat",Dataset_AFinal[[#This Row],[Weekday]]="Sun"),"Weekend", "Weekday")</f>
        <v>Weekday</v>
      </c>
      <c r="K541" s="6" t="s">
        <v>32</v>
      </c>
      <c r="L541" s="6">
        <v>0.16</v>
      </c>
      <c r="M541" s="35" t="s">
        <v>40</v>
      </c>
      <c r="N541" s="7">
        <v>0.16669999999999999</v>
      </c>
      <c r="O541" s="32">
        <v>0.4</v>
      </c>
      <c r="P541" s="7">
        <v>0.16420000000000001</v>
      </c>
      <c r="Q541" s="8">
        <v>7</v>
      </c>
      <c r="R541" s="8">
        <v>50</v>
      </c>
      <c r="S541" s="8">
        <f>SUM(Dataset_AFinal[[#This Row],[Casual_user]:[Registered_user]])</f>
        <v>57</v>
      </c>
    </row>
    <row r="542" spans="1:19" x14ac:dyDescent="0.3">
      <c r="A542" s="4">
        <v>541</v>
      </c>
      <c r="B542" s="7" t="s">
        <v>102</v>
      </c>
      <c r="C542" s="6" t="s">
        <v>78</v>
      </c>
      <c r="D542" s="6" t="s">
        <v>79</v>
      </c>
      <c r="E542" s="6" t="s">
        <v>31</v>
      </c>
      <c r="F542" s="35">
        <v>16</v>
      </c>
      <c r="G542" s="15" t="str">
        <f t="shared" si="8"/>
        <v>Afternoon</v>
      </c>
      <c r="H542" s="6" t="b">
        <v>0</v>
      </c>
      <c r="I542" s="6" t="s">
        <v>54</v>
      </c>
      <c r="J542" s="6" t="str">
        <f>IF(OR(Dataset_AFinal[[#This Row],[Weekday]]="Sat",Dataset_AFinal[[#This Row],[Weekday]]="Sun"),"Weekend", "Weekday")</f>
        <v>Weekday</v>
      </c>
      <c r="K542" s="6" t="s">
        <v>32</v>
      </c>
      <c r="L542" s="6">
        <v>0.16</v>
      </c>
      <c r="M542" s="35" t="s">
        <v>40</v>
      </c>
      <c r="N542" s="7">
        <v>0.1515</v>
      </c>
      <c r="O542" s="32">
        <v>0.47</v>
      </c>
      <c r="P542" s="7">
        <v>0.25369999999999998</v>
      </c>
      <c r="Q542" s="8">
        <v>4</v>
      </c>
      <c r="R542" s="8">
        <v>66</v>
      </c>
      <c r="S542" s="8">
        <f>SUM(Dataset_AFinal[[#This Row],[Casual_user]:[Registered_user]])</f>
        <v>70</v>
      </c>
    </row>
    <row r="543" spans="1:19" x14ac:dyDescent="0.3">
      <c r="A543" s="4">
        <v>542</v>
      </c>
      <c r="B543" s="7" t="s">
        <v>102</v>
      </c>
      <c r="C543" s="6" t="s">
        <v>78</v>
      </c>
      <c r="D543" s="6" t="s">
        <v>79</v>
      </c>
      <c r="E543" s="6" t="s">
        <v>31</v>
      </c>
      <c r="F543" s="35">
        <v>17</v>
      </c>
      <c r="G543" s="15" t="str">
        <f t="shared" si="8"/>
        <v>Afternoon</v>
      </c>
      <c r="H543" s="6" t="b">
        <v>0</v>
      </c>
      <c r="I543" s="6" t="s">
        <v>54</v>
      </c>
      <c r="J543" s="6" t="str">
        <f>IF(OR(Dataset_AFinal[[#This Row],[Weekday]]="Sat",Dataset_AFinal[[#This Row],[Weekday]]="Sun"),"Weekend", "Weekday")</f>
        <v>Weekday</v>
      </c>
      <c r="K543" s="6" t="s">
        <v>32</v>
      </c>
      <c r="L543" s="6">
        <v>0.14000000000000001</v>
      </c>
      <c r="M543" s="35" t="s">
        <v>44</v>
      </c>
      <c r="N543" s="7">
        <v>0.1212</v>
      </c>
      <c r="O543" s="32">
        <v>0.5</v>
      </c>
      <c r="P543" s="7">
        <v>0.25369999999999998</v>
      </c>
      <c r="Q543" s="8">
        <v>6</v>
      </c>
      <c r="R543" s="8">
        <v>178</v>
      </c>
      <c r="S543" s="8">
        <f>SUM(Dataset_AFinal[[#This Row],[Casual_user]:[Registered_user]])</f>
        <v>184</v>
      </c>
    </row>
    <row r="544" spans="1:19" x14ac:dyDescent="0.3">
      <c r="A544" s="4">
        <v>543</v>
      </c>
      <c r="B544" s="7" t="s">
        <v>102</v>
      </c>
      <c r="C544" s="6" t="s">
        <v>78</v>
      </c>
      <c r="D544" s="6" t="s">
        <v>79</v>
      </c>
      <c r="E544" s="6" t="s">
        <v>31</v>
      </c>
      <c r="F544" s="35">
        <v>18</v>
      </c>
      <c r="G544" s="15" t="str">
        <f t="shared" si="8"/>
        <v>Evening</v>
      </c>
      <c r="H544" s="6" t="b">
        <v>0</v>
      </c>
      <c r="I544" s="6" t="s">
        <v>54</v>
      </c>
      <c r="J544" s="6" t="str">
        <f>IF(OR(Dataset_AFinal[[#This Row],[Weekday]]="Sat",Dataset_AFinal[[#This Row],[Weekday]]="Sun"),"Weekend", "Weekday")</f>
        <v>Weekday</v>
      </c>
      <c r="K544" s="6" t="s">
        <v>32</v>
      </c>
      <c r="L544" s="6">
        <v>0.14000000000000001</v>
      </c>
      <c r="M544" s="35" t="s">
        <v>44</v>
      </c>
      <c r="N544" s="7">
        <v>0.13639999999999999</v>
      </c>
      <c r="O544" s="32">
        <v>0.59</v>
      </c>
      <c r="P544" s="7">
        <v>0.19400000000000001</v>
      </c>
      <c r="Q544" s="8">
        <v>8</v>
      </c>
      <c r="R544" s="8">
        <v>145</v>
      </c>
      <c r="S544" s="8">
        <f>SUM(Dataset_AFinal[[#This Row],[Casual_user]:[Registered_user]])</f>
        <v>153</v>
      </c>
    </row>
    <row r="545" spans="1:19" x14ac:dyDescent="0.3">
      <c r="A545" s="4">
        <v>544</v>
      </c>
      <c r="B545" s="7" t="s">
        <v>102</v>
      </c>
      <c r="C545" s="6" t="s">
        <v>78</v>
      </c>
      <c r="D545" s="6" t="s">
        <v>79</v>
      </c>
      <c r="E545" s="6" t="s">
        <v>31</v>
      </c>
      <c r="F545" s="35">
        <v>19</v>
      </c>
      <c r="G545" s="15" t="str">
        <f t="shared" si="8"/>
        <v>Evening</v>
      </c>
      <c r="H545" s="6" t="b">
        <v>0</v>
      </c>
      <c r="I545" s="6" t="s">
        <v>54</v>
      </c>
      <c r="J545" s="6" t="str">
        <f>IF(OR(Dataset_AFinal[[#This Row],[Weekday]]="Sat",Dataset_AFinal[[#This Row],[Weekday]]="Sun"),"Weekend", "Weekday")</f>
        <v>Weekday</v>
      </c>
      <c r="K545" s="6" t="s">
        <v>32</v>
      </c>
      <c r="L545" s="6">
        <v>0.14000000000000001</v>
      </c>
      <c r="M545" s="35" t="s">
        <v>44</v>
      </c>
      <c r="N545" s="7">
        <v>0.1515</v>
      </c>
      <c r="O545" s="32">
        <v>0.54</v>
      </c>
      <c r="P545" s="7">
        <v>0.16420000000000001</v>
      </c>
      <c r="Q545" s="8">
        <v>5</v>
      </c>
      <c r="R545" s="8">
        <v>101</v>
      </c>
      <c r="S545" s="8">
        <f>SUM(Dataset_AFinal[[#This Row],[Casual_user]:[Registered_user]])</f>
        <v>106</v>
      </c>
    </row>
    <row r="546" spans="1:19" x14ac:dyDescent="0.3">
      <c r="A546" s="4">
        <v>545</v>
      </c>
      <c r="B546" s="7" t="s">
        <v>102</v>
      </c>
      <c r="C546" s="6" t="s">
        <v>78</v>
      </c>
      <c r="D546" s="6" t="s">
        <v>79</v>
      </c>
      <c r="E546" s="6" t="s">
        <v>31</v>
      </c>
      <c r="F546" s="35">
        <v>20</v>
      </c>
      <c r="G546" s="15" t="str">
        <f t="shared" si="8"/>
        <v>Evening</v>
      </c>
      <c r="H546" s="6" t="b">
        <v>0</v>
      </c>
      <c r="I546" s="6" t="s">
        <v>54</v>
      </c>
      <c r="J546" s="6" t="str">
        <f>IF(OR(Dataset_AFinal[[#This Row],[Weekday]]="Sat",Dataset_AFinal[[#This Row],[Weekday]]="Sun"),"Weekend", "Weekday")</f>
        <v>Weekday</v>
      </c>
      <c r="K546" s="6" t="s">
        <v>32</v>
      </c>
      <c r="L546" s="6">
        <v>0.14000000000000001</v>
      </c>
      <c r="M546" s="35" t="s">
        <v>44</v>
      </c>
      <c r="N546" s="7">
        <v>0.13639999999999999</v>
      </c>
      <c r="O546" s="32">
        <v>0.59</v>
      </c>
      <c r="P546" s="7">
        <v>0.19400000000000001</v>
      </c>
      <c r="Q546" s="8">
        <v>1</v>
      </c>
      <c r="R546" s="8">
        <v>80</v>
      </c>
      <c r="S546" s="8">
        <f>SUM(Dataset_AFinal[[#This Row],[Casual_user]:[Registered_user]])</f>
        <v>81</v>
      </c>
    </row>
    <row r="547" spans="1:19" x14ac:dyDescent="0.3">
      <c r="A547" s="4">
        <v>546</v>
      </c>
      <c r="B547" s="7" t="s">
        <v>102</v>
      </c>
      <c r="C547" s="6" t="s">
        <v>78</v>
      </c>
      <c r="D547" s="6" t="s">
        <v>79</v>
      </c>
      <c r="E547" s="6" t="s">
        <v>31</v>
      </c>
      <c r="F547" s="35">
        <v>21</v>
      </c>
      <c r="G547" s="15" t="str">
        <f t="shared" si="8"/>
        <v>Evening</v>
      </c>
      <c r="H547" s="6" t="b">
        <v>0</v>
      </c>
      <c r="I547" s="6" t="s">
        <v>54</v>
      </c>
      <c r="J547" s="6" t="str">
        <f>IF(OR(Dataset_AFinal[[#This Row],[Weekday]]="Sat",Dataset_AFinal[[#This Row],[Weekday]]="Sun"),"Weekend", "Weekday")</f>
        <v>Weekday</v>
      </c>
      <c r="K547" s="6" t="s">
        <v>32</v>
      </c>
      <c r="L547" s="6">
        <v>0.14000000000000001</v>
      </c>
      <c r="M547" s="35" t="s">
        <v>44</v>
      </c>
      <c r="N547" s="7">
        <v>0.1515</v>
      </c>
      <c r="O547" s="32">
        <v>0.63</v>
      </c>
      <c r="P547" s="7">
        <v>0.16420000000000001</v>
      </c>
      <c r="Q547" s="8">
        <v>6</v>
      </c>
      <c r="R547" s="8">
        <v>53</v>
      </c>
      <c r="S547" s="8">
        <f>SUM(Dataset_AFinal[[#This Row],[Casual_user]:[Registered_user]])</f>
        <v>59</v>
      </c>
    </row>
    <row r="548" spans="1:19" x14ac:dyDescent="0.3">
      <c r="A548" s="4">
        <v>547</v>
      </c>
      <c r="B548" s="7" t="s">
        <v>102</v>
      </c>
      <c r="C548" s="6" t="s">
        <v>78</v>
      </c>
      <c r="D548" s="6" t="s">
        <v>79</v>
      </c>
      <c r="E548" s="6" t="s">
        <v>31</v>
      </c>
      <c r="F548" s="35">
        <v>22</v>
      </c>
      <c r="G548" s="15" t="str">
        <f t="shared" si="8"/>
        <v>Evening</v>
      </c>
      <c r="H548" s="6" t="b">
        <v>0</v>
      </c>
      <c r="I548" s="6" t="s">
        <v>54</v>
      </c>
      <c r="J548" s="6" t="str">
        <f>IF(OR(Dataset_AFinal[[#This Row],[Weekday]]="Sat",Dataset_AFinal[[#This Row],[Weekday]]="Sun"),"Weekend", "Weekday")</f>
        <v>Weekday</v>
      </c>
      <c r="K548" s="6" t="s">
        <v>33</v>
      </c>
      <c r="L548" s="6">
        <v>0.14000000000000001</v>
      </c>
      <c r="M548" s="35" t="s">
        <v>44</v>
      </c>
      <c r="N548" s="7">
        <v>0.13639999999999999</v>
      </c>
      <c r="O548" s="32">
        <v>0.63</v>
      </c>
      <c r="P548" s="7">
        <v>0.22389999999999999</v>
      </c>
      <c r="Q548" s="8">
        <v>3</v>
      </c>
      <c r="R548" s="8">
        <v>32</v>
      </c>
      <c r="S548" s="8">
        <f>SUM(Dataset_AFinal[[#This Row],[Casual_user]:[Registered_user]])</f>
        <v>35</v>
      </c>
    </row>
    <row r="549" spans="1:19" x14ac:dyDescent="0.3">
      <c r="A549" s="4">
        <v>548</v>
      </c>
      <c r="B549" s="7" t="s">
        <v>102</v>
      </c>
      <c r="C549" s="6" t="s">
        <v>78</v>
      </c>
      <c r="D549" s="6" t="s">
        <v>79</v>
      </c>
      <c r="E549" s="6" t="s">
        <v>31</v>
      </c>
      <c r="F549" s="35">
        <v>23</v>
      </c>
      <c r="G549" s="15" t="str">
        <f t="shared" si="8"/>
        <v>Evening</v>
      </c>
      <c r="H549" s="6" t="b">
        <v>0</v>
      </c>
      <c r="I549" s="6" t="s">
        <v>54</v>
      </c>
      <c r="J549" s="6" t="str">
        <f>IF(OR(Dataset_AFinal[[#This Row],[Weekday]]="Sat",Dataset_AFinal[[#This Row],[Weekday]]="Sun"),"Weekend", "Weekday")</f>
        <v>Weekday</v>
      </c>
      <c r="K549" s="6" t="s">
        <v>33</v>
      </c>
      <c r="L549" s="6">
        <v>0.16</v>
      </c>
      <c r="M549" s="35" t="s">
        <v>40</v>
      </c>
      <c r="N549" s="7">
        <v>0.1515</v>
      </c>
      <c r="O549" s="32">
        <v>0.64</v>
      </c>
      <c r="P549" s="7">
        <v>0.25369999999999998</v>
      </c>
      <c r="Q549" s="8">
        <v>3</v>
      </c>
      <c r="R549" s="8">
        <v>21</v>
      </c>
      <c r="S549" s="8">
        <f>SUM(Dataset_AFinal[[#This Row],[Casual_user]:[Registered_user]])</f>
        <v>24</v>
      </c>
    </row>
    <row r="550" spans="1:19" x14ac:dyDescent="0.3">
      <c r="A550" s="4">
        <v>549</v>
      </c>
      <c r="B550" s="7" t="s">
        <v>103</v>
      </c>
      <c r="C550" s="6" t="s">
        <v>78</v>
      </c>
      <c r="D550" s="6" t="s">
        <v>79</v>
      </c>
      <c r="E550" s="6" t="s">
        <v>31</v>
      </c>
      <c r="F550" s="35">
        <v>0</v>
      </c>
      <c r="G550" s="15" t="str">
        <f t="shared" si="8"/>
        <v>Night</v>
      </c>
      <c r="H550" s="6" t="b">
        <v>0</v>
      </c>
      <c r="I550" s="6" t="s">
        <v>55</v>
      </c>
      <c r="J550" s="6" t="str">
        <f>IF(OR(Dataset_AFinal[[#This Row],[Weekday]]="Sat",Dataset_AFinal[[#This Row],[Weekday]]="Sun"),"Weekend", "Weekday")</f>
        <v>Weekday</v>
      </c>
      <c r="K550" s="6" t="s">
        <v>33</v>
      </c>
      <c r="L550" s="6">
        <v>0.16</v>
      </c>
      <c r="M550" s="35" t="s">
        <v>40</v>
      </c>
      <c r="N550" s="7">
        <v>0.13639999999999999</v>
      </c>
      <c r="O550" s="32">
        <v>0.69</v>
      </c>
      <c r="P550" s="7">
        <v>0.28360000000000002</v>
      </c>
      <c r="Q550" s="8">
        <v>3</v>
      </c>
      <c r="R550" s="8">
        <v>6</v>
      </c>
      <c r="S550" s="8">
        <f>SUM(Dataset_AFinal[[#This Row],[Casual_user]:[Registered_user]])</f>
        <v>9</v>
      </c>
    </row>
    <row r="551" spans="1:19" x14ac:dyDescent="0.3">
      <c r="A551" s="4">
        <v>550</v>
      </c>
      <c r="B551" s="7" t="s">
        <v>103</v>
      </c>
      <c r="C551" s="6" t="s">
        <v>78</v>
      </c>
      <c r="D551" s="6" t="s">
        <v>79</v>
      </c>
      <c r="E551" s="6" t="s">
        <v>31</v>
      </c>
      <c r="F551" s="35">
        <v>1</v>
      </c>
      <c r="G551" s="15" t="str">
        <f t="shared" si="8"/>
        <v>Night</v>
      </c>
      <c r="H551" s="6" t="b">
        <v>0</v>
      </c>
      <c r="I551" s="6" t="s">
        <v>55</v>
      </c>
      <c r="J551" s="6" t="str">
        <f>IF(OR(Dataset_AFinal[[#This Row],[Weekday]]="Sat",Dataset_AFinal[[#This Row],[Weekday]]="Sun"),"Weekend", "Weekday")</f>
        <v>Weekday</v>
      </c>
      <c r="K551" s="6" t="s">
        <v>33</v>
      </c>
      <c r="L551" s="6">
        <v>0.16</v>
      </c>
      <c r="M551" s="35" t="s">
        <v>40</v>
      </c>
      <c r="N551" s="7">
        <v>0.16669999999999999</v>
      </c>
      <c r="O551" s="32">
        <v>0.69</v>
      </c>
      <c r="P551" s="7">
        <v>0.16420000000000001</v>
      </c>
      <c r="Q551" s="8">
        <v>0</v>
      </c>
      <c r="R551" s="8">
        <v>5</v>
      </c>
      <c r="S551" s="8">
        <f>SUM(Dataset_AFinal[[#This Row],[Casual_user]:[Registered_user]])</f>
        <v>5</v>
      </c>
    </row>
    <row r="552" spans="1:19" x14ac:dyDescent="0.3">
      <c r="A552" s="4">
        <v>551</v>
      </c>
      <c r="B552" s="7" t="s">
        <v>103</v>
      </c>
      <c r="C552" s="6" t="s">
        <v>78</v>
      </c>
      <c r="D552" s="6" t="s">
        <v>79</v>
      </c>
      <c r="E552" s="6" t="s">
        <v>31</v>
      </c>
      <c r="F552" s="35">
        <v>2</v>
      </c>
      <c r="G552" s="15" t="str">
        <f t="shared" si="8"/>
        <v>Night</v>
      </c>
      <c r="H552" s="6" t="b">
        <v>0</v>
      </c>
      <c r="I552" s="6" t="s">
        <v>55</v>
      </c>
      <c r="J552" s="6" t="str">
        <f>IF(OR(Dataset_AFinal[[#This Row],[Weekday]]="Sat",Dataset_AFinal[[#This Row],[Weekday]]="Sun"),"Weekend", "Weekday")</f>
        <v>Weekday</v>
      </c>
      <c r="K552" s="6" t="s">
        <v>32</v>
      </c>
      <c r="L552" s="6">
        <v>0.16</v>
      </c>
      <c r="M552" s="35" t="s">
        <v>40</v>
      </c>
      <c r="N552" s="7">
        <v>0.1515</v>
      </c>
      <c r="O552" s="32">
        <v>0.69</v>
      </c>
      <c r="P552" s="7">
        <v>0.22389999999999999</v>
      </c>
      <c r="Q552" s="8">
        <v>0</v>
      </c>
      <c r="R552" s="8">
        <v>2</v>
      </c>
      <c r="S552" s="8">
        <f>SUM(Dataset_AFinal[[#This Row],[Casual_user]:[Registered_user]])</f>
        <v>2</v>
      </c>
    </row>
    <row r="553" spans="1:19" x14ac:dyDescent="0.3">
      <c r="A553" s="4">
        <v>552</v>
      </c>
      <c r="B553" s="7" t="s">
        <v>103</v>
      </c>
      <c r="C553" s="6" t="s">
        <v>78</v>
      </c>
      <c r="D553" s="6" t="s">
        <v>79</v>
      </c>
      <c r="E553" s="6" t="s">
        <v>31</v>
      </c>
      <c r="F553" s="35">
        <v>4</v>
      </c>
      <c r="G553" s="15" t="str">
        <f t="shared" si="8"/>
        <v>Night</v>
      </c>
      <c r="H553" s="6" t="b">
        <v>0</v>
      </c>
      <c r="I553" s="6" t="s">
        <v>55</v>
      </c>
      <c r="J553" s="6" t="str">
        <f>IF(OR(Dataset_AFinal[[#This Row],[Weekday]]="Sat",Dataset_AFinal[[#This Row],[Weekday]]="Sun"),"Weekend", "Weekday")</f>
        <v>Weekday</v>
      </c>
      <c r="K553" s="6" t="s">
        <v>32</v>
      </c>
      <c r="L553" s="6">
        <v>0.14000000000000001</v>
      </c>
      <c r="M553" s="35" t="s">
        <v>44</v>
      </c>
      <c r="N553" s="7">
        <v>0.16669999999999999</v>
      </c>
      <c r="O553" s="32">
        <v>0.74</v>
      </c>
      <c r="P553" s="7">
        <v>0.1045</v>
      </c>
      <c r="Q553" s="8">
        <v>0</v>
      </c>
      <c r="R553" s="8">
        <v>1</v>
      </c>
      <c r="S553" s="8">
        <f>SUM(Dataset_AFinal[[#This Row],[Casual_user]:[Registered_user]])</f>
        <v>1</v>
      </c>
    </row>
    <row r="554" spans="1:19" x14ac:dyDescent="0.3">
      <c r="A554" s="4">
        <v>553</v>
      </c>
      <c r="B554" s="7" t="s">
        <v>103</v>
      </c>
      <c r="C554" s="6" t="s">
        <v>78</v>
      </c>
      <c r="D554" s="6" t="s">
        <v>79</v>
      </c>
      <c r="E554" s="6" t="s">
        <v>31</v>
      </c>
      <c r="F554" s="35">
        <v>5</v>
      </c>
      <c r="G554" s="15" t="str">
        <f t="shared" si="8"/>
        <v>Night</v>
      </c>
      <c r="H554" s="6" t="b">
        <v>0</v>
      </c>
      <c r="I554" s="6" t="s">
        <v>55</v>
      </c>
      <c r="J554" s="6" t="str">
        <f>IF(OR(Dataset_AFinal[[#This Row],[Weekday]]="Sat",Dataset_AFinal[[#This Row],[Weekday]]="Sun"),"Weekend", "Weekday")</f>
        <v>Weekday</v>
      </c>
      <c r="K554" s="6" t="s">
        <v>32</v>
      </c>
      <c r="L554" s="6">
        <v>0.14000000000000001</v>
      </c>
      <c r="M554" s="35" t="s">
        <v>44</v>
      </c>
      <c r="N554" s="7">
        <v>0.13639999999999999</v>
      </c>
      <c r="O554" s="32">
        <v>0.74</v>
      </c>
      <c r="P554" s="7">
        <v>0.22389999999999999</v>
      </c>
      <c r="Q554" s="8">
        <v>0</v>
      </c>
      <c r="R554" s="8">
        <v>9</v>
      </c>
      <c r="S554" s="8">
        <f>SUM(Dataset_AFinal[[#This Row],[Casual_user]:[Registered_user]])</f>
        <v>9</v>
      </c>
    </row>
    <row r="555" spans="1:19" x14ac:dyDescent="0.3">
      <c r="A555" s="4">
        <v>554</v>
      </c>
      <c r="B555" s="7" t="s">
        <v>103</v>
      </c>
      <c r="C555" s="6" t="s">
        <v>78</v>
      </c>
      <c r="D555" s="6" t="s">
        <v>79</v>
      </c>
      <c r="E555" s="6" t="s">
        <v>31</v>
      </c>
      <c r="F555" s="35">
        <v>6</v>
      </c>
      <c r="G555" s="15" t="str">
        <f t="shared" si="8"/>
        <v>Morning</v>
      </c>
      <c r="H555" s="6" t="b">
        <v>0</v>
      </c>
      <c r="I555" s="6" t="s">
        <v>55</v>
      </c>
      <c r="J555" s="6" t="str">
        <f>IF(OR(Dataset_AFinal[[#This Row],[Weekday]]="Sat",Dataset_AFinal[[#This Row],[Weekday]]="Sun"),"Weekend", "Weekday")</f>
        <v>Weekday</v>
      </c>
      <c r="K555" s="6" t="s">
        <v>32</v>
      </c>
      <c r="L555" s="6">
        <v>0.16</v>
      </c>
      <c r="M555" s="35" t="s">
        <v>40</v>
      </c>
      <c r="N555" s="7">
        <v>0.18179999999999999</v>
      </c>
      <c r="O555" s="32">
        <v>0.74</v>
      </c>
      <c r="P555" s="7">
        <v>0.1045</v>
      </c>
      <c r="Q555" s="8">
        <v>1</v>
      </c>
      <c r="R555" s="8">
        <v>35</v>
      </c>
      <c r="S555" s="8">
        <f>SUM(Dataset_AFinal[[#This Row],[Casual_user]:[Registered_user]])</f>
        <v>36</v>
      </c>
    </row>
    <row r="556" spans="1:19" x14ac:dyDescent="0.3">
      <c r="A556" s="4">
        <v>555</v>
      </c>
      <c r="B556" s="7" t="s">
        <v>103</v>
      </c>
      <c r="C556" s="6" t="s">
        <v>78</v>
      </c>
      <c r="D556" s="6" t="s">
        <v>79</v>
      </c>
      <c r="E556" s="6" t="s">
        <v>31</v>
      </c>
      <c r="F556" s="35">
        <v>7</v>
      </c>
      <c r="G556" s="15" t="str">
        <f t="shared" si="8"/>
        <v>Morning</v>
      </c>
      <c r="H556" s="6" t="b">
        <v>0</v>
      </c>
      <c r="I556" s="6" t="s">
        <v>55</v>
      </c>
      <c r="J556" s="6" t="str">
        <f>IF(OR(Dataset_AFinal[[#This Row],[Weekday]]="Sat",Dataset_AFinal[[#This Row],[Weekday]]="Sun"),"Weekend", "Weekday")</f>
        <v>Weekday</v>
      </c>
      <c r="K556" s="6" t="s">
        <v>32</v>
      </c>
      <c r="L556" s="6">
        <v>0.16</v>
      </c>
      <c r="M556" s="35" t="s">
        <v>40</v>
      </c>
      <c r="N556" s="7">
        <v>0.1515</v>
      </c>
      <c r="O556" s="32">
        <v>0.74</v>
      </c>
      <c r="P556" s="7">
        <v>0.22389999999999999</v>
      </c>
      <c r="Q556" s="8">
        <v>5</v>
      </c>
      <c r="R556" s="8">
        <v>103</v>
      </c>
      <c r="S556" s="8">
        <f>SUM(Dataset_AFinal[[#This Row],[Casual_user]:[Registered_user]])</f>
        <v>108</v>
      </c>
    </row>
    <row r="557" spans="1:19" x14ac:dyDescent="0.3">
      <c r="A557" s="4">
        <v>556</v>
      </c>
      <c r="B557" s="7" t="s">
        <v>103</v>
      </c>
      <c r="C557" s="6" t="s">
        <v>78</v>
      </c>
      <c r="D557" s="6" t="s">
        <v>79</v>
      </c>
      <c r="E557" s="6" t="s">
        <v>31</v>
      </c>
      <c r="F557" s="35">
        <v>8</v>
      </c>
      <c r="G557" s="15" t="str">
        <f t="shared" si="8"/>
        <v>Morning</v>
      </c>
      <c r="H557" s="6" t="b">
        <v>0</v>
      </c>
      <c r="I557" s="6" t="s">
        <v>55</v>
      </c>
      <c r="J557" s="6" t="str">
        <f>IF(OR(Dataset_AFinal[[#This Row],[Weekday]]="Sat",Dataset_AFinal[[#This Row],[Weekday]]="Sun"),"Weekend", "Weekday")</f>
        <v>Weekday</v>
      </c>
      <c r="K557" s="6" t="s">
        <v>33</v>
      </c>
      <c r="L557" s="6">
        <v>0.16</v>
      </c>
      <c r="M557" s="35" t="s">
        <v>40</v>
      </c>
      <c r="N557" s="7">
        <v>0.18179999999999999</v>
      </c>
      <c r="O557" s="32">
        <v>0.74</v>
      </c>
      <c r="P557" s="7">
        <v>0.1343</v>
      </c>
      <c r="Q557" s="8">
        <v>5</v>
      </c>
      <c r="R557" s="8">
        <v>233</v>
      </c>
      <c r="S557" s="8">
        <f>SUM(Dataset_AFinal[[#This Row],[Casual_user]:[Registered_user]])</f>
        <v>238</v>
      </c>
    </row>
    <row r="558" spans="1:19" x14ac:dyDescent="0.3">
      <c r="A558" s="4">
        <v>557</v>
      </c>
      <c r="B558" s="7" t="s">
        <v>103</v>
      </c>
      <c r="C558" s="6" t="s">
        <v>78</v>
      </c>
      <c r="D558" s="6" t="s">
        <v>79</v>
      </c>
      <c r="E558" s="6" t="s">
        <v>31</v>
      </c>
      <c r="F558" s="35">
        <v>9</v>
      </c>
      <c r="G558" s="15" t="str">
        <f t="shared" si="8"/>
        <v>Morning</v>
      </c>
      <c r="H558" s="6" t="b">
        <v>0</v>
      </c>
      <c r="I558" s="6" t="s">
        <v>55</v>
      </c>
      <c r="J558" s="6" t="str">
        <f>IF(OR(Dataset_AFinal[[#This Row],[Weekday]]="Sat",Dataset_AFinal[[#This Row],[Weekday]]="Sun"),"Weekend", "Weekday")</f>
        <v>Weekday</v>
      </c>
      <c r="K558" s="6" t="s">
        <v>33</v>
      </c>
      <c r="L558" s="6">
        <v>0.2</v>
      </c>
      <c r="M558" s="35" t="s">
        <v>40</v>
      </c>
      <c r="N558" s="7">
        <v>0.2273</v>
      </c>
      <c r="O558" s="32">
        <v>0.64</v>
      </c>
      <c r="P558" s="7">
        <v>8.9599999999999999E-2</v>
      </c>
      <c r="Q558" s="8">
        <v>10</v>
      </c>
      <c r="R558" s="8">
        <v>134</v>
      </c>
      <c r="S558" s="8">
        <f>SUM(Dataset_AFinal[[#This Row],[Casual_user]:[Registered_user]])</f>
        <v>144</v>
      </c>
    </row>
    <row r="559" spans="1:19" x14ac:dyDescent="0.3">
      <c r="A559" s="4">
        <v>558</v>
      </c>
      <c r="B559" s="7" t="s">
        <v>103</v>
      </c>
      <c r="C559" s="6" t="s">
        <v>78</v>
      </c>
      <c r="D559" s="6" t="s">
        <v>79</v>
      </c>
      <c r="E559" s="6" t="s">
        <v>31</v>
      </c>
      <c r="F559" s="35">
        <v>10</v>
      </c>
      <c r="G559" s="15" t="str">
        <f t="shared" si="8"/>
        <v>Morning</v>
      </c>
      <c r="H559" s="6" t="b">
        <v>0</v>
      </c>
      <c r="I559" s="6" t="s">
        <v>55</v>
      </c>
      <c r="J559" s="6" t="str">
        <f>IF(OR(Dataset_AFinal[[#This Row],[Weekday]]="Sat",Dataset_AFinal[[#This Row],[Weekday]]="Sun"),"Weekend", "Weekday")</f>
        <v>Weekday</v>
      </c>
      <c r="K559" s="6" t="s">
        <v>33</v>
      </c>
      <c r="L559" s="6">
        <v>0.22</v>
      </c>
      <c r="M559" s="35" t="s">
        <v>40</v>
      </c>
      <c r="N559" s="7">
        <v>0.2424</v>
      </c>
      <c r="O559" s="32">
        <v>0.6</v>
      </c>
      <c r="P559" s="7">
        <v>0.1045</v>
      </c>
      <c r="Q559" s="8">
        <v>6</v>
      </c>
      <c r="R559" s="8">
        <v>49</v>
      </c>
      <c r="S559" s="8">
        <f>SUM(Dataset_AFinal[[#This Row],[Casual_user]:[Registered_user]])</f>
        <v>55</v>
      </c>
    </row>
    <row r="560" spans="1:19" x14ac:dyDescent="0.3">
      <c r="A560" s="4">
        <v>559</v>
      </c>
      <c r="B560" s="7" t="s">
        <v>103</v>
      </c>
      <c r="C560" s="6" t="s">
        <v>78</v>
      </c>
      <c r="D560" s="6" t="s">
        <v>79</v>
      </c>
      <c r="E560" s="6" t="s">
        <v>31</v>
      </c>
      <c r="F560" s="35">
        <v>11</v>
      </c>
      <c r="G560" s="15" t="str">
        <f t="shared" si="8"/>
        <v>Morning</v>
      </c>
      <c r="H560" s="6" t="b">
        <v>0</v>
      </c>
      <c r="I560" s="6" t="s">
        <v>55</v>
      </c>
      <c r="J560" s="6" t="str">
        <f>IF(OR(Dataset_AFinal[[#This Row],[Weekday]]="Sat",Dataset_AFinal[[#This Row],[Weekday]]="Sun"),"Weekend", "Weekday")</f>
        <v>Weekday</v>
      </c>
      <c r="K560" s="6" t="s">
        <v>33</v>
      </c>
      <c r="L560" s="6">
        <v>0.24</v>
      </c>
      <c r="M560" s="35" t="s">
        <v>40</v>
      </c>
      <c r="N560" s="7">
        <v>0.2424</v>
      </c>
      <c r="O560" s="32">
        <v>0.6</v>
      </c>
      <c r="P560" s="7">
        <v>0.1343</v>
      </c>
      <c r="Q560" s="8">
        <v>6</v>
      </c>
      <c r="R560" s="8">
        <v>55</v>
      </c>
      <c r="S560" s="8">
        <f>SUM(Dataset_AFinal[[#This Row],[Casual_user]:[Registered_user]])</f>
        <v>61</v>
      </c>
    </row>
    <row r="561" spans="1:19" x14ac:dyDescent="0.3">
      <c r="A561" s="4">
        <v>560</v>
      </c>
      <c r="B561" s="7" t="s">
        <v>103</v>
      </c>
      <c r="C561" s="6" t="s">
        <v>78</v>
      </c>
      <c r="D561" s="6" t="s">
        <v>79</v>
      </c>
      <c r="E561" s="6" t="s">
        <v>31</v>
      </c>
      <c r="F561" s="35">
        <v>12</v>
      </c>
      <c r="G561" s="15" t="str">
        <f t="shared" si="8"/>
        <v>Afternoon</v>
      </c>
      <c r="H561" s="6" t="b">
        <v>0</v>
      </c>
      <c r="I561" s="6" t="s">
        <v>55</v>
      </c>
      <c r="J561" s="6" t="str">
        <f>IF(OR(Dataset_AFinal[[#This Row],[Weekday]]="Sat",Dataset_AFinal[[#This Row],[Weekday]]="Sun"),"Weekend", "Weekday")</f>
        <v>Weekday</v>
      </c>
      <c r="K561" s="6" t="s">
        <v>33</v>
      </c>
      <c r="L561" s="6">
        <v>0.26</v>
      </c>
      <c r="M561" s="35" t="s">
        <v>41</v>
      </c>
      <c r="N561" s="7">
        <v>0.28789999999999999</v>
      </c>
      <c r="O561" s="32">
        <v>0.56000000000000005</v>
      </c>
      <c r="P561" s="7">
        <v>8.9599999999999999E-2</v>
      </c>
      <c r="Q561" s="8">
        <v>21</v>
      </c>
      <c r="R561" s="8">
        <v>85</v>
      </c>
      <c r="S561" s="8">
        <f>SUM(Dataset_AFinal[[#This Row],[Casual_user]:[Registered_user]])</f>
        <v>106</v>
      </c>
    </row>
    <row r="562" spans="1:19" x14ac:dyDescent="0.3">
      <c r="A562" s="4">
        <v>561</v>
      </c>
      <c r="B562" s="7" t="s">
        <v>103</v>
      </c>
      <c r="C562" s="6" t="s">
        <v>78</v>
      </c>
      <c r="D562" s="6" t="s">
        <v>79</v>
      </c>
      <c r="E562" s="6" t="s">
        <v>31</v>
      </c>
      <c r="F562" s="35">
        <v>13</v>
      </c>
      <c r="G562" s="15" t="str">
        <f t="shared" si="8"/>
        <v>Afternoon</v>
      </c>
      <c r="H562" s="6" t="b">
        <v>0</v>
      </c>
      <c r="I562" s="6" t="s">
        <v>55</v>
      </c>
      <c r="J562" s="6" t="str">
        <f>IF(OR(Dataset_AFinal[[#This Row],[Weekday]]="Sat",Dataset_AFinal[[#This Row],[Weekday]]="Sun"),"Weekend", "Weekday")</f>
        <v>Weekday</v>
      </c>
      <c r="K562" s="6" t="s">
        <v>33</v>
      </c>
      <c r="L562" s="6">
        <v>0.26</v>
      </c>
      <c r="M562" s="35" t="s">
        <v>41</v>
      </c>
      <c r="N562" s="7">
        <v>0.2727</v>
      </c>
      <c r="O562" s="32">
        <v>0.56000000000000005</v>
      </c>
      <c r="P562" s="7">
        <v>0.1343</v>
      </c>
      <c r="Q562" s="8">
        <v>21</v>
      </c>
      <c r="R562" s="8">
        <v>72</v>
      </c>
      <c r="S562" s="8">
        <f>SUM(Dataset_AFinal[[#This Row],[Casual_user]:[Registered_user]])</f>
        <v>93</v>
      </c>
    </row>
    <row r="563" spans="1:19" x14ac:dyDescent="0.3">
      <c r="A563" s="4">
        <v>562</v>
      </c>
      <c r="B563" s="7" t="s">
        <v>103</v>
      </c>
      <c r="C563" s="6" t="s">
        <v>78</v>
      </c>
      <c r="D563" s="6" t="s">
        <v>79</v>
      </c>
      <c r="E563" s="6" t="s">
        <v>31</v>
      </c>
      <c r="F563" s="35">
        <v>14</v>
      </c>
      <c r="G563" s="15" t="str">
        <f t="shared" si="8"/>
        <v>Afternoon</v>
      </c>
      <c r="H563" s="6" t="b">
        <v>0</v>
      </c>
      <c r="I563" s="6" t="s">
        <v>55</v>
      </c>
      <c r="J563" s="6" t="str">
        <f>IF(OR(Dataset_AFinal[[#This Row],[Weekday]]="Sat",Dataset_AFinal[[#This Row],[Weekday]]="Sun"),"Weekend", "Weekday")</f>
        <v>Weekday</v>
      </c>
      <c r="K563" s="6" t="s">
        <v>33</v>
      </c>
      <c r="L563" s="6">
        <v>0.3</v>
      </c>
      <c r="M563" s="35" t="s">
        <v>41</v>
      </c>
      <c r="N563" s="7">
        <v>0.33329999999999999</v>
      </c>
      <c r="O563" s="32">
        <v>0.45</v>
      </c>
      <c r="P563" s="7">
        <v>0</v>
      </c>
      <c r="Q563" s="8">
        <v>11</v>
      </c>
      <c r="R563" s="8">
        <v>57</v>
      </c>
      <c r="S563" s="8">
        <f>SUM(Dataset_AFinal[[#This Row],[Casual_user]:[Registered_user]])</f>
        <v>68</v>
      </c>
    </row>
    <row r="564" spans="1:19" x14ac:dyDescent="0.3">
      <c r="A564" s="4">
        <v>563</v>
      </c>
      <c r="B564" s="7" t="s">
        <v>103</v>
      </c>
      <c r="C564" s="6" t="s">
        <v>78</v>
      </c>
      <c r="D564" s="6" t="s">
        <v>79</v>
      </c>
      <c r="E564" s="6" t="s">
        <v>31</v>
      </c>
      <c r="F564" s="35">
        <v>15</v>
      </c>
      <c r="G564" s="15" t="str">
        <f t="shared" si="8"/>
        <v>Afternoon</v>
      </c>
      <c r="H564" s="6" t="b">
        <v>0</v>
      </c>
      <c r="I564" s="6" t="s">
        <v>55</v>
      </c>
      <c r="J564" s="6" t="str">
        <f>IF(OR(Dataset_AFinal[[#This Row],[Weekday]]="Sat",Dataset_AFinal[[#This Row],[Weekday]]="Sun"),"Weekend", "Weekday")</f>
        <v>Weekday</v>
      </c>
      <c r="K564" s="6" t="s">
        <v>33</v>
      </c>
      <c r="L564" s="6">
        <v>0.32</v>
      </c>
      <c r="M564" s="35" t="s">
        <v>41</v>
      </c>
      <c r="N564" s="7">
        <v>0.34849999999999998</v>
      </c>
      <c r="O564" s="32">
        <v>0.42</v>
      </c>
      <c r="P564" s="7">
        <v>0</v>
      </c>
      <c r="Q564" s="8">
        <v>21</v>
      </c>
      <c r="R564" s="8">
        <v>63</v>
      </c>
      <c r="S564" s="8">
        <f>SUM(Dataset_AFinal[[#This Row],[Casual_user]:[Registered_user]])</f>
        <v>84</v>
      </c>
    </row>
    <row r="565" spans="1:19" x14ac:dyDescent="0.3">
      <c r="A565" s="4">
        <v>564</v>
      </c>
      <c r="B565" s="7" t="s">
        <v>103</v>
      </c>
      <c r="C565" s="6" t="s">
        <v>78</v>
      </c>
      <c r="D565" s="6" t="s">
        <v>79</v>
      </c>
      <c r="E565" s="6" t="s">
        <v>31</v>
      </c>
      <c r="F565" s="35">
        <v>16</v>
      </c>
      <c r="G565" s="15" t="str">
        <f t="shared" si="8"/>
        <v>Afternoon</v>
      </c>
      <c r="H565" s="6" t="b">
        <v>0</v>
      </c>
      <c r="I565" s="6" t="s">
        <v>55</v>
      </c>
      <c r="J565" s="6" t="str">
        <f>IF(OR(Dataset_AFinal[[#This Row],[Weekday]]="Sat",Dataset_AFinal[[#This Row],[Weekday]]="Sun"),"Weekend", "Weekday")</f>
        <v>Weekday</v>
      </c>
      <c r="K565" s="6" t="s">
        <v>33</v>
      </c>
      <c r="L565" s="6">
        <v>0.32</v>
      </c>
      <c r="M565" s="35" t="s">
        <v>41</v>
      </c>
      <c r="N565" s="7">
        <v>0.34849999999999998</v>
      </c>
      <c r="O565" s="32">
        <v>0.42</v>
      </c>
      <c r="P565" s="7">
        <v>0</v>
      </c>
      <c r="Q565" s="8">
        <v>14</v>
      </c>
      <c r="R565" s="8">
        <v>102</v>
      </c>
      <c r="S565" s="8">
        <f>SUM(Dataset_AFinal[[#This Row],[Casual_user]:[Registered_user]])</f>
        <v>116</v>
      </c>
    </row>
    <row r="566" spans="1:19" x14ac:dyDescent="0.3">
      <c r="A566" s="4">
        <v>565</v>
      </c>
      <c r="B566" s="7" t="s">
        <v>103</v>
      </c>
      <c r="C566" s="6" t="s">
        <v>78</v>
      </c>
      <c r="D566" s="6" t="s">
        <v>79</v>
      </c>
      <c r="E566" s="6" t="s">
        <v>31</v>
      </c>
      <c r="F566" s="35">
        <v>17</v>
      </c>
      <c r="G566" s="15" t="str">
        <f t="shared" si="8"/>
        <v>Afternoon</v>
      </c>
      <c r="H566" s="6" t="b">
        <v>0</v>
      </c>
      <c r="I566" s="6" t="s">
        <v>55</v>
      </c>
      <c r="J566" s="6" t="str">
        <f>IF(OR(Dataset_AFinal[[#This Row],[Weekday]]="Sat",Dataset_AFinal[[#This Row],[Weekday]]="Sun"),"Weekend", "Weekday")</f>
        <v>Weekday</v>
      </c>
      <c r="K566" s="6" t="s">
        <v>32</v>
      </c>
      <c r="L566" s="6">
        <v>0.3</v>
      </c>
      <c r="M566" s="35" t="s">
        <v>41</v>
      </c>
      <c r="N566" s="7">
        <v>0.33329999999999999</v>
      </c>
      <c r="O566" s="32">
        <v>0.45</v>
      </c>
      <c r="P566" s="7">
        <v>0</v>
      </c>
      <c r="Q566" s="8">
        <v>14</v>
      </c>
      <c r="R566" s="8">
        <v>208</v>
      </c>
      <c r="S566" s="8">
        <f>SUM(Dataset_AFinal[[#This Row],[Casual_user]:[Registered_user]])</f>
        <v>222</v>
      </c>
    </row>
    <row r="567" spans="1:19" x14ac:dyDescent="0.3">
      <c r="A567" s="4">
        <v>566</v>
      </c>
      <c r="B567" s="7" t="s">
        <v>103</v>
      </c>
      <c r="C567" s="6" t="s">
        <v>78</v>
      </c>
      <c r="D567" s="6" t="s">
        <v>79</v>
      </c>
      <c r="E567" s="6" t="s">
        <v>31</v>
      </c>
      <c r="F567" s="35">
        <v>18</v>
      </c>
      <c r="G567" s="15" t="str">
        <f t="shared" si="8"/>
        <v>Evening</v>
      </c>
      <c r="H567" s="6" t="b">
        <v>0</v>
      </c>
      <c r="I567" s="6" t="s">
        <v>55</v>
      </c>
      <c r="J567" s="6" t="str">
        <f>IF(OR(Dataset_AFinal[[#This Row],[Weekday]]="Sat",Dataset_AFinal[[#This Row],[Weekday]]="Sun"),"Weekend", "Weekday")</f>
        <v>Weekday</v>
      </c>
      <c r="K567" s="6" t="s">
        <v>33</v>
      </c>
      <c r="L567" s="6">
        <v>0.3</v>
      </c>
      <c r="M567" s="35" t="s">
        <v>41</v>
      </c>
      <c r="N567" s="7">
        <v>0.31819999999999998</v>
      </c>
      <c r="O567" s="32">
        <v>0.49</v>
      </c>
      <c r="P567" s="7">
        <v>8.9599999999999999E-2</v>
      </c>
      <c r="Q567" s="8">
        <v>7</v>
      </c>
      <c r="R567" s="8">
        <v>218</v>
      </c>
      <c r="S567" s="8">
        <f>SUM(Dataset_AFinal[[#This Row],[Casual_user]:[Registered_user]])</f>
        <v>225</v>
      </c>
    </row>
    <row r="568" spans="1:19" x14ac:dyDescent="0.3">
      <c r="A568" s="4">
        <v>567</v>
      </c>
      <c r="B568" s="7" t="s">
        <v>103</v>
      </c>
      <c r="C568" s="6" t="s">
        <v>78</v>
      </c>
      <c r="D568" s="6" t="s">
        <v>79</v>
      </c>
      <c r="E568" s="6" t="s">
        <v>31</v>
      </c>
      <c r="F568" s="35">
        <v>19</v>
      </c>
      <c r="G568" s="15" t="str">
        <f t="shared" si="8"/>
        <v>Evening</v>
      </c>
      <c r="H568" s="6" t="b">
        <v>0</v>
      </c>
      <c r="I568" s="6" t="s">
        <v>55</v>
      </c>
      <c r="J568" s="6" t="str">
        <f>IF(OR(Dataset_AFinal[[#This Row],[Weekday]]="Sat",Dataset_AFinal[[#This Row],[Weekday]]="Sun"),"Weekend", "Weekday")</f>
        <v>Weekday</v>
      </c>
      <c r="K568" s="6" t="s">
        <v>33</v>
      </c>
      <c r="L568" s="6">
        <v>0.26</v>
      </c>
      <c r="M568" s="35" t="s">
        <v>41</v>
      </c>
      <c r="N568" s="7">
        <v>0.2576</v>
      </c>
      <c r="O568" s="32">
        <v>0.65</v>
      </c>
      <c r="P568" s="7">
        <v>0.16420000000000001</v>
      </c>
      <c r="Q568" s="8">
        <v>13</v>
      </c>
      <c r="R568" s="8">
        <v>133</v>
      </c>
      <c r="S568" s="8">
        <f>SUM(Dataset_AFinal[[#This Row],[Casual_user]:[Registered_user]])</f>
        <v>146</v>
      </c>
    </row>
    <row r="569" spans="1:19" x14ac:dyDescent="0.3">
      <c r="A569" s="4">
        <v>568</v>
      </c>
      <c r="B569" s="7" t="s">
        <v>103</v>
      </c>
      <c r="C569" s="6" t="s">
        <v>78</v>
      </c>
      <c r="D569" s="6" t="s">
        <v>79</v>
      </c>
      <c r="E569" s="6" t="s">
        <v>31</v>
      </c>
      <c r="F569" s="35">
        <v>20</v>
      </c>
      <c r="G569" s="15" t="str">
        <f t="shared" si="8"/>
        <v>Evening</v>
      </c>
      <c r="H569" s="6" t="b">
        <v>0</v>
      </c>
      <c r="I569" s="6" t="s">
        <v>55</v>
      </c>
      <c r="J569" s="6" t="str">
        <f>IF(OR(Dataset_AFinal[[#This Row],[Weekday]]="Sat",Dataset_AFinal[[#This Row],[Weekday]]="Sun"),"Weekend", "Weekday")</f>
        <v>Weekday</v>
      </c>
      <c r="K569" s="6" t="s">
        <v>32</v>
      </c>
      <c r="L569" s="6">
        <v>0.24</v>
      </c>
      <c r="M569" s="35" t="s">
        <v>40</v>
      </c>
      <c r="N569" s="7">
        <v>0.2273</v>
      </c>
      <c r="O569" s="32">
        <v>0.65</v>
      </c>
      <c r="P569" s="7">
        <v>0.19400000000000001</v>
      </c>
      <c r="Q569" s="8">
        <v>16</v>
      </c>
      <c r="R569" s="8">
        <v>103</v>
      </c>
      <c r="S569" s="8">
        <f>SUM(Dataset_AFinal[[#This Row],[Casual_user]:[Registered_user]])</f>
        <v>119</v>
      </c>
    </row>
    <row r="570" spans="1:19" x14ac:dyDescent="0.3">
      <c r="A570" s="4">
        <v>569</v>
      </c>
      <c r="B570" s="7" t="s">
        <v>103</v>
      </c>
      <c r="C570" s="6" t="s">
        <v>78</v>
      </c>
      <c r="D570" s="6" t="s">
        <v>79</v>
      </c>
      <c r="E570" s="6" t="s">
        <v>31</v>
      </c>
      <c r="F570" s="35">
        <v>21</v>
      </c>
      <c r="G570" s="15" t="str">
        <f t="shared" si="8"/>
        <v>Evening</v>
      </c>
      <c r="H570" s="6" t="b">
        <v>0</v>
      </c>
      <c r="I570" s="6" t="s">
        <v>55</v>
      </c>
      <c r="J570" s="6" t="str">
        <f>IF(OR(Dataset_AFinal[[#This Row],[Weekday]]="Sat",Dataset_AFinal[[#This Row],[Weekday]]="Sun"),"Weekend", "Weekday")</f>
        <v>Weekday</v>
      </c>
      <c r="K570" s="6" t="s">
        <v>32</v>
      </c>
      <c r="L570" s="6">
        <v>0.24</v>
      </c>
      <c r="M570" s="35" t="s">
        <v>40</v>
      </c>
      <c r="N570" s="7">
        <v>0.2273</v>
      </c>
      <c r="O570" s="32">
        <v>0.65</v>
      </c>
      <c r="P570" s="7">
        <v>0.19400000000000001</v>
      </c>
      <c r="Q570" s="8">
        <v>5</v>
      </c>
      <c r="R570" s="8">
        <v>40</v>
      </c>
      <c r="S570" s="8">
        <f>SUM(Dataset_AFinal[[#This Row],[Casual_user]:[Registered_user]])</f>
        <v>45</v>
      </c>
    </row>
    <row r="571" spans="1:19" x14ac:dyDescent="0.3">
      <c r="A571" s="4">
        <v>570</v>
      </c>
      <c r="B571" s="7" t="s">
        <v>103</v>
      </c>
      <c r="C571" s="6" t="s">
        <v>78</v>
      </c>
      <c r="D571" s="6" t="s">
        <v>79</v>
      </c>
      <c r="E571" s="6" t="s">
        <v>31</v>
      </c>
      <c r="F571" s="35">
        <v>22</v>
      </c>
      <c r="G571" s="15" t="str">
        <f t="shared" si="8"/>
        <v>Evening</v>
      </c>
      <c r="H571" s="6" t="b">
        <v>0</v>
      </c>
      <c r="I571" s="6" t="s">
        <v>55</v>
      </c>
      <c r="J571" s="6" t="str">
        <f>IF(OR(Dataset_AFinal[[#This Row],[Weekday]]="Sat",Dataset_AFinal[[#This Row],[Weekday]]="Sun"),"Weekend", "Weekday")</f>
        <v>Weekday</v>
      </c>
      <c r="K571" s="6" t="s">
        <v>32</v>
      </c>
      <c r="L571" s="6">
        <v>0.22</v>
      </c>
      <c r="M571" s="35" t="s">
        <v>40</v>
      </c>
      <c r="N571" s="7">
        <v>0.2273</v>
      </c>
      <c r="O571" s="32">
        <v>0.64</v>
      </c>
      <c r="P571" s="7">
        <v>0.16420000000000001</v>
      </c>
      <c r="Q571" s="8">
        <v>4</v>
      </c>
      <c r="R571" s="8">
        <v>49</v>
      </c>
      <c r="S571" s="8">
        <f>SUM(Dataset_AFinal[[#This Row],[Casual_user]:[Registered_user]])</f>
        <v>53</v>
      </c>
    </row>
    <row r="572" spans="1:19" x14ac:dyDescent="0.3">
      <c r="A572" s="4">
        <v>571</v>
      </c>
      <c r="B572" s="7" t="s">
        <v>103</v>
      </c>
      <c r="C572" s="6" t="s">
        <v>78</v>
      </c>
      <c r="D572" s="6" t="s">
        <v>79</v>
      </c>
      <c r="E572" s="6" t="s">
        <v>31</v>
      </c>
      <c r="F572" s="35">
        <v>23</v>
      </c>
      <c r="G572" s="15" t="str">
        <f t="shared" si="8"/>
        <v>Evening</v>
      </c>
      <c r="H572" s="6" t="b">
        <v>0</v>
      </c>
      <c r="I572" s="6" t="s">
        <v>55</v>
      </c>
      <c r="J572" s="6" t="str">
        <f>IF(OR(Dataset_AFinal[[#This Row],[Weekday]]="Sat",Dataset_AFinal[[#This Row],[Weekday]]="Sun"),"Weekend", "Weekday")</f>
        <v>Weekday</v>
      </c>
      <c r="K572" s="6" t="s">
        <v>33</v>
      </c>
      <c r="L572" s="6">
        <v>0.22</v>
      </c>
      <c r="M572" s="35" t="s">
        <v>40</v>
      </c>
      <c r="N572" s="7">
        <v>0.2273</v>
      </c>
      <c r="O572" s="32">
        <v>0.64</v>
      </c>
      <c r="P572" s="7">
        <v>0.16420000000000001</v>
      </c>
      <c r="Q572" s="8">
        <v>3</v>
      </c>
      <c r="R572" s="8">
        <v>37</v>
      </c>
      <c r="S572" s="8">
        <f>SUM(Dataset_AFinal[[#This Row],[Casual_user]:[Registered_user]])</f>
        <v>40</v>
      </c>
    </row>
    <row r="573" spans="1:19" x14ac:dyDescent="0.3">
      <c r="A573" s="4">
        <v>572</v>
      </c>
      <c r="B573" s="7" t="s">
        <v>104</v>
      </c>
      <c r="C573" s="6" t="s">
        <v>78</v>
      </c>
      <c r="D573" s="6" t="s">
        <v>79</v>
      </c>
      <c r="E573" s="6" t="s">
        <v>31</v>
      </c>
      <c r="F573" s="35">
        <v>0</v>
      </c>
      <c r="G573" s="15" t="str">
        <f t="shared" si="8"/>
        <v>Night</v>
      </c>
      <c r="H573" s="6" t="b">
        <v>0</v>
      </c>
      <c r="I573" s="6" t="s">
        <v>56</v>
      </c>
      <c r="J573" s="6" t="str">
        <f>IF(OR(Dataset_AFinal[[#This Row],[Weekday]]="Sat",Dataset_AFinal[[#This Row],[Weekday]]="Sun"),"Weekend", "Weekday")</f>
        <v>Weekday</v>
      </c>
      <c r="K573" s="6" t="s">
        <v>33</v>
      </c>
      <c r="L573" s="6">
        <v>0.22</v>
      </c>
      <c r="M573" s="35" t="s">
        <v>40</v>
      </c>
      <c r="N573" s="7">
        <v>0.2273</v>
      </c>
      <c r="O573" s="32">
        <v>0.69</v>
      </c>
      <c r="P573" s="7">
        <v>0.1343</v>
      </c>
      <c r="Q573" s="8">
        <v>3</v>
      </c>
      <c r="R573" s="8">
        <v>14</v>
      </c>
      <c r="S573" s="8">
        <f>SUM(Dataset_AFinal[[#This Row],[Casual_user]:[Registered_user]])</f>
        <v>17</v>
      </c>
    </row>
    <row r="574" spans="1:19" x14ac:dyDescent="0.3">
      <c r="A574" s="4">
        <v>573</v>
      </c>
      <c r="B574" s="7" t="s">
        <v>104</v>
      </c>
      <c r="C574" s="6" t="s">
        <v>78</v>
      </c>
      <c r="D574" s="6" t="s">
        <v>79</v>
      </c>
      <c r="E574" s="6" t="s">
        <v>31</v>
      </c>
      <c r="F574" s="35">
        <v>1</v>
      </c>
      <c r="G574" s="15" t="str">
        <f t="shared" si="8"/>
        <v>Night</v>
      </c>
      <c r="H574" s="6" t="b">
        <v>0</v>
      </c>
      <c r="I574" s="6" t="s">
        <v>56</v>
      </c>
      <c r="J574" s="6" t="str">
        <f>IF(OR(Dataset_AFinal[[#This Row],[Weekday]]="Sat",Dataset_AFinal[[#This Row],[Weekday]]="Sun"),"Weekend", "Weekday")</f>
        <v>Weekday</v>
      </c>
      <c r="K574" s="6" t="s">
        <v>33</v>
      </c>
      <c r="L574" s="6">
        <v>0.24</v>
      </c>
      <c r="M574" s="35" t="s">
        <v>40</v>
      </c>
      <c r="N574" s="7">
        <v>0.2424</v>
      </c>
      <c r="O574" s="32">
        <v>0.65</v>
      </c>
      <c r="P574" s="7">
        <v>0.1343</v>
      </c>
      <c r="Q574" s="8">
        <v>0</v>
      </c>
      <c r="R574" s="8">
        <v>5</v>
      </c>
      <c r="S574" s="8">
        <f>SUM(Dataset_AFinal[[#This Row],[Casual_user]:[Registered_user]])</f>
        <v>5</v>
      </c>
    </row>
    <row r="575" spans="1:19" x14ac:dyDescent="0.3">
      <c r="A575" s="4">
        <v>574</v>
      </c>
      <c r="B575" s="7" t="s">
        <v>104</v>
      </c>
      <c r="C575" s="6" t="s">
        <v>78</v>
      </c>
      <c r="D575" s="6" t="s">
        <v>79</v>
      </c>
      <c r="E575" s="6" t="s">
        <v>31</v>
      </c>
      <c r="F575" s="35">
        <v>2</v>
      </c>
      <c r="G575" s="15" t="str">
        <f t="shared" si="8"/>
        <v>Night</v>
      </c>
      <c r="H575" s="6" t="b">
        <v>0</v>
      </c>
      <c r="I575" s="6" t="s">
        <v>56</v>
      </c>
      <c r="J575" s="6" t="str">
        <f>IF(OR(Dataset_AFinal[[#This Row],[Weekday]]="Sat",Dataset_AFinal[[#This Row],[Weekday]]="Sun"),"Weekend", "Weekday")</f>
        <v>Weekday</v>
      </c>
      <c r="K575" s="6" t="s">
        <v>34</v>
      </c>
      <c r="L575" s="6">
        <v>0.22</v>
      </c>
      <c r="M575" s="35" t="s">
        <v>40</v>
      </c>
      <c r="N575" s="7">
        <v>0.2273</v>
      </c>
      <c r="O575" s="32">
        <v>0.69</v>
      </c>
      <c r="P575" s="7">
        <v>0.19400000000000001</v>
      </c>
      <c r="Q575" s="8">
        <v>3</v>
      </c>
      <c r="R575" s="8">
        <v>7</v>
      </c>
      <c r="S575" s="8">
        <f>SUM(Dataset_AFinal[[#This Row],[Casual_user]:[Registered_user]])</f>
        <v>10</v>
      </c>
    </row>
    <row r="576" spans="1:19" x14ac:dyDescent="0.3">
      <c r="A576" s="4">
        <v>575</v>
      </c>
      <c r="B576" s="7" t="s">
        <v>104</v>
      </c>
      <c r="C576" s="6" t="s">
        <v>78</v>
      </c>
      <c r="D576" s="6" t="s">
        <v>79</v>
      </c>
      <c r="E576" s="6" t="s">
        <v>31</v>
      </c>
      <c r="F576" s="35">
        <v>5</v>
      </c>
      <c r="G576" s="15" t="str">
        <f t="shared" si="8"/>
        <v>Night</v>
      </c>
      <c r="H576" s="6" t="b">
        <v>0</v>
      </c>
      <c r="I576" s="6" t="s">
        <v>56</v>
      </c>
      <c r="J576" s="6" t="str">
        <f>IF(OR(Dataset_AFinal[[#This Row],[Weekday]]="Sat",Dataset_AFinal[[#This Row],[Weekday]]="Sun"),"Weekend", "Weekday")</f>
        <v>Weekday</v>
      </c>
      <c r="K576" s="6" t="s">
        <v>34</v>
      </c>
      <c r="L576" s="6">
        <v>0.2</v>
      </c>
      <c r="M576" s="35" t="s">
        <v>40</v>
      </c>
      <c r="N576" s="7">
        <v>0.18179999999999999</v>
      </c>
      <c r="O576" s="32">
        <v>0.86</v>
      </c>
      <c r="P576" s="7">
        <v>0.28360000000000002</v>
      </c>
      <c r="Q576" s="8">
        <v>0</v>
      </c>
      <c r="R576" s="8">
        <v>1</v>
      </c>
      <c r="S576" s="8">
        <f>SUM(Dataset_AFinal[[#This Row],[Casual_user]:[Registered_user]])</f>
        <v>1</v>
      </c>
    </row>
    <row r="577" spans="1:19" x14ac:dyDescent="0.3">
      <c r="A577" s="4">
        <v>576</v>
      </c>
      <c r="B577" s="7" t="s">
        <v>104</v>
      </c>
      <c r="C577" s="6" t="s">
        <v>78</v>
      </c>
      <c r="D577" s="6" t="s">
        <v>79</v>
      </c>
      <c r="E577" s="6" t="s">
        <v>31</v>
      </c>
      <c r="F577" s="35">
        <v>6</v>
      </c>
      <c r="G577" s="15" t="str">
        <f t="shared" si="8"/>
        <v>Morning</v>
      </c>
      <c r="H577" s="6" t="b">
        <v>0</v>
      </c>
      <c r="I577" s="6" t="s">
        <v>56</v>
      </c>
      <c r="J577" s="6" t="str">
        <f>IF(OR(Dataset_AFinal[[#This Row],[Weekday]]="Sat",Dataset_AFinal[[#This Row],[Weekday]]="Sun"),"Weekend", "Weekday")</f>
        <v>Weekday</v>
      </c>
      <c r="K577" s="6" t="s">
        <v>34</v>
      </c>
      <c r="L577" s="6">
        <v>0.2</v>
      </c>
      <c r="M577" s="35" t="s">
        <v>40</v>
      </c>
      <c r="N577" s="7">
        <v>0.18179999999999999</v>
      </c>
      <c r="O577" s="32">
        <v>0.86</v>
      </c>
      <c r="P577" s="7">
        <v>0.28360000000000002</v>
      </c>
      <c r="Q577" s="8">
        <v>0</v>
      </c>
      <c r="R577" s="8">
        <v>8</v>
      </c>
      <c r="S577" s="8">
        <f>SUM(Dataset_AFinal[[#This Row],[Casual_user]:[Registered_user]])</f>
        <v>8</v>
      </c>
    </row>
    <row r="578" spans="1:19" x14ac:dyDescent="0.3">
      <c r="A578" s="4">
        <v>577</v>
      </c>
      <c r="B578" s="7" t="s">
        <v>104</v>
      </c>
      <c r="C578" s="6" t="s">
        <v>78</v>
      </c>
      <c r="D578" s="6" t="s">
        <v>79</v>
      </c>
      <c r="E578" s="6" t="s">
        <v>31</v>
      </c>
      <c r="F578" s="35">
        <v>7</v>
      </c>
      <c r="G578" s="15" t="str">
        <f t="shared" ref="G578:G614" si="9">IF(F578&lt;6,"Night",IF(F578&lt;12,"Morning",IF(F578&lt;18,"Afternoon","Evening")))</f>
        <v>Morning</v>
      </c>
      <c r="H578" s="6" t="b">
        <v>0</v>
      </c>
      <c r="I578" s="6" t="s">
        <v>56</v>
      </c>
      <c r="J578" s="6" t="str">
        <f>IF(OR(Dataset_AFinal[[#This Row],[Weekday]]="Sat",Dataset_AFinal[[#This Row],[Weekday]]="Sun"),"Weekend", "Weekday")</f>
        <v>Weekday</v>
      </c>
      <c r="K578" s="6" t="s">
        <v>34</v>
      </c>
      <c r="L578" s="6">
        <v>0.22</v>
      </c>
      <c r="M578" s="35" t="s">
        <v>40</v>
      </c>
      <c r="N578" s="7">
        <v>0.21210000000000001</v>
      </c>
      <c r="O578" s="32">
        <v>0.87</v>
      </c>
      <c r="P578" s="7">
        <v>0.29849999999999999</v>
      </c>
      <c r="Q578" s="8">
        <v>1</v>
      </c>
      <c r="R578" s="8">
        <v>29</v>
      </c>
      <c r="S578" s="8">
        <f>SUM(Dataset_AFinal[[#This Row],[Casual_user]:[Registered_user]])</f>
        <v>30</v>
      </c>
    </row>
    <row r="579" spans="1:19" x14ac:dyDescent="0.3">
      <c r="A579" s="4">
        <v>578</v>
      </c>
      <c r="B579" s="7" t="s">
        <v>104</v>
      </c>
      <c r="C579" s="6" t="s">
        <v>78</v>
      </c>
      <c r="D579" s="6" t="s">
        <v>79</v>
      </c>
      <c r="E579" s="6" t="s">
        <v>31</v>
      </c>
      <c r="F579" s="35">
        <v>8</v>
      </c>
      <c r="G579" s="15" t="str">
        <f t="shared" si="9"/>
        <v>Morning</v>
      </c>
      <c r="H579" s="6" t="b">
        <v>0</v>
      </c>
      <c r="I579" s="6" t="s">
        <v>56</v>
      </c>
      <c r="J579" s="6" t="str">
        <f>IF(OR(Dataset_AFinal[[#This Row],[Weekday]]="Sat",Dataset_AFinal[[#This Row],[Weekday]]="Sun"),"Weekend", "Weekday")</f>
        <v>Weekday</v>
      </c>
      <c r="K579" s="6" t="s">
        <v>34</v>
      </c>
      <c r="L579" s="6">
        <v>0.22</v>
      </c>
      <c r="M579" s="35" t="s">
        <v>40</v>
      </c>
      <c r="N579" s="7">
        <v>0.21210000000000001</v>
      </c>
      <c r="O579" s="32">
        <v>0.87</v>
      </c>
      <c r="P579" s="7">
        <v>0.29849999999999999</v>
      </c>
      <c r="Q579" s="8">
        <v>3</v>
      </c>
      <c r="R579" s="8">
        <v>69</v>
      </c>
      <c r="S579" s="8">
        <f>SUM(Dataset_AFinal[[#This Row],[Casual_user]:[Registered_user]])</f>
        <v>72</v>
      </c>
    </row>
    <row r="580" spans="1:19" x14ac:dyDescent="0.3">
      <c r="A580" s="4">
        <v>579</v>
      </c>
      <c r="B580" s="7" t="s">
        <v>104</v>
      </c>
      <c r="C580" s="6" t="s">
        <v>78</v>
      </c>
      <c r="D580" s="6" t="s">
        <v>79</v>
      </c>
      <c r="E580" s="6" t="s">
        <v>31</v>
      </c>
      <c r="F580" s="35">
        <v>9</v>
      </c>
      <c r="G580" s="15" t="str">
        <f t="shared" si="9"/>
        <v>Morning</v>
      </c>
      <c r="H580" s="6" t="b">
        <v>0</v>
      </c>
      <c r="I580" s="6" t="s">
        <v>56</v>
      </c>
      <c r="J580" s="6" t="str">
        <f>IF(OR(Dataset_AFinal[[#This Row],[Weekday]]="Sat",Dataset_AFinal[[#This Row],[Weekday]]="Sun"),"Weekend", "Weekday")</f>
        <v>Weekday</v>
      </c>
      <c r="K580" s="6" t="s">
        <v>34</v>
      </c>
      <c r="L580" s="6">
        <v>0.22</v>
      </c>
      <c r="M580" s="35" t="s">
        <v>40</v>
      </c>
      <c r="N580" s="7">
        <v>0.21210000000000001</v>
      </c>
      <c r="O580" s="32">
        <v>0.87</v>
      </c>
      <c r="P580" s="7">
        <v>0.29849999999999999</v>
      </c>
      <c r="Q580" s="8">
        <v>3</v>
      </c>
      <c r="R580" s="8">
        <v>55</v>
      </c>
      <c r="S580" s="8">
        <f>SUM(Dataset_AFinal[[#This Row],[Casual_user]:[Registered_user]])</f>
        <v>58</v>
      </c>
    </row>
    <row r="581" spans="1:19" x14ac:dyDescent="0.3">
      <c r="A581" s="4">
        <v>580</v>
      </c>
      <c r="B581" s="7" t="s">
        <v>104</v>
      </c>
      <c r="C581" s="6" t="s">
        <v>78</v>
      </c>
      <c r="D581" s="6" t="s">
        <v>79</v>
      </c>
      <c r="E581" s="6" t="s">
        <v>31</v>
      </c>
      <c r="F581" s="35">
        <v>10</v>
      </c>
      <c r="G581" s="15" t="str">
        <f t="shared" si="9"/>
        <v>Morning</v>
      </c>
      <c r="H581" s="6" t="b">
        <v>0</v>
      </c>
      <c r="I581" s="6" t="s">
        <v>56</v>
      </c>
      <c r="J581" s="6" t="str">
        <f>IF(OR(Dataset_AFinal[[#This Row],[Weekday]]="Sat",Dataset_AFinal[[#This Row],[Weekday]]="Sun"),"Weekend", "Weekday")</f>
        <v>Weekday</v>
      </c>
      <c r="K581" s="6" t="s">
        <v>34</v>
      </c>
      <c r="L581" s="6">
        <v>0.22</v>
      </c>
      <c r="M581" s="35" t="s">
        <v>40</v>
      </c>
      <c r="N581" s="7">
        <v>0.21210000000000001</v>
      </c>
      <c r="O581" s="32">
        <v>0.93</v>
      </c>
      <c r="P581" s="7">
        <v>0.28360000000000002</v>
      </c>
      <c r="Q581" s="8">
        <v>2</v>
      </c>
      <c r="R581" s="8">
        <v>26</v>
      </c>
      <c r="S581" s="8">
        <f>SUM(Dataset_AFinal[[#This Row],[Casual_user]:[Registered_user]])</f>
        <v>28</v>
      </c>
    </row>
    <row r="582" spans="1:19" x14ac:dyDescent="0.3">
      <c r="A582" s="4">
        <v>581</v>
      </c>
      <c r="B582" s="7" t="s">
        <v>104</v>
      </c>
      <c r="C582" s="6" t="s">
        <v>78</v>
      </c>
      <c r="D582" s="6" t="s">
        <v>79</v>
      </c>
      <c r="E582" s="6" t="s">
        <v>31</v>
      </c>
      <c r="F582" s="35">
        <v>11</v>
      </c>
      <c r="G582" s="15" t="str">
        <f t="shared" si="9"/>
        <v>Morning</v>
      </c>
      <c r="H582" s="6" t="b">
        <v>0</v>
      </c>
      <c r="I582" s="6" t="s">
        <v>56</v>
      </c>
      <c r="J582" s="6" t="str">
        <f>IF(OR(Dataset_AFinal[[#This Row],[Weekday]]="Sat",Dataset_AFinal[[#This Row],[Weekday]]="Sun"),"Weekend", "Weekday")</f>
        <v>Weekday</v>
      </c>
      <c r="K582" s="6" t="s">
        <v>34</v>
      </c>
      <c r="L582" s="6">
        <v>0.22</v>
      </c>
      <c r="M582" s="35" t="s">
        <v>40</v>
      </c>
      <c r="N582" s="7">
        <v>0.19700000000000001</v>
      </c>
      <c r="O582" s="32">
        <v>0.93</v>
      </c>
      <c r="P582" s="7">
        <v>0.32840000000000003</v>
      </c>
      <c r="Q582" s="8">
        <v>6</v>
      </c>
      <c r="R582" s="8">
        <v>35</v>
      </c>
      <c r="S582" s="8">
        <f>SUM(Dataset_AFinal[[#This Row],[Casual_user]:[Registered_user]])</f>
        <v>41</v>
      </c>
    </row>
    <row r="583" spans="1:19" x14ac:dyDescent="0.3">
      <c r="A583" s="4">
        <v>582</v>
      </c>
      <c r="B583" s="7" t="s">
        <v>104</v>
      </c>
      <c r="C583" s="6" t="s">
        <v>78</v>
      </c>
      <c r="D583" s="6" t="s">
        <v>79</v>
      </c>
      <c r="E583" s="6" t="s">
        <v>31</v>
      </c>
      <c r="F583" s="35">
        <v>12</v>
      </c>
      <c r="G583" s="15" t="str">
        <f t="shared" si="9"/>
        <v>Afternoon</v>
      </c>
      <c r="H583" s="6" t="b">
        <v>0</v>
      </c>
      <c r="I583" s="6" t="s">
        <v>56</v>
      </c>
      <c r="J583" s="6" t="str">
        <f>IF(OR(Dataset_AFinal[[#This Row],[Weekday]]="Sat",Dataset_AFinal[[#This Row],[Weekday]]="Sun"),"Weekend", "Weekday")</f>
        <v>Weekday</v>
      </c>
      <c r="K583" s="6" t="s">
        <v>34</v>
      </c>
      <c r="L583" s="6">
        <v>0.22</v>
      </c>
      <c r="M583" s="35" t="s">
        <v>40</v>
      </c>
      <c r="N583" s="7">
        <v>0.19700000000000001</v>
      </c>
      <c r="O583" s="32">
        <v>0.93</v>
      </c>
      <c r="P583" s="7">
        <v>0.32840000000000003</v>
      </c>
      <c r="Q583" s="8">
        <v>7</v>
      </c>
      <c r="R583" s="8">
        <v>41</v>
      </c>
      <c r="S583" s="8">
        <f>SUM(Dataset_AFinal[[#This Row],[Casual_user]:[Registered_user]])</f>
        <v>48</v>
      </c>
    </row>
    <row r="584" spans="1:19" x14ac:dyDescent="0.3">
      <c r="A584" s="4">
        <v>583</v>
      </c>
      <c r="B584" s="7" t="s">
        <v>104</v>
      </c>
      <c r="C584" s="6" t="s">
        <v>78</v>
      </c>
      <c r="D584" s="6" t="s">
        <v>79</v>
      </c>
      <c r="E584" s="6" t="s">
        <v>31</v>
      </c>
      <c r="F584" s="35">
        <v>13</v>
      </c>
      <c r="G584" s="15" t="str">
        <f t="shared" si="9"/>
        <v>Afternoon</v>
      </c>
      <c r="H584" s="6" t="b">
        <v>0</v>
      </c>
      <c r="I584" s="6" t="s">
        <v>56</v>
      </c>
      <c r="J584" s="6" t="str">
        <f>IF(OR(Dataset_AFinal[[#This Row],[Weekday]]="Sat",Dataset_AFinal[[#This Row],[Weekday]]="Sun"),"Weekend", "Weekday")</f>
        <v>Weekday</v>
      </c>
      <c r="K584" s="6" t="s">
        <v>34</v>
      </c>
      <c r="L584" s="6">
        <v>0.22</v>
      </c>
      <c r="M584" s="35" t="s">
        <v>40</v>
      </c>
      <c r="N584" s="7">
        <v>0.19700000000000001</v>
      </c>
      <c r="O584" s="32">
        <v>0.93</v>
      </c>
      <c r="P584" s="7">
        <v>0.32840000000000003</v>
      </c>
      <c r="Q584" s="8">
        <v>4</v>
      </c>
      <c r="R584" s="8">
        <v>43</v>
      </c>
      <c r="S584" s="8">
        <f>SUM(Dataset_AFinal[[#This Row],[Casual_user]:[Registered_user]])</f>
        <v>47</v>
      </c>
    </row>
    <row r="585" spans="1:19" x14ac:dyDescent="0.3">
      <c r="A585" s="4">
        <v>584</v>
      </c>
      <c r="B585" s="7" t="s">
        <v>104</v>
      </c>
      <c r="C585" s="6" t="s">
        <v>78</v>
      </c>
      <c r="D585" s="6" t="s">
        <v>79</v>
      </c>
      <c r="E585" s="6" t="s">
        <v>31</v>
      </c>
      <c r="F585" s="35">
        <v>14</v>
      </c>
      <c r="G585" s="15" t="str">
        <f t="shared" si="9"/>
        <v>Afternoon</v>
      </c>
      <c r="H585" s="6" t="b">
        <v>0</v>
      </c>
      <c r="I585" s="6" t="s">
        <v>56</v>
      </c>
      <c r="J585" s="6" t="str">
        <f>IF(OR(Dataset_AFinal[[#This Row],[Weekday]]="Sat",Dataset_AFinal[[#This Row],[Weekday]]="Sun"),"Weekend", "Weekday")</f>
        <v>Weekday</v>
      </c>
      <c r="K585" s="6" t="s">
        <v>34</v>
      </c>
      <c r="L585" s="6">
        <v>0.22</v>
      </c>
      <c r="M585" s="35" t="s">
        <v>40</v>
      </c>
      <c r="N585" s="7">
        <v>0.19700000000000001</v>
      </c>
      <c r="O585" s="32">
        <v>0.93</v>
      </c>
      <c r="P585" s="7">
        <v>0.35820000000000002</v>
      </c>
      <c r="Q585" s="8">
        <v>0</v>
      </c>
      <c r="R585" s="8">
        <v>36</v>
      </c>
      <c r="S585" s="8">
        <f>SUM(Dataset_AFinal[[#This Row],[Casual_user]:[Registered_user]])</f>
        <v>36</v>
      </c>
    </row>
    <row r="586" spans="1:19" x14ac:dyDescent="0.3">
      <c r="A586" s="4">
        <v>585</v>
      </c>
      <c r="B586" s="7" t="s">
        <v>104</v>
      </c>
      <c r="C586" s="6" t="s">
        <v>78</v>
      </c>
      <c r="D586" s="6" t="s">
        <v>79</v>
      </c>
      <c r="E586" s="6" t="s">
        <v>31</v>
      </c>
      <c r="F586" s="35">
        <v>15</v>
      </c>
      <c r="G586" s="15" t="str">
        <f t="shared" si="9"/>
        <v>Afternoon</v>
      </c>
      <c r="H586" s="6" t="b">
        <v>0</v>
      </c>
      <c r="I586" s="6" t="s">
        <v>56</v>
      </c>
      <c r="J586" s="6" t="str">
        <f>IF(OR(Dataset_AFinal[[#This Row],[Weekday]]="Sat",Dataset_AFinal[[#This Row],[Weekday]]="Sun"),"Weekend", "Weekday")</f>
        <v>Weekday</v>
      </c>
      <c r="K586" s="6" t="s">
        <v>34</v>
      </c>
      <c r="L586" s="6">
        <v>0.22</v>
      </c>
      <c r="M586" s="35" t="s">
        <v>40</v>
      </c>
      <c r="N586" s="7">
        <v>0.18179999999999999</v>
      </c>
      <c r="O586" s="32">
        <v>0.93</v>
      </c>
      <c r="P586" s="7">
        <v>0.4627</v>
      </c>
      <c r="Q586" s="8">
        <v>1</v>
      </c>
      <c r="R586" s="8">
        <v>42</v>
      </c>
      <c r="S586" s="8">
        <f>SUM(Dataset_AFinal[[#This Row],[Casual_user]:[Registered_user]])</f>
        <v>43</v>
      </c>
    </row>
    <row r="587" spans="1:19" x14ac:dyDescent="0.3">
      <c r="A587" s="4">
        <v>586</v>
      </c>
      <c r="B587" s="7" t="s">
        <v>104</v>
      </c>
      <c r="C587" s="6" t="s">
        <v>78</v>
      </c>
      <c r="D587" s="6" t="s">
        <v>79</v>
      </c>
      <c r="E587" s="6" t="s">
        <v>31</v>
      </c>
      <c r="F587" s="35">
        <v>16</v>
      </c>
      <c r="G587" s="15" t="str">
        <f t="shared" si="9"/>
        <v>Afternoon</v>
      </c>
      <c r="H587" s="6" t="b">
        <v>0</v>
      </c>
      <c r="I587" s="6" t="s">
        <v>56</v>
      </c>
      <c r="J587" s="6" t="str">
        <f>IF(OR(Dataset_AFinal[[#This Row],[Weekday]]="Sat",Dataset_AFinal[[#This Row],[Weekday]]="Sun"),"Weekend", "Weekday")</f>
        <v>Weekday</v>
      </c>
      <c r="K587" s="6" t="s">
        <v>35</v>
      </c>
      <c r="L587" s="6">
        <v>0.22</v>
      </c>
      <c r="M587" s="35" t="s">
        <v>40</v>
      </c>
      <c r="N587" s="7">
        <v>0.19700000000000001</v>
      </c>
      <c r="O587" s="32">
        <v>0.93</v>
      </c>
      <c r="P587" s="7">
        <v>0.32840000000000003</v>
      </c>
      <c r="Q587" s="8">
        <v>1</v>
      </c>
      <c r="R587" s="8">
        <v>35</v>
      </c>
      <c r="S587" s="8">
        <f>SUM(Dataset_AFinal[[#This Row],[Casual_user]:[Registered_user]])</f>
        <v>36</v>
      </c>
    </row>
    <row r="588" spans="1:19" x14ac:dyDescent="0.3">
      <c r="A588" s="4">
        <v>587</v>
      </c>
      <c r="B588" s="7" t="s">
        <v>104</v>
      </c>
      <c r="C588" s="6" t="s">
        <v>78</v>
      </c>
      <c r="D588" s="6" t="s">
        <v>79</v>
      </c>
      <c r="E588" s="6" t="s">
        <v>31</v>
      </c>
      <c r="F588" s="35">
        <v>17</v>
      </c>
      <c r="G588" s="15" t="str">
        <f t="shared" si="9"/>
        <v>Afternoon</v>
      </c>
      <c r="H588" s="6" t="b">
        <v>0</v>
      </c>
      <c r="I588" s="6" t="s">
        <v>56</v>
      </c>
      <c r="J588" s="6" t="str">
        <f>IF(OR(Dataset_AFinal[[#This Row],[Weekday]]="Sat",Dataset_AFinal[[#This Row],[Weekday]]="Sun"),"Weekend", "Weekday")</f>
        <v>Weekday</v>
      </c>
      <c r="K588" s="6" t="s">
        <v>34</v>
      </c>
      <c r="L588" s="6">
        <v>0.2</v>
      </c>
      <c r="M588" s="35" t="s">
        <v>40</v>
      </c>
      <c r="N588" s="7">
        <v>0.18179999999999999</v>
      </c>
      <c r="O588" s="32">
        <v>0.93</v>
      </c>
      <c r="P588" s="7">
        <v>0.35820000000000002</v>
      </c>
      <c r="Q588" s="8">
        <v>0</v>
      </c>
      <c r="R588" s="8">
        <v>26</v>
      </c>
      <c r="S588" s="8">
        <f>SUM(Dataset_AFinal[[#This Row],[Casual_user]:[Registered_user]])</f>
        <v>26</v>
      </c>
    </row>
    <row r="589" spans="1:19" x14ac:dyDescent="0.3">
      <c r="A589" s="4">
        <v>588</v>
      </c>
      <c r="B589" s="7" t="s">
        <v>105</v>
      </c>
      <c r="C589" s="6" t="s">
        <v>78</v>
      </c>
      <c r="D589" s="6" t="s">
        <v>79</v>
      </c>
      <c r="E589" s="6" t="s">
        <v>31</v>
      </c>
      <c r="F589" s="35">
        <v>16</v>
      </c>
      <c r="G589" s="15" t="str">
        <f t="shared" si="9"/>
        <v>Afternoon</v>
      </c>
      <c r="H589" s="6" t="b">
        <v>0</v>
      </c>
      <c r="I589" s="6" t="s">
        <v>57</v>
      </c>
      <c r="J589" s="6" t="str">
        <f>IF(OR(Dataset_AFinal[[#This Row],[Weekday]]="Sat",Dataset_AFinal[[#This Row],[Weekday]]="Sun"),"Weekend", "Weekday")</f>
        <v>Weekday</v>
      </c>
      <c r="K589" s="6" t="s">
        <v>32</v>
      </c>
      <c r="L589" s="6">
        <v>0.22</v>
      </c>
      <c r="M589" s="35" t="s">
        <v>40</v>
      </c>
      <c r="N589" s="7">
        <v>0.2273</v>
      </c>
      <c r="O589" s="32">
        <v>0.55000000000000004</v>
      </c>
      <c r="P589" s="7">
        <v>0.19400000000000001</v>
      </c>
      <c r="Q589" s="8">
        <v>1</v>
      </c>
      <c r="R589" s="8">
        <v>23</v>
      </c>
      <c r="S589" s="8">
        <f>SUM(Dataset_AFinal[[#This Row],[Casual_user]:[Registered_user]])</f>
        <v>24</v>
      </c>
    </row>
    <row r="590" spans="1:19" x14ac:dyDescent="0.3">
      <c r="A590" s="4">
        <v>589</v>
      </c>
      <c r="B590" s="7" t="s">
        <v>105</v>
      </c>
      <c r="C590" s="6" t="s">
        <v>78</v>
      </c>
      <c r="D590" s="6" t="s">
        <v>79</v>
      </c>
      <c r="E590" s="6" t="s">
        <v>31</v>
      </c>
      <c r="F590" s="35">
        <v>17</v>
      </c>
      <c r="G590" s="15" t="str">
        <f t="shared" si="9"/>
        <v>Afternoon</v>
      </c>
      <c r="H590" s="6" t="b">
        <v>0</v>
      </c>
      <c r="I590" s="6" t="s">
        <v>57</v>
      </c>
      <c r="J590" s="6" t="str">
        <f>IF(OR(Dataset_AFinal[[#This Row],[Weekday]]="Sat",Dataset_AFinal[[#This Row],[Weekday]]="Sun"),"Weekend", "Weekday")</f>
        <v>Weekday</v>
      </c>
      <c r="K590" s="6" t="s">
        <v>32</v>
      </c>
      <c r="L590" s="6">
        <v>0.22</v>
      </c>
      <c r="M590" s="35" t="s">
        <v>40</v>
      </c>
      <c r="N590" s="7">
        <v>0.2424</v>
      </c>
      <c r="O590" s="32">
        <v>0.55000000000000004</v>
      </c>
      <c r="P590" s="7">
        <v>0.1045</v>
      </c>
      <c r="Q590" s="8">
        <v>2</v>
      </c>
      <c r="R590" s="8">
        <v>82</v>
      </c>
      <c r="S590" s="8">
        <f>SUM(Dataset_AFinal[[#This Row],[Casual_user]:[Registered_user]])</f>
        <v>84</v>
      </c>
    </row>
    <row r="591" spans="1:19" x14ac:dyDescent="0.3">
      <c r="A591" s="4">
        <v>590</v>
      </c>
      <c r="B591" s="7" t="s">
        <v>105</v>
      </c>
      <c r="C591" s="6" t="s">
        <v>78</v>
      </c>
      <c r="D591" s="6" t="s">
        <v>79</v>
      </c>
      <c r="E591" s="6" t="s">
        <v>31</v>
      </c>
      <c r="F591" s="35">
        <v>18</v>
      </c>
      <c r="G591" s="15" t="str">
        <f t="shared" si="9"/>
        <v>Evening</v>
      </c>
      <c r="H591" s="6" t="b">
        <v>0</v>
      </c>
      <c r="I591" s="6" t="s">
        <v>57</v>
      </c>
      <c r="J591" s="6" t="str">
        <f>IF(OR(Dataset_AFinal[[#This Row],[Weekday]]="Sat",Dataset_AFinal[[#This Row],[Weekday]]="Sun"),"Weekend", "Weekday")</f>
        <v>Weekday</v>
      </c>
      <c r="K591" s="6" t="s">
        <v>32</v>
      </c>
      <c r="L591" s="6">
        <v>0.2</v>
      </c>
      <c r="M591" s="35" t="s">
        <v>40</v>
      </c>
      <c r="N591" s="7">
        <v>0.2273</v>
      </c>
      <c r="O591" s="32">
        <v>0.69</v>
      </c>
      <c r="P591" s="7">
        <v>8.9599999999999999E-2</v>
      </c>
      <c r="Q591" s="8">
        <v>3</v>
      </c>
      <c r="R591" s="8">
        <v>101</v>
      </c>
      <c r="S591" s="8">
        <f>SUM(Dataset_AFinal[[#This Row],[Casual_user]:[Registered_user]])</f>
        <v>104</v>
      </c>
    </row>
    <row r="592" spans="1:19" x14ac:dyDescent="0.3">
      <c r="A592" s="4">
        <v>591</v>
      </c>
      <c r="B592" s="7" t="s">
        <v>105</v>
      </c>
      <c r="C592" s="6" t="s">
        <v>78</v>
      </c>
      <c r="D592" s="6" t="s">
        <v>79</v>
      </c>
      <c r="E592" s="6" t="s">
        <v>31</v>
      </c>
      <c r="F592" s="35">
        <v>19</v>
      </c>
      <c r="G592" s="15" t="str">
        <f t="shared" si="9"/>
        <v>Evening</v>
      </c>
      <c r="H592" s="6" t="b">
        <v>0</v>
      </c>
      <c r="I592" s="6" t="s">
        <v>57</v>
      </c>
      <c r="J592" s="6" t="str">
        <f>IF(OR(Dataset_AFinal[[#This Row],[Weekday]]="Sat",Dataset_AFinal[[#This Row],[Weekday]]="Sun"),"Weekend", "Weekday")</f>
        <v>Weekday</v>
      </c>
      <c r="K592" s="6" t="s">
        <v>32</v>
      </c>
      <c r="L592" s="6">
        <v>0.2</v>
      </c>
      <c r="M592" s="35" t="s">
        <v>40</v>
      </c>
      <c r="N592" s="7">
        <v>0.2273</v>
      </c>
      <c r="O592" s="32">
        <v>0.69</v>
      </c>
      <c r="P592" s="7">
        <v>8.9599999999999999E-2</v>
      </c>
      <c r="Q592" s="8">
        <v>3</v>
      </c>
      <c r="R592" s="8">
        <v>76</v>
      </c>
      <c r="S592" s="8">
        <f>SUM(Dataset_AFinal[[#This Row],[Casual_user]:[Registered_user]])</f>
        <v>79</v>
      </c>
    </row>
    <row r="593" spans="1:19" x14ac:dyDescent="0.3">
      <c r="A593" s="4">
        <v>592</v>
      </c>
      <c r="B593" s="7" t="s">
        <v>105</v>
      </c>
      <c r="C593" s="6" t="s">
        <v>78</v>
      </c>
      <c r="D593" s="6" t="s">
        <v>79</v>
      </c>
      <c r="E593" s="6" t="s">
        <v>31</v>
      </c>
      <c r="F593" s="35">
        <v>20</v>
      </c>
      <c r="G593" s="15" t="str">
        <f t="shared" si="9"/>
        <v>Evening</v>
      </c>
      <c r="H593" s="6" t="b">
        <v>0</v>
      </c>
      <c r="I593" s="6" t="s">
        <v>57</v>
      </c>
      <c r="J593" s="6" t="str">
        <f>IF(OR(Dataset_AFinal[[#This Row],[Weekday]]="Sat",Dataset_AFinal[[#This Row],[Weekday]]="Sun"),"Weekend", "Weekday")</f>
        <v>Weekday</v>
      </c>
      <c r="K593" s="6" t="s">
        <v>32</v>
      </c>
      <c r="L593" s="6">
        <v>0.18</v>
      </c>
      <c r="M593" s="35" t="s">
        <v>40</v>
      </c>
      <c r="N593" s="7">
        <v>0.21210000000000001</v>
      </c>
      <c r="O593" s="32">
        <v>0.74</v>
      </c>
      <c r="P593" s="7">
        <v>8.9599999999999999E-2</v>
      </c>
      <c r="Q593" s="8">
        <v>4</v>
      </c>
      <c r="R593" s="8">
        <v>55</v>
      </c>
      <c r="S593" s="8">
        <f>SUM(Dataset_AFinal[[#This Row],[Casual_user]:[Registered_user]])</f>
        <v>59</v>
      </c>
    </row>
    <row r="594" spans="1:19" x14ac:dyDescent="0.3">
      <c r="A594" s="4">
        <v>593</v>
      </c>
      <c r="B594" s="7" t="s">
        <v>105</v>
      </c>
      <c r="C594" s="6" t="s">
        <v>78</v>
      </c>
      <c r="D594" s="6" t="s">
        <v>79</v>
      </c>
      <c r="E594" s="6" t="s">
        <v>31</v>
      </c>
      <c r="F594" s="35">
        <v>21</v>
      </c>
      <c r="G594" s="15" t="str">
        <f t="shared" si="9"/>
        <v>Evening</v>
      </c>
      <c r="H594" s="6" t="b">
        <v>0</v>
      </c>
      <c r="I594" s="6" t="s">
        <v>57</v>
      </c>
      <c r="J594" s="6" t="str">
        <f>IF(OR(Dataset_AFinal[[#This Row],[Weekday]]="Sat",Dataset_AFinal[[#This Row],[Weekday]]="Sun"),"Weekend", "Weekday")</f>
        <v>Weekday</v>
      </c>
      <c r="K594" s="6" t="s">
        <v>32</v>
      </c>
      <c r="L594" s="6">
        <v>0.18</v>
      </c>
      <c r="M594" s="35" t="s">
        <v>40</v>
      </c>
      <c r="N594" s="7">
        <v>0.21210000000000001</v>
      </c>
      <c r="O594" s="32">
        <v>0.74</v>
      </c>
      <c r="P594" s="7">
        <v>8.9599999999999999E-2</v>
      </c>
      <c r="Q594" s="8">
        <v>2</v>
      </c>
      <c r="R594" s="8">
        <v>36</v>
      </c>
      <c r="S594" s="8">
        <f>SUM(Dataset_AFinal[[#This Row],[Casual_user]:[Registered_user]])</f>
        <v>38</v>
      </c>
    </row>
    <row r="595" spans="1:19" x14ac:dyDescent="0.3">
      <c r="A595" s="4">
        <v>594</v>
      </c>
      <c r="B595" s="7" t="s">
        <v>105</v>
      </c>
      <c r="C595" s="6" t="s">
        <v>78</v>
      </c>
      <c r="D595" s="6" t="s">
        <v>79</v>
      </c>
      <c r="E595" s="6" t="s">
        <v>31</v>
      </c>
      <c r="F595" s="35">
        <v>22</v>
      </c>
      <c r="G595" s="15" t="str">
        <f t="shared" si="9"/>
        <v>Evening</v>
      </c>
      <c r="H595" s="6" t="b">
        <v>0</v>
      </c>
      <c r="I595" s="6" t="s">
        <v>57</v>
      </c>
      <c r="J595" s="6" t="str">
        <f>IF(OR(Dataset_AFinal[[#This Row],[Weekday]]="Sat",Dataset_AFinal[[#This Row],[Weekday]]="Sun"),"Weekend", "Weekday")</f>
        <v>Weekday</v>
      </c>
      <c r="K595" s="6" t="s">
        <v>32</v>
      </c>
      <c r="L595" s="6">
        <v>0.18</v>
      </c>
      <c r="M595" s="35" t="s">
        <v>40</v>
      </c>
      <c r="N595" s="7">
        <v>0.21210000000000001</v>
      </c>
      <c r="O595" s="32">
        <v>0.74</v>
      </c>
      <c r="P595" s="7">
        <v>8.9599999999999999E-2</v>
      </c>
      <c r="Q595" s="8">
        <v>0</v>
      </c>
      <c r="R595" s="8">
        <v>27</v>
      </c>
      <c r="S595" s="8">
        <f>SUM(Dataset_AFinal[[#This Row],[Casual_user]:[Registered_user]])</f>
        <v>27</v>
      </c>
    </row>
    <row r="596" spans="1:19" x14ac:dyDescent="0.3">
      <c r="A596" s="4">
        <v>595</v>
      </c>
      <c r="B596" s="7" t="s">
        <v>105</v>
      </c>
      <c r="C596" s="6" t="s">
        <v>78</v>
      </c>
      <c r="D596" s="6" t="s">
        <v>79</v>
      </c>
      <c r="E596" s="6" t="s">
        <v>31</v>
      </c>
      <c r="F596" s="35">
        <v>23</v>
      </c>
      <c r="G596" s="15" t="str">
        <f t="shared" si="9"/>
        <v>Evening</v>
      </c>
      <c r="H596" s="6" t="b">
        <v>0</v>
      </c>
      <c r="I596" s="6" t="s">
        <v>57</v>
      </c>
      <c r="J596" s="6" t="str">
        <f>IF(OR(Dataset_AFinal[[#This Row],[Weekday]]="Sat",Dataset_AFinal[[#This Row],[Weekday]]="Sun"),"Weekend", "Weekday")</f>
        <v>Weekday</v>
      </c>
      <c r="K596" s="6" t="s">
        <v>32</v>
      </c>
      <c r="L596" s="6">
        <v>0.18</v>
      </c>
      <c r="M596" s="35" t="s">
        <v>40</v>
      </c>
      <c r="N596" s="7">
        <v>0.19700000000000001</v>
      </c>
      <c r="O596" s="32">
        <v>0.8</v>
      </c>
      <c r="P596" s="7">
        <v>0.16420000000000001</v>
      </c>
      <c r="Q596" s="8">
        <v>0</v>
      </c>
      <c r="R596" s="8">
        <v>16</v>
      </c>
      <c r="S596" s="8">
        <f>SUM(Dataset_AFinal[[#This Row],[Casual_user]:[Registered_user]])</f>
        <v>16</v>
      </c>
    </row>
    <row r="597" spans="1:19" x14ac:dyDescent="0.3">
      <c r="A597" s="4">
        <v>596</v>
      </c>
      <c r="B597" s="7" t="s">
        <v>106</v>
      </c>
      <c r="C597" s="6" t="s">
        <v>78</v>
      </c>
      <c r="D597" s="6" t="s">
        <v>79</v>
      </c>
      <c r="E597" s="6" t="s">
        <v>31</v>
      </c>
      <c r="F597" s="35">
        <v>0</v>
      </c>
      <c r="G597" s="15" t="str">
        <f t="shared" si="9"/>
        <v>Night</v>
      </c>
      <c r="H597" s="6" t="b">
        <v>0</v>
      </c>
      <c r="I597" s="6" t="s">
        <v>58</v>
      </c>
      <c r="J597" s="6" t="str">
        <f>IF(OR(Dataset_AFinal[[#This Row],[Weekday]]="Sat",Dataset_AFinal[[#This Row],[Weekday]]="Sun"),"Weekend", "Weekday")</f>
        <v>Weekday</v>
      </c>
      <c r="K597" s="6" t="s">
        <v>33</v>
      </c>
      <c r="L597" s="6">
        <v>0.2</v>
      </c>
      <c r="M597" s="35" t="s">
        <v>40</v>
      </c>
      <c r="N597" s="7">
        <v>0.21210000000000001</v>
      </c>
      <c r="O597" s="32">
        <v>0.75</v>
      </c>
      <c r="P597" s="7">
        <v>0.1343</v>
      </c>
      <c r="Q597" s="8">
        <v>0</v>
      </c>
      <c r="R597" s="8">
        <v>9</v>
      </c>
      <c r="S597" s="8">
        <f>SUM(Dataset_AFinal[[#This Row],[Casual_user]:[Registered_user]])</f>
        <v>9</v>
      </c>
    </row>
    <row r="598" spans="1:19" x14ac:dyDescent="0.3">
      <c r="A598" s="4">
        <v>597</v>
      </c>
      <c r="B598" s="7" t="s">
        <v>106</v>
      </c>
      <c r="C598" s="6" t="s">
        <v>78</v>
      </c>
      <c r="D598" s="6" t="s">
        <v>79</v>
      </c>
      <c r="E598" s="6" t="s">
        <v>31</v>
      </c>
      <c r="F598" s="35">
        <v>1</v>
      </c>
      <c r="G598" s="15" t="str">
        <f t="shared" si="9"/>
        <v>Night</v>
      </c>
      <c r="H598" s="6" t="b">
        <v>0</v>
      </c>
      <c r="I598" s="6" t="s">
        <v>58</v>
      </c>
      <c r="J598" s="6" t="str">
        <f>IF(OR(Dataset_AFinal[[#This Row],[Weekday]]="Sat",Dataset_AFinal[[#This Row],[Weekday]]="Sun"),"Weekend", "Weekday")</f>
        <v>Weekday</v>
      </c>
      <c r="K598" s="6" t="s">
        <v>33</v>
      </c>
      <c r="L598" s="6">
        <v>0.2</v>
      </c>
      <c r="M598" s="35" t="s">
        <v>40</v>
      </c>
      <c r="N598" s="7">
        <v>0.21210000000000001</v>
      </c>
      <c r="O598" s="32">
        <v>0.75</v>
      </c>
      <c r="P598" s="7">
        <v>0.1343</v>
      </c>
      <c r="Q598" s="8">
        <v>1</v>
      </c>
      <c r="R598" s="8">
        <v>2</v>
      </c>
      <c r="S598" s="8">
        <f>SUM(Dataset_AFinal[[#This Row],[Casual_user]:[Registered_user]])</f>
        <v>3</v>
      </c>
    </row>
    <row r="599" spans="1:19" x14ac:dyDescent="0.3">
      <c r="A599" s="4">
        <v>598</v>
      </c>
      <c r="B599" s="7" t="s">
        <v>106</v>
      </c>
      <c r="C599" s="6" t="s">
        <v>78</v>
      </c>
      <c r="D599" s="6" t="s">
        <v>79</v>
      </c>
      <c r="E599" s="6" t="s">
        <v>31</v>
      </c>
      <c r="F599" s="35">
        <v>2</v>
      </c>
      <c r="G599" s="15" t="str">
        <f t="shared" si="9"/>
        <v>Night</v>
      </c>
      <c r="H599" s="6" t="b">
        <v>0</v>
      </c>
      <c r="I599" s="6" t="s">
        <v>58</v>
      </c>
      <c r="J599" s="6" t="str">
        <f>IF(OR(Dataset_AFinal[[#This Row],[Weekday]]="Sat",Dataset_AFinal[[#This Row],[Weekday]]="Sun"),"Weekend", "Weekday")</f>
        <v>Weekday</v>
      </c>
      <c r="K599" s="6" t="s">
        <v>33</v>
      </c>
      <c r="L599" s="6">
        <v>0.2</v>
      </c>
      <c r="M599" s="35" t="s">
        <v>40</v>
      </c>
      <c r="N599" s="7">
        <v>0.21210000000000001</v>
      </c>
      <c r="O599" s="32">
        <v>0.75</v>
      </c>
      <c r="P599" s="7">
        <v>0.16420000000000001</v>
      </c>
      <c r="Q599" s="8">
        <v>0</v>
      </c>
      <c r="R599" s="8">
        <v>2</v>
      </c>
      <c r="S599" s="8">
        <f>SUM(Dataset_AFinal[[#This Row],[Casual_user]:[Registered_user]])</f>
        <v>2</v>
      </c>
    </row>
    <row r="600" spans="1:19" x14ac:dyDescent="0.3">
      <c r="A600" s="4">
        <v>599</v>
      </c>
      <c r="B600" s="7" t="s">
        <v>106</v>
      </c>
      <c r="C600" s="6" t="s">
        <v>78</v>
      </c>
      <c r="D600" s="6" t="s">
        <v>79</v>
      </c>
      <c r="E600" s="6" t="s">
        <v>31</v>
      </c>
      <c r="F600" s="35">
        <v>3</v>
      </c>
      <c r="G600" s="15" t="str">
        <f t="shared" si="9"/>
        <v>Night</v>
      </c>
      <c r="H600" s="6" t="b">
        <v>0</v>
      </c>
      <c r="I600" s="6" t="s">
        <v>58</v>
      </c>
      <c r="J600" s="6" t="str">
        <f>IF(OR(Dataset_AFinal[[#This Row],[Weekday]]="Sat",Dataset_AFinal[[#This Row],[Weekday]]="Sun"),"Weekend", "Weekday")</f>
        <v>Weekday</v>
      </c>
      <c r="K600" s="6" t="s">
        <v>33</v>
      </c>
      <c r="L600" s="6">
        <v>0.2</v>
      </c>
      <c r="M600" s="35" t="s">
        <v>40</v>
      </c>
      <c r="N600" s="7">
        <v>0.2273</v>
      </c>
      <c r="O600" s="32">
        <v>0.75</v>
      </c>
      <c r="P600" s="7">
        <v>0.1045</v>
      </c>
      <c r="Q600" s="8">
        <v>1</v>
      </c>
      <c r="R600" s="8">
        <v>0</v>
      </c>
      <c r="S600" s="8">
        <f>SUM(Dataset_AFinal[[#This Row],[Casual_user]:[Registered_user]])</f>
        <v>1</v>
      </c>
    </row>
    <row r="601" spans="1:19" x14ac:dyDescent="0.3">
      <c r="A601" s="4">
        <v>600</v>
      </c>
      <c r="B601" s="7" t="s">
        <v>106</v>
      </c>
      <c r="C601" s="6" t="s">
        <v>78</v>
      </c>
      <c r="D601" s="6" t="s">
        <v>79</v>
      </c>
      <c r="E601" s="6" t="s">
        <v>31</v>
      </c>
      <c r="F601" s="35">
        <v>5</v>
      </c>
      <c r="G601" s="15" t="str">
        <f t="shared" si="9"/>
        <v>Night</v>
      </c>
      <c r="H601" s="6" t="b">
        <v>0</v>
      </c>
      <c r="I601" s="6" t="s">
        <v>58</v>
      </c>
      <c r="J601" s="6" t="str">
        <f>IF(OR(Dataset_AFinal[[#This Row],[Weekday]]="Sat",Dataset_AFinal[[#This Row],[Weekday]]="Sun"),"Weekend", "Weekday")</f>
        <v>Weekday</v>
      </c>
      <c r="K601" s="6" t="s">
        <v>33</v>
      </c>
      <c r="L601" s="6">
        <v>0.18</v>
      </c>
      <c r="M601" s="35" t="s">
        <v>40</v>
      </c>
      <c r="N601" s="7">
        <v>0.21210000000000001</v>
      </c>
      <c r="O601" s="32">
        <v>0.8</v>
      </c>
      <c r="P601" s="7">
        <v>0.1045</v>
      </c>
      <c r="Q601" s="8">
        <v>0</v>
      </c>
      <c r="R601" s="8">
        <v>4</v>
      </c>
      <c r="S601" s="8">
        <f>SUM(Dataset_AFinal[[#This Row],[Casual_user]:[Registered_user]])</f>
        <v>4</v>
      </c>
    </row>
    <row r="602" spans="1:19" x14ac:dyDescent="0.3">
      <c r="A602" s="4">
        <v>601</v>
      </c>
      <c r="B602" s="7" t="s">
        <v>106</v>
      </c>
      <c r="C602" s="6" t="s">
        <v>78</v>
      </c>
      <c r="D602" s="6" t="s">
        <v>79</v>
      </c>
      <c r="E602" s="6" t="s">
        <v>31</v>
      </c>
      <c r="F602" s="35">
        <v>6</v>
      </c>
      <c r="G602" s="15" t="str">
        <f t="shared" si="9"/>
        <v>Morning</v>
      </c>
      <c r="H602" s="6" t="b">
        <v>0</v>
      </c>
      <c r="I602" s="6" t="s">
        <v>58</v>
      </c>
      <c r="J602" s="6" t="str">
        <f>IF(OR(Dataset_AFinal[[#This Row],[Weekday]]="Sat",Dataset_AFinal[[#This Row],[Weekday]]="Sun"),"Weekend", "Weekday")</f>
        <v>Weekday</v>
      </c>
      <c r="K602" s="6" t="s">
        <v>33</v>
      </c>
      <c r="L602" s="6">
        <v>0.18</v>
      </c>
      <c r="M602" s="35" t="s">
        <v>40</v>
      </c>
      <c r="N602" s="7">
        <v>0.19700000000000001</v>
      </c>
      <c r="O602" s="32">
        <v>0.8</v>
      </c>
      <c r="P602" s="7">
        <v>0.1343</v>
      </c>
      <c r="Q602" s="8">
        <v>0</v>
      </c>
      <c r="R602" s="8">
        <v>16</v>
      </c>
      <c r="S602" s="8">
        <f>SUM(Dataset_AFinal[[#This Row],[Casual_user]:[Registered_user]])</f>
        <v>16</v>
      </c>
    </row>
    <row r="603" spans="1:19" x14ac:dyDescent="0.3">
      <c r="A603" s="4">
        <v>602</v>
      </c>
      <c r="B603" s="7" t="s">
        <v>106</v>
      </c>
      <c r="C603" s="6" t="s">
        <v>78</v>
      </c>
      <c r="D603" s="6" t="s">
        <v>79</v>
      </c>
      <c r="E603" s="6" t="s">
        <v>31</v>
      </c>
      <c r="F603" s="35">
        <v>7</v>
      </c>
      <c r="G603" s="15" t="str">
        <f t="shared" si="9"/>
        <v>Morning</v>
      </c>
      <c r="H603" s="6" t="b">
        <v>0</v>
      </c>
      <c r="I603" s="6" t="s">
        <v>58</v>
      </c>
      <c r="J603" s="6" t="str">
        <f>IF(OR(Dataset_AFinal[[#This Row],[Weekday]]="Sat",Dataset_AFinal[[#This Row],[Weekday]]="Sun"),"Weekend", "Weekday")</f>
        <v>Weekday</v>
      </c>
      <c r="K603" s="6" t="s">
        <v>33</v>
      </c>
      <c r="L603" s="6">
        <v>0.16</v>
      </c>
      <c r="M603" s="35" t="s">
        <v>40</v>
      </c>
      <c r="N603" s="7">
        <v>0.19700000000000001</v>
      </c>
      <c r="O603" s="32">
        <v>0.86</v>
      </c>
      <c r="P603" s="7">
        <v>8.9599999999999999E-2</v>
      </c>
      <c r="Q603" s="8">
        <v>2</v>
      </c>
      <c r="R603" s="8">
        <v>58</v>
      </c>
      <c r="S603" s="8">
        <f>SUM(Dataset_AFinal[[#This Row],[Casual_user]:[Registered_user]])</f>
        <v>60</v>
      </c>
    </row>
    <row r="604" spans="1:19" x14ac:dyDescent="0.3">
      <c r="A604" s="4">
        <v>603</v>
      </c>
      <c r="B604" s="7" t="s">
        <v>106</v>
      </c>
      <c r="C604" s="6" t="s">
        <v>78</v>
      </c>
      <c r="D604" s="6" t="s">
        <v>79</v>
      </c>
      <c r="E604" s="6" t="s">
        <v>31</v>
      </c>
      <c r="F604" s="35">
        <v>8</v>
      </c>
      <c r="G604" s="15" t="str">
        <f t="shared" si="9"/>
        <v>Morning</v>
      </c>
      <c r="H604" s="6" t="b">
        <v>0</v>
      </c>
      <c r="I604" s="6" t="s">
        <v>58</v>
      </c>
      <c r="J604" s="6" t="str">
        <f>IF(OR(Dataset_AFinal[[#This Row],[Weekday]]="Sat",Dataset_AFinal[[#This Row],[Weekday]]="Sun"),"Weekend", "Weekday")</f>
        <v>Weekday</v>
      </c>
      <c r="K604" s="6" t="s">
        <v>33</v>
      </c>
      <c r="L604" s="6">
        <v>0.16</v>
      </c>
      <c r="M604" s="35" t="s">
        <v>40</v>
      </c>
      <c r="N604" s="7">
        <v>0.19700000000000001</v>
      </c>
      <c r="O604" s="32">
        <v>0.86</v>
      </c>
      <c r="P604" s="7">
        <v>8.9599999999999999E-2</v>
      </c>
      <c r="Q604" s="8">
        <v>2</v>
      </c>
      <c r="R604" s="8">
        <v>155</v>
      </c>
      <c r="S604" s="8">
        <f>SUM(Dataset_AFinal[[#This Row],[Casual_user]:[Registered_user]])</f>
        <v>157</v>
      </c>
    </row>
    <row r="605" spans="1:19" x14ac:dyDescent="0.3">
      <c r="A605" s="4">
        <v>604</v>
      </c>
      <c r="B605" s="7" t="s">
        <v>106</v>
      </c>
      <c r="C605" s="6" t="s">
        <v>78</v>
      </c>
      <c r="D605" s="6" t="s">
        <v>79</v>
      </c>
      <c r="E605" s="6" t="s">
        <v>31</v>
      </c>
      <c r="F605" s="35">
        <v>9</v>
      </c>
      <c r="G605" s="15" t="str">
        <f t="shared" si="9"/>
        <v>Morning</v>
      </c>
      <c r="H605" s="6" t="b">
        <v>0</v>
      </c>
      <c r="I605" s="6" t="s">
        <v>58</v>
      </c>
      <c r="J605" s="6" t="str">
        <f>IF(OR(Dataset_AFinal[[#This Row],[Weekday]]="Sat",Dataset_AFinal[[#This Row],[Weekday]]="Sun"),"Weekend", "Weekday")</f>
        <v>Weekday</v>
      </c>
      <c r="K605" s="6" t="s">
        <v>34</v>
      </c>
      <c r="L605" s="6">
        <v>0.18</v>
      </c>
      <c r="M605" s="35" t="s">
        <v>40</v>
      </c>
      <c r="N605" s="7">
        <v>0.21210000000000001</v>
      </c>
      <c r="O605" s="32">
        <v>0.86</v>
      </c>
      <c r="P605" s="7">
        <v>8.9599999999999999E-2</v>
      </c>
      <c r="Q605" s="8">
        <v>6</v>
      </c>
      <c r="R605" s="8">
        <v>95</v>
      </c>
      <c r="S605" s="8">
        <f>SUM(Dataset_AFinal[[#This Row],[Casual_user]:[Registered_user]])</f>
        <v>101</v>
      </c>
    </row>
    <row r="606" spans="1:19" x14ac:dyDescent="0.3">
      <c r="A606" s="4">
        <v>605</v>
      </c>
      <c r="B606" s="7" t="s">
        <v>106</v>
      </c>
      <c r="C606" s="6" t="s">
        <v>78</v>
      </c>
      <c r="D606" s="6" t="s">
        <v>79</v>
      </c>
      <c r="E606" s="6" t="s">
        <v>31</v>
      </c>
      <c r="F606" s="35">
        <v>10</v>
      </c>
      <c r="G606" s="15" t="str">
        <f t="shared" si="9"/>
        <v>Morning</v>
      </c>
      <c r="H606" s="6" t="b">
        <v>0</v>
      </c>
      <c r="I606" s="6" t="s">
        <v>58</v>
      </c>
      <c r="J606" s="6" t="str">
        <f>IF(OR(Dataset_AFinal[[#This Row],[Weekday]]="Sat",Dataset_AFinal[[#This Row],[Weekday]]="Sun"),"Weekend", "Weekday")</f>
        <v>Weekday</v>
      </c>
      <c r="K606" s="6" t="s">
        <v>34</v>
      </c>
      <c r="L606" s="6">
        <v>0.18</v>
      </c>
      <c r="M606" s="35" t="s">
        <v>40</v>
      </c>
      <c r="N606" s="7">
        <v>0.21210000000000001</v>
      </c>
      <c r="O606" s="32">
        <v>0.86</v>
      </c>
      <c r="P606" s="7">
        <v>0.1045</v>
      </c>
      <c r="Q606" s="8">
        <v>0</v>
      </c>
      <c r="R606" s="8">
        <v>49</v>
      </c>
      <c r="S606" s="8">
        <f>SUM(Dataset_AFinal[[#This Row],[Casual_user]:[Registered_user]])</f>
        <v>49</v>
      </c>
    </row>
    <row r="607" spans="1:19" x14ac:dyDescent="0.3">
      <c r="A607" s="4">
        <v>606</v>
      </c>
      <c r="B607" s="7" t="s">
        <v>106</v>
      </c>
      <c r="C607" s="6" t="s">
        <v>78</v>
      </c>
      <c r="D607" s="6" t="s">
        <v>79</v>
      </c>
      <c r="E607" s="6" t="s">
        <v>31</v>
      </c>
      <c r="F607" s="35">
        <v>11</v>
      </c>
      <c r="G607" s="15" t="str">
        <f t="shared" si="9"/>
        <v>Morning</v>
      </c>
      <c r="H607" s="6" t="b">
        <v>0</v>
      </c>
      <c r="I607" s="6" t="s">
        <v>58</v>
      </c>
      <c r="J607" s="6" t="str">
        <f>IF(OR(Dataset_AFinal[[#This Row],[Weekday]]="Sat",Dataset_AFinal[[#This Row],[Weekday]]="Sun"),"Weekend", "Weekday")</f>
        <v>Weekday</v>
      </c>
      <c r="K607" s="6" t="s">
        <v>34</v>
      </c>
      <c r="L607" s="6">
        <v>0.18</v>
      </c>
      <c r="M607" s="35" t="s">
        <v>40</v>
      </c>
      <c r="N607" s="7">
        <v>0.21210000000000001</v>
      </c>
      <c r="O607" s="32">
        <v>0.93</v>
      </c>
      <c r="P607" s="7">
        <v>0.1045</v>
      </c>
      <c r="Q607" s="8">
        <v>0</v>
      </c>
      <c r="R607" s="8">
        <v>30</v>
      </c>
      <c r="S607" s="8">
        <f>SUM(Dataset_AFinal[[#This Row],[Casual_user]:[Registered_user]])</f>
        <v>30</v>
      </c>
    </row>
    <row r="608" spans="1:19" x14ac:dyDescent="0.3">
      <c r="A608" s="4">
        <v>607</v>
      </c>
      <c r="B608" s="7" t="s">
        <v>106</v>
      </c>
      <c r="C608" s="6" t="s">
        <v>78</v>
      </c>
      <c r="D608" s="6" t="s">
        <v>79</v>
      </c>
      <c r="E608" s="6" t="s">
        <v>31</v>
      </c>
      <c r="F608" s="35">
        <v>12</v>
      </c>
      <c r="G608" s="15" t="str">
        <f t="shared" si="9"/>
        <v>Afternoon</v>
      </c>
      <c r="H608" s="6" t="b">
        <v>0</v>
      </c>
      <c r="I608" s="6" t="s">
        <v>58</v>
      </c>
      <c r="J608" s="6" t="str">
        <f>IF(OR(Dataset_AFinal[[#This Row],[Weekday]]="Sat",Dataset_AFinal[[#This Row],[Weekday]]="Sun"),"Weekend", "Weekday")</f>
        <v>Weekday</v>
      </c>
      <c r="K608" s="6" t="s">
        <v>34</v>
      </c>
      <c r="L608" s="6">
        <v>0.18</v>
      </c>
      <c r="M608" s="35" t="s">
        <v>40</v>
      </c>
      <c r="N608" s="7">
        <v>0.21210000000000001</v>
      </c>
      <c r="O608" s="32">
        <v>0.93</v>
      </c>
      <c r="P608" s="7">
        <v>0.1045</v>
      </c>
      <c r="Q608" s="8">
        <v>1</v>
      </c>
      <c r="R608" s="8">
        <v>28</v>
      </c>
      <c r="S608" s="8">
        <f>SUM(Dataset_AFinal[[#This Row],[Casual_user]:[Registered_user]])</f>
        <v>29</v>
      </c>
    </row>
    <row r="609" spans="1:19" x14ac:dyDescent="0.3">
      <c r="A609" s="4">
        <v>608</v>
      </c>
      <c r="B609" s="7" t="s">
        <v>106</v>
      </c>
      <c r="C609" s="6" t="s">
        <v>78</v>
      </c>
      <c r="D609" s="6" t="s">
        <v>79</v>
      </c>
      <c r="E609" s="6" t="s">
        <v>31</v>
      </c>
      <c r="F609" s="35">
        <v>13</v>
      </c>
      <c r="G609" s="15" t="str">
        <f t="shared" si="9"/>
        <v>Afternoon</v>
      </c>
      <c r="H609" s="6" t="b">
        <v>0</v>
      </c>
      <c r="I609" s="6" t="s">
        <v>58</v>
      </c>
      <c r="J609" s="6" t="str">
        <f>IF(OR(Dataset_AFinal[[#This Row],[Weekday]]="Sat",Dataset_AFinal[[#This Row],[Weekday]]="Sun"),"Weekend", "Weekday")</f>
        <v>Weekday</v>
      </c>
      <c r="K609" s="6" t="s">
        <v>34</v>
      </c>
      <c r="L609" s="6">
        <v>0.18</v>
      </c>
      <c r="M609" s="35" t="s">
        <v>40</v>
      </c>
      <c r="N609" s="7">
        <v>0.21210000000000001</v>
      </c>
      <c r="O609" s="32">
        <v>0.93</v>
      </c>
      <c r="P609" s="7">
        <v>0.1045</v>
      </c>
      <c r="Q609" s="8">
        <v>0</v>
      </c>
      <c r="R609" s="8">
        <v>31</v>
      </c>
      <c r="S609" s="8">
        <f>SUM(Dataset_AFinal[[#This Row],[Casual_user]:[Registered_user]])</f>
        <v>31</v>
      </c>
    </row>
    <row r="610" spans="1:19" x14ac:dyDescent="0.3">
      <c r="A610" s="4">
        <v>609</v>
      </c>
      <c r="B610" s="7" t="s">
        <v>106</v>
      </c>
      <c r="C610" s="6" t="s">
        <v>78</v>
      </c>
      <c r="D610" s="6" t="s">
        <v>79</v>
      </c>
      <c r="E610" s="6" t="s">
        <v>31</v>
      </c>
      <c r="F610" s="35">
        <v>14</v>
      </c>
      <c r="G610" s="15" t="str">
        <f t="shared" si="9"/>
        <v>Afternoon</v>
      </c>
      <c r="H610" s="6" t="b">
        <v>0</v>
      </c>
      <c r="I610" s="6" t="s">
        <v>58</v>
      </c>
      <c r="J610" s="6" t="str">
        <f>IF(OR(Dataset_AFinal[[#This Row],[Weekday]]="Sat",Dataset_AFinal[[#This Row],[Weekday]]="Sun"),"Weekend", "Weekday")</f>
        <v>Weekday</v>
      </c>
      <c r="K610" s="6" t="s">
        <v>34</v>
      </c>
      <c r="L610" s="6">
        <v>0.22</v>
      </c>
      <c r="M610" s="35" t="s">
        <v>40</v>
      </c>
      <c r="N610" s="7">
        <v>0.2727</v>
      </c>
      <c r="O610" s="32">
        <v>0.8</v>
      </c>
      <c r="P610" s="7">
        <v>0</v>
      </c>
      <c r="Q610" s="8">
        <v>2</v>
      </c>
      <c r="R610" s="8">
        <v>36</v>
      </c>
      <c r="S610" s="8">
        <f>SUM(Dataset_AFinal[[#This Row],[Casual_user]:[Registered_user]])</f>
        <v>38</v>
      </c>
    </row>
    <row r="611" spans="1:19" x14ac:dyDescent="0.3">
      <c r="A611" s="10">
        <v>610</v>
      </c>
      <c r="B611" s="11" t="s">
        <v>106</v>
      </c>
      <c r="C611" s="9" t="s">
        <v>78</v>
      </c>
      <c r="D611" s="9" t="s">
        <v>79</v>
      </c>
      <c r="E611" s="9" t="s">
        <v>31</v>
      </c>
      <c r="F611" s="37">
        <v>15</v>
      </c>
      <c r="G611" s="16" t="str">
        <f t="shared" si="9"/>
        <v>Afternoon</v>
      </c>
      <c r="H611" s="9" t="b">
        <v>0</v>
      </c>
      <c r="I611" s="9" t="s">
        <v>58</v>
      </c>
      <c r="J611" s="9" t="str">
        <f>IF(OR(Dataset_AFinal[[#This Row],[Weekday]]="Sat",Dataset_AFinal[[#This Row],[Weekday]]="Sun"),"Weekend", "Weekday")</f>
        <v>Weekday</v>
      </c>
      <c r="K611" s="9" t="s">
        <v>33</v>
      </c>
      <c r="L611" s="9">
        <v>0.2</v>
      </c>
      <c r="M611" s="37" t="s">
        <v>40</v>
      </c>
      <c r="N611" s="11">
        <v>0.2576</v>
      </c>
      <c r="O611" s="33">
        <v>0.86</v>
      </c>
      <c r="P611" s="11">
        <v>0</v>
      </c>
      <c r="Q611" s="12">
        <v>1</v>
      </c>
      <c r="R611" s="12">
        <v>40</v>
      </c>
      <c r="S611" s="12">
        <f>SUM(Dataset_AFinal[[#This Row],[Casual_user]:[Registered_user]])</f>
        <v>41</v>
      </c>
    </row>
    <row r="612" spans="1:19" ht="15" thickBot="1" x14ac:dyDescent="0.35">
      <c r="A612" s="4"/>
      <c r="B612" s="5"/>
      <c r="C612" s="6"/>
      <c r="D612" s="6"/>
      <c r="E612" s="6"/>
      <c r="F612" s="15"/>
      <c r="G612" s="15"/>
      <c r="H612" s="6"/>
      <c r="I612" s="6"/>
      <c r="J612" s="6"/>
      <c r="K612" s="6"/>
      <c r="L612" s="6"/>
      <c r="M612" s="35"/>
      <c r="N612" s="7"/>
      <c r="O612" s="32"/>
      <c r="P612" s="7"/>
      <c r="Q612" s="8"/>
      <c r="R612" s="8"/>
      <c r="S612" s="8"/>
    </row>
    <row r="613" spans="1:19" ht="15.6" x14ac:dyDescent="0.3">
      <c r="A613" s="45" t="s">
        <v>60</v>
      </c>
      <c r="B613" s="38"/>
      <c r="C613" s="39"/>
      <c r="D613" s="39"/>
      <c r="E613" s="39"/>
      <c r="F613" s="40"/>
      <c r="G613" s="40" t="str">
        <f t="shared" si="9"/>
        <v>Night</v>
      </c>
      <c r="H613" s="39"/>
      <c r="I613" s="39"/>
      <c r="J613" s="39"/>
      <c r="K613" s="39"/>
      <c r="L613" s="39">
        <f>AVERAGE(L2:L611)</f>
        <v>0.19688524590163942</v>
      </c>
      <c r="M613" s="41"/>
      <c r="N613" s="42">
        <f t="shared" ref="N613:S613" si="10">AVERAGE(N2:N611)</f>
        <v>0.19993606557377067</v>
      </c>
      <c r="O613" s="43">
        <f t="shared" si="10"/>
        <v>0.56247540983606703</v>
      </c>
      <c r="P613" s="42">
        <f t="shared" si="10"/>
        <v>0.20485098360655737</v>
      </c>
      <c r="Q613" s="44">
        <f t="shared" si="10"/>
        <v>4.5016393442622951</v>
      </c>
      <c r="R613" s="44">
        <f t="shared" si="10"/>
        <v>51.068852459016391</v>
      </c>
      <c r="S613" s="44">
        <f t="shared" si="10"/>
        <v>55.570491803278685</v>
      </c>
    </row>
    <row r="614" spans="1:19" ht="15.6" x14ac:dyDescent="0.3">
      <c r="A614" s="30" t="s">
        <v>61</v>
      </c>
      <c r="B614" s="25"/>
      <c r="C614" s="26"/>
      <c r="D614" s="26"/>
      <c r="E614" s="26"/>
      <c r="F614" s="27"/>
      <c r="G614" s="27" t="str">
        <f t="shared" si="9"/>
        <v>Night</v>
      </c>
      <c r="H614" s="26"/>
      <c r="I614" s="26"/>
      <c r="J614" s="26"/>
      <c r="K614" s="26"/>
      <c r="L614" s="26"/>
      <c r="M614" s="36"/>
      <c r="N614" s="28"/>
      <c r="O614" s="26"/>
      <c r="P614" s="28"/>
      <c r="Q614" s="29">
        <f>SUM(Q2:Q611)</f>
        <v>2746</v>
      </c>
      <c r="R614" s="29">
        <f>SUM(R2:R611)</f>
        <v>31152</v>
      </c>
      <c r="S614" s="29">
        <f>SUM(S2:S611)</f>
        <v>33898</v>
      </c>
    </row>
  </sheetData>
  <mergeCells count="2">
    <mergeCell ref="U4:V4"/>
    <mergeCell ref="U9:V9"/>
  </mergeCells>
  <phoneticPr fontId="12" type="noConversion"/>
  <conditionalFormatting sqref="I2:I612">
    <cfRule type="containsText" dxfId="3966" priority="6" operator="containsText" text="sat">
      <formula>NOT(ISERROR(SEARCH("sat",I2)))</formula>
    </cfRule>
    <cfRule type="containsText" dxfId="3965" priority="7" operator="containsText" text="sun">
      <formula>NOT(ISERROR(SEARCH("sun",I2)))</formula>
    </cfRule>
    <cfRule type="containsText" dxfId="3964" priority="8" operator="containsText" text="sunday">
      <formula>NOT(ISERROR(SEARCH("sunday",I2)))</formula>
    </cfRule>
  </conditionalFormatting>
  <conditionalFormatting sqref="J2:J612">
    <cfRule type="containsText" dxfId="3963" priority="4" operator="containsText" text="Weekend">
      <formula>NOT(ISERROR(SEARCH("Weekend",J2)))</formula>
    </cfRule>
  </conditionalFormatting>
  <conditionalFormatting sqref="K1:K612">
    <cfRule type="containsText" dxfId="3962" priority="1" operator="containsText" text="Heavy Rain/Snow">
      <formula>NOT(ISERROR(SEARCH("Heavy Rain/Snow",K1)))</formula>
    </cfRule>
  </conditionalFormatting>
  <conditionalFormatting sqref="K2:K614">
    <cfRule type="containsText" dxfId="3961" priority="2" operator="containsText" text="Light Snow/Rain">
      <formula>NOT(ISERROR(SEARCH("Light Snow/Rain",K2)))</formula>
    </cfRule>
    <cfRule type="containsText" dxfId="3960" priority="3" operator="containsText" text="Mist / Cloudy">
      <formula>NOT(ISERROR(SEARCH("Mist / Cloudy",K2)))</formula>
    </cfRule>
  </conditionalFormatting>
  <conditionalFormatting sqref="M2:M612">
    <cfRule type="containsText" dxfId="3959" priority="10" operator="containsText" text="Sweltering">
      <formula>NOT(ISERROR(SEARCH("Sweltering",M2)))</formula>
    </cfRule>
    <cfRule type="containsText" dxfId="3958" priority="11" operator="containsText" text="Moderate">
      <formula>NOT(ISERROR(SEARCH("Moderate",M2)))</formula>
    </cfRule>
    <cfRule type="containsText" dxfId="3957" priority="12" operator="containsText" text="Cool">
      <formula>NOT(ISERROR(SEARCH("Cool",M2)))</formula>
    </cfRule>
    <cfRule type="containsText" dxfId="3956" priority="13" operator="containsText" text="ICY">
      <formula>NOT(ISERROR(SEARCH("ICY",M2)))</formula>
    </cfRule>
  </conditionalFormatting>
  <conditionalFormatting sqref="M2:M614">
    <cfRule type="containsText" dxfId="3955" priority="9" operator="containsText" text="Extremely hot">
      <formula>NOT(ISERROR(SEARCH("Extremely hot",M2)))</formula>
    </cfRule>
  </conditionalFormatting>
  <conditionalFormatting sqref="O2:O612">
    <cfRule type="cellIs" dxfId="3954" priority="18" operator="greaterThan">
      <formula>0.8</formula>
    </cfRule>
    <cfRule type="cellIs" dxfId="3953" priority="19" operator="greaterThan">
      <formula>80</formula>
    </cfRule>
  </conditionalFormatting>
  <conditionalFormatting sqref="P2:P612">
    <cfRule type="cellIs" dxfId="3952" priority="17" operator="greaterThanOrEqual">
      <formula>0.4</formula>
    </cfRule>
  </conditionalFormatting>
  <conditionalFormatting sqref="S2:S612">
    <cfRule type="cellIs" dxfId="3951" priority="14" operator="greaterThan">
      <formula>200</formula>
    </cfRule>
    <cfRule type="cellIs" dxfId="3950" priority="15" operator="greaterThan">
      <formula>150</formula>
    </cfRule>
    <cfRule type="cellIs" dxfId="3949" priority="16" operator="lessThan">
      <formula>55</formula>
    </cfRule>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96CD0-635A-4DA8-AE2D-593CECFBB9DE}">
  <dimension ref="A1:G611"/>
  <sheetViews>
    <sheetView workbookViewId="0">
      <selection activeCell="B2" sqref="B2"/>
    </sheetView>
  </sheetViews>
  <sheetFormatPr defaultRowHeight="14.4" x14ac:dyDescent="0.3"/>
  <cols>
    <col min="1" max="1" width="9" bestFit="1" customWidth="1"/>
    <col min="2" max="2" width="8.6640625" bestFit="1" customWidth="1"/>
    <col min="3" max="3" width="7.109375" bestFit="1" customWidth="1"/>
    <col min="4" max="4" width="12.33203125" bestFit="1" customWidth="1"/>
    <col min="5" max="5" width="8.44140625" bestFit="1" customWidth="1"/>
    <col min="6" max="6" width="11.5546875" bestFit="1" customWidth="1"/>
    <col min="7" max="7" width="5.88671875" bestFit="1" customWidth="1"/>
  </cols>
  <sheetData>
    <row r="1" spans="1:7" x14ac:dyDescent="0.3">
      <c r="A1" t="s">
        <v>0</v>
      </c>
      <c r="B1" t="s">
        <v>10</v>
      </c>
      <c r="C1" t="s">
        <v>11</v>
      </c>
      <c r="D1" t="s">
        <v>12</v>
      </c>
      <c r="E1" t="s">
        <v>13</v>
      </c>
      <c r="F1" t="s">
        <v>14</v>
      </c>
      <c r="G1" t="s">
        <v>15</v>
      </c>
    </row>
    <row r="2" spans="1:7" x14ac:dyDescent="0.3">
      <c r="A2">
        <v>1</v>
      </c>
      <c r="B2">
        <v>0.28789999999999999</v>
      </c>
      <c r="C2">
        <v>0.81</v>
      </c>
      <c r="D2">
        <v>0</v>
      </c>
      <c r="E2">
        <v>3</v>
      </c>
      <c r="F2">
        <v>13</v>
      </c>
      <c r="G2">
        <v>16</v>
      </c>
    </row>
    <row r="3" spans="1:7" x14ac:dyDescent="0.3">
      <c r="A3">
        <v>2</v>
      </c>
      <c r="B3">
        <v>0.2727</v>
      </c>
      <c r="C3">
        <v>0.8</v>
      </c>
      <c r="D3">
        <v>0</v>
      </c>
      <c r="E3">
        <v>8</v>
      </c>
      <c r="F3">
        <v>32</v>
      </c>
      <c r="G3">
        <v>40</v>
      </c>
    </row>
    <row r="4" spans="1:7" x14ac:dyDescent="0.3">
      <c r="A4">
        <v>3</v>
      </c>
      <c r="B4">
        <v>0.2727</v>
      </c>
      <c r="C4">
        <v>0.8</v>
      </c>
      <c r="D4">
        <v>0</v>
      </c>
      <c r="E4">
        <v>5</v>
      </c>
      <c r="F4">
        <v>27</v>
      </c>
      <c r="G4">
        <v>32</v>
      </c>
    </row>
    <row r="5" spans="1:7" x14ac:dyDescent="0.3">
      <c r="A5">
        <v>4</v>
      </c>
      <c r="B5">
        <v>0.28789999999999999</v>
      </c>
      <c r="C5">
        <v>0.75</v>
      </c>
      <c r="D5">
        <v>0</v>
      </c>
      <c r="E5">
        <v>3</v>
      </c>
      <c r="F5">
        <v>10</v>
      </c>
      <c r="G5">
        <v>13</v>
      </c>
    </row>
    <row r="6" spans="1:7" x14ac:dyDescent="0.3">
      <c r="A6">
        <v>5</v>
      </c>
      <c r="B6">
        <v>0.28789999999999999</v>
      </c>
      <c r="C6">
        <v>0.75</v>
      </c>
      <c r="D6">
        <v>0</v>
      </c>
      <c r="E6">
        <v>0</v>
      </c>
      <c r="F6">
        <v>1</v>
      </c>
      <c r="G6">
        <v>1</v>
      </c>
    </row>
    <row r="7" spans="1:7" x14ac:dyDescent="0.3">
      <c r="A7">
        <v>6</v>
      </c>
      <c r="B7">
        <v>0.2576</v>
      </c>
      <c r="C7">
        <v>0.75</v>
      </c>
      <c r="D7">
        <v>8.9599999999999999E-2</v>
      </c>
      <c r="E7">
        <v>0</v>
      </c>
      <c r="F7">
        <v>1</v>
      </c>
      <c r="G7">
        <v>1</v>
      </c>
    </row>
    <row r="8" spans="1:7" x14ac:dyDescent="0.3">
      <c r="A8">
        <v>7</v>
      </c>
      <c r="B8">
        <v>0.2727</v>
      </c>
      <c r="C8">
        <v>0.8</v>
      </c>
      <c r="D8">
        <v>0</v>
      </c>
      <c r="E8">
        <v>2</v>
      </c>
      <c r="F8">
        <v>0</v>
      </c>
      <c r="G8">
        <v>2</v>
      </c>
    </row>
    <row r="9" spans="1:7" x14ac:dyDescent="0.3">
      <c r="A9">
        <v>8</v>
      </c>
      <c r="B9">
        <v>0.2576</v>
      </c>
      <c r="C9">
        <v>0.86</v>
      </c>
      <c r="D9">
        <v>0</v>
      </c>
      <c r="E9">
        <v>1</v>
      </c>
      <c r="F9">
        <v>2</v>
      </c>
      <c r="G9">
        <v>3</v>
      </c>
    </row>
    <row r="10" spans="1:7" x14ac:dyDescent="0.3">
      <c r="A10">
        <v>9</v>
      </c>
      <c r="C10">
        <v>0.75</v>
      </c>
      <c r="D10">
        <v>0</v>
      </c>
      <c r="E10">
        <v>1</v>
      </c>
      <c r="F10">
        <v>7</v>
      </c>
      <c r="G10">
        <v>8</v>
      </c>
    </row>
    <row r="11" spans="1:7" x14ac:dyDescent="0.3">
      <c r="A11">
        <v>10</v>
      </c>
      <c r="B11">
        <v>0.34849999999999998</v>
      </c>
      <c r="C11">
        <v>0.76</v>
      </c>
      <c r="D11">
        <v>0</v>
      </c>
      <c r="E11">
        <v>8</v>
      </c>
      <c r="F11">
        <v>6</v>
      </c>
      <c r="G11">
        <v>14</v>
      </c>
    </row>
    <row r="12" spans="1:7" x14ac:dyDescent="0.3">
      <c r="A12">
        <v>11</v>
      </c>
      <c r="B12">
        <v>0.39389999999999997</v>
      </c>
      <c r="C12">
        <v>0.76</v>
      </c>
      <c r="D12">
        <v>0.25369999999999998</v>
      </c>
      <c r="E12">
        <v>12</v>
      </c>
      <c r="F12">
        <v>24</v>
      </c>
      <c r="G12">
        <v>36</v>
      </c>
    </row>
    <row r="13" spans="1:7" x14ac:dyDescent="0.3">
      <c r="A13">
        <v>12</v>
      </c>
      <c r="B13">
        <v>0.33329999999999999</v>
      </c>
      <c r="C13">
        <v>0.81</v>
      </c>
      <c r="D13">
        <v>0.28360000000000002</v>
      </c>
      <c r="E13">
        <v>26</v>
      </c>
      <c r="F13">
        <v>30</v>
      </c>
      <c r="G13">
        <v>56</v>
      </c>
    </row>
    <row r="14" spans="1:7" x14ac:dyDescent="0.3">
      <c r="A14">
        <v>13</v>
      </c>
      <c r="B14">
        <v>0.42420000000000002</v>
      </c>
      <c r="C14">
        <v>0.77</v>
      </c>
      <c r="D14">
        <v>0.28360000000000002</v>
      </c>
      <c r="E14">
        <v>29</v>
      </c>
      <c r="F14">
        <v>55</v>
      </c>
      <c r="G14">
        <v>84</v>
      </c>
    </row>
    <row r="15" spans="1:7" x14ac:dyDescent="0.3">
      <c r="A15">
        <v>14</v>
      </c>
      <c r="B15">
        <v>0.45450000000000002</v>
      </c>
      <c r="C15">
        <v>0.72</v>
      </c>
      <c r="D15">
        <v>0.29849999999999999</v>
      </c>
      <c r="E15">
        <v>47</v>
      </c>
      <c r="F15">
        <v>47</v>
      </c>
      <c r="G15">
        <v>94</v>
      </c>
    </row>
    <row r="16" spans="1:7" x14ac:dyDescent="0.3">
      <c r="A16">
        <v>15</v>
      </c>
      <c r="B16">
        <v>0.45450000000000002</v>
      </c>
      <c r="C16">
        <v>0.72</v>
      </c>
      <c r="D16">
        <v>0.28360000000000002</v>
      </c>
      <c r="E16">
        <v>35</v>
      </c>
      <c r="F16">
        <v>71</v>
      </c>
      <c r="G16">
        <v>106</v>
      </c>
    </row>
    <row r="17" spans="1:7" x14ac:dyDescent="0.3">
      <c r="A17">
        <v>16</v>
      </c>
      <c r="B17">
        <v>0.43940000000000001</v>
      </c>
      <c r="C17">
        <v>0.77</v>
      </c>
      <c r="D17">
        <v>0.29849999999999999</v>
      </c>
      <c r="E17">
        <v>40</v>
      </c>
      <c r="F17">
        <v>70</v>
      </c>
      <c r="G17">
        <v>110</v>
      </c>
    </row>
    <row r="18" spans="1:7" x14ac:dyDescent="0.3">
      <c r="A18">
        <v>17</v>
      </c>
      <c r="B18">
        <v>0.42420000000000002</v>
      </c>
      <c r="C18">
        <v>0.82</v>
      </c>
      <c r="D18">
        <v>0.29849999999999999</v>
      </c>
      <c r="E18">
        <v>41</v>
      </c>
      <c r="F18">
        <v>52</v>
      </c>
      <c r="G18">
        <v>93</v>
      </c>
    </row>
    <row r="19" spans="1:7" x14ac:dyDescent="0.3">
      <c r="A19">
        <v>18</v>
      </c>
      <c r="C19">
        <v>0.82</v>
      </c>
      <c r="D19">
        <v>0.28360000000000002</v>
      </c>
      <c r="E19">
        <v>15</v>
      </c>
      <c r="F19">
        <v>52</v>
      </c>
      <c r="G19">
        <v>67</v>
      </c>
    </row>
    <row r="20" spans="1:7" x14ac:dyDescent="0.3">
      <c r="A20">
        <v>19</v>
      </c>
      <c r="B20">
        <v>0.42420000000000002</v>
      </c>
      <c r="C20">
        <v>0.88</v>
      </c>
      <c r="D20">
        <v>0.25369999999999998</v>
      </c>
      <c r="E20">
        <v>9</v>
      </c>
      <c r="F20">
        <v>26</v>
      </c>
      <c r="G20">
        <v>35</v>
      </c>
    </row>
    <row r="21" spans="1:7" x14ac:dyDescent="0.3">
      <c r="A21">
        <v>20</v>
      </c>
      <c r="B21">
        <v>0.42420000000000002</v>
      </c>
      <c r="C21">
        <v>0.88</v>
      </c>
      <c r="D21">
        <v>0.25369999999999998</v>
      </c>
      <c r="E21">
        <v>6</v>
      </c>
      <c r="F21">
        <v>31</v>
      </c>
      <c r="G21">
        <v>37</v>
      </c>
    </row>
    <row r="22" spans="1:7" x14ac:dyDescent="0.3">
      <c r="A22">
        <v>21</v>
      </c>
      <c r="B22">
        <v>0.40910000000000002</v>
      </c>
      <c r="C22">
        <v>0.87</v>
      </c>
      <c r="D22">
        <v>0.25369999999999998</v>
      </c>
      <c r="E22">
        <v>11</v>
      </c>
      <c r="F22">
        <v>25</v>
      </c>
      <c r="G22">
        <v>36</v>
      </c>
    </row>
    <row r="23" spans="1:7" x14ac:dyDescent="0.3">
      <c r="A23">
        <v>22</v>
      </c>
      <c r="B23">
        <v>0.40910000000000002</v>
      </c>
      <c r="C23">
        <v>0.87</v>
      </c>
      <c r="D23">
        <v>0.19400000000000001</v>
      </c>
      <c r="E23">
        <v>3</v>
      </c>
      <c r="F23">
        <v>31</v>
      </c>
      <c r="G23">
        <v>34</v>
      </c>
    </row>
    <row r="24" spans="1:7" x14ac:dyDescent="0.3">
      <c r="A24">
        <v>23</v>
      </c>
      <c r="B24">
        <v>0.40910000000000002</v>
      </c>
      <c r="C24">
        <v>0.94</v>
      </c>
      <c r="D24">
        <v>0.22389999999999999</v>
      </c>
      <c r="E24">
        <v>11</v>
      </c>
      <c r="F24">
        <v>17</v>
      </c>
      <c r="G24">
        <v>28</v>
      </c>
    </row>
    <row r="25" spans="1:7" x14ac:dyDescent="0.3">
      <c r="A25">
        <v>24</v>
      </c>
      <c r="C25">
        <v>0.88</v>
      </c>
      <c r="D25">
        <v>0.29849999999999999</v>
      </c>
      <c r="E25">
        <v>15</v>
      </c>
      <c r="F25">
        <v>24</v>
      </c>
      <c r="G25">
        <v>39</v>
      </c>
    </row>
    <row r="26" spans="1:7" x14ac:dyDescent="0.3">
      <c r="A26">
        <v>25</v>
      </c>
      <c r="B26">
        <v>0.45450000000000002</v>
      </c>
      <c r="C26">
        <v>0.88</v>
      </c>
      <c r="D26">
        <v>0.29849999999999999</v>
      </c>
      <c r="E26">
        <v>4</v>
      </c>
      <c r="F26">
        <v>13</v>
      </c>
      <c r="G26">
        <v>17</v>
      </c>
    </row>
    <row r="27" spans="1:7" x14ac:dyDescent="0.3">
      <c r="A27">
        <v>26</v>
      </c>
      <c r="B27">
        <v>0.43940000000000001</v>
      </c>
      <c r="C27">
        <v>0.94</v>
      </c>
      <c r="D27">
        <v>0.25369999999999998</v>
      </c>
      <c r="E27">
        <v>1</v>
      </c>
      <c r="F27">
        <v>16</v>
      </c>
      <c r="G27">
        <v>17</v>
      </c>
    </row>
    <row r="28" spans="1:7" x14ac:dyDescent="0.3">
      <c r="A28">
        <v>27</v>
      </c>
      <c r="B28">
        <v>0.42420000000000002</v>
      </c>
      <c r="C28">
        <v>1</v>
      </c>
      <c r="D28">
        <v>0.28360000000000002</v>
      </c>
      <c r="E28">
        <v>1</v>
      </c>
      <c r="F28">
        <v>8</v>
      </c>
      <c r="G28">
        <v>9</v>
      </c>
    </row>
    <row r="29" spans="1:7" x14ac:dyDescent="0.3">
      <c r="A29">
        <v>28</v>
      </c>
      <c r="B29">
        <v>0.45450000000000002</v>
      </c>
      <c r="C29">
        <v>0.94</v>
      </c>
      <c r="D29">
        <v>0.19400000000000001</v>
      </c>
      <c r="E29">
        <v>2</v>
      </c>
      <c r="F29">
        <v>4</v>
      </c>
      <c r="G29">
        <v>6</v>
      </c>
    </row>
    <row r="30" spans="1:7" x14ac:dyDescent="0.3">
      <c r="A30">
        <v>29</v>
      </c>
      <c r="C30">
        <v>0.94</v>
      </c>
      <c r="D30">
        <v>0.19400000000000001</v>
      </c>
      <c r="E30">
        <v>2</v>
      </c>
      <c r="F30">
        <v>1</v>
      </c>
      <c r="G30">
        <v>3</v>
      </c>
    </row>
    <row r="31" spans="1:7" x14ac:dyDescent="0.3">
      <c r="A31">
        <v>30</v>
      </c>
      <c r="B31">
        <v>0.42420000000000002</v>
      </c>
      <c r="C31">
        <v>0.77</v>
      </c>
      <c r="D31">
        <v>0.29849999999999999</v>
      </c>
      <c r="E31">
        <v>0</v>
      </c>
      <c r="F31">
        <v>2</v>
      </c>
      <c r="G31">
        <v>2</v>
      </c>
    </row>
    <row r="32" spans="1:7" x14ac:dyDescent="0.3">
      <c r="A32">
        <v>31</v>
      </c>
      <c r="B32">
        <v>0.40910000000000002</v>
      </c>
      <c r="C32">
        <v>0.76</v>
      </c>
      <c r="D32">
        <v>0.19400000000000001</v>
      </c>
      <c r="E32">
        <v>0</v>
      </c>
      <c r="F32">
        <v>1</v>
      </c>
      <c r="G32">
        <v>1</v>
      </c>
    </row>
    <row r="33" spans="1:7" x14ac:dyDescent="0.3">
      <c r="A33">
        <v>32</v>
      </c>
      <c r="B33">
        <v>0.40910000000000002</v>
      </c>
      <c r="C33">
        <v>0.71</v>
      </c>
      <c r="D33">
        <v>0.22389999999999999</v>
      </c>
      <c r="E33">
        <v>0</v>
      </c>
      <c r="F33">
        <v>8</v>
      </c>
      <c r="G33">
        <v>8</v>
      </c>
    </row>
    <row r="34" spans="1:7" x14ac:dyDescent="0.3">
      <c r="A34">
        <v>33</v>
      </c>
      <c r="C34">
        <v>0.76</v>
      </c>
      <c r="D34">
        <v>0.22389999999999999</v>
      </c>
      <c r="E34">
        <v>1</v>
      </c>
      <c r="F34">
        <v>19</v>
      </c>
      <c r="G34">
        <v>20</v>
      </c>
    </row>
    <row r="35" spans="1:7" x14ac:dyDescent="0.3">
      <c r="A35">
        <v>34</v>
      </c>
      <c r="B35">
        <v>0.34849999999999998</v>
      </c>
      <c r="C35">
        <v>0.81</v>
      </c>
      <c r="D35">
        <v>0.22389999999999999</v>
      </c>
      <c r="E35">
        <v>7</v>
      </c>
      <c r="F35">
        <v>46</v>
      </c>
      <c r="G35">
        <v>53</v>
      </c>
    </row>
    <row r="36" spans="1:7" x14ac:dyDescent="0.3">
      <c r="A36">
        <v>35</v>
      </c>
      <c r="B36">
        <v>0.33329999999999999</v>
      </c>
      <c r="C36">
        <v>0.71</v>
      </c>
      <c r="D36">
        <v>0.25369999999999998</v>
      </c>
      <c r="E36">
        <v>16</v>
      </c>
      <c r="F36">
        <v>54</v>
      </c>
      <c r="G36">
        <v>70</v>
      </c>
    </row>
    <row r="37" spans="1:7" x14ac:dyDescent="0.3">
      <c r="A37">
        <v>36</v>
      </c>
      <c r="B37">
        <v>0.33329999999999999</v>
      </c>
      <c r="C37">
        <v>0.66</v>
      </c>
      <c r="D37">
        <v>0.29849999999999999</v>
      </c>
      <c r="E37">
        <v>20</v>
      </c>
      <c r="F37">
        <v>73</v>
      </c>
      <c r="G37">
        <v>93</v>
      </c>
    </row>
    <row r="38" spans="1:7" x14ac:dyDescent="0.3">
      <c r="A38">
        <v>37</v>
      </c>
      <c r="B38">
        <v>0.34849999999999998</v>
      </c>
      <c r="C38">
        <v>0.66</v>
      </c>
      <c r="D38">
        <v>0.1343</v>
      </c>
      <c r="E38">
        <v>11</v>
      </c>
      <c r="F38">
        <v>64</v>
      </c>
      <c r="G38">
        <v>75</v>
      </c>
    </row>
    <row r="39" spans="1:7" x14ac:dyDescent="0.3">
      <c r="A39">
        <v>38</v>
      </c>
      <c r="C39">
        <v>0.76</v>
      </c>
      <c r="D39">
        <v>0.19400000000000001</v>
      </c>
      <c r="E39">
        <v>4</v>
      </c>
      <c r="F39">
        <v>55</v>
      </c>
      <c r="G39">
        <v>59</v>
      </c>
    </row>
    <row r="40" spans="1:7" x14ac:dyDescent="0.3">
      <c r="A40">
        <v>39</v>
      </c>
      <c r="B40">
        <v>0.33329999999999999</v>
      </c>
      <c r="C40">
        <v>0.81</v>
      </c>
      <c r="D40">
        <v>0.16420000000000001</v>
      </c>
      <c r="E40">
        <v>19</v>
      </c>
      <c r="F40">
        <v>55</v>
      </c>
      <c r="G40">
        <v>74</v>
      </c>
    </row>
    <row r="41" spans="1:7" x14ac:dyDescent="0.3">
      <c r="A41">
        <v>40</v>
      </c>
      <c r="B41">
        <v>0.33329999999999999</v>
      </c>
      <c r="C41">
        <v>0.71</v>
      </c>
      <c r="D41">
        <v>0.16420000000000001</v>
      </c>
      <c r="E41">
        <v>9</v>
      </c>
      <c r="F41">
        <v>67</v>
      </c>
      <c r="G41">
        <v>76</v>
      </c>
    </row>
    <row r="42" spans="1:7" x14ac:dyDescent="0.3">
      <c r="A42">
        <v>41</v>
      </c>
      <c r="B42">
        <v>0.33329999999999999</v>
      </c>
      <c r="C42">
        <v>0.56999999999999995</v>
      </c>
      <c r="D42">
        <v>0.19400000000000001</v>
      </c>
      <c r="E42">
        <v>7</v>
      </c>
      <c r="F42">
        <v>58</v>
      </c>
      <c r="G42">
        <v>65</v>
      </c>
    </row>
    <row r="43" spans="1:7" x14ac:dyDescent="0.3">
      <c r="A43">
        <v>42</v>
      </c>
      <c r="B43">
        <v>0.33329999999999999</v>
      </c>
      <c r="C43">
        <v>0.46</v>
      </c>
      <c r="D43">
        <v>0.32840000000000003</v>
      </c>
      <c r="E43">
        <v>10</v>
      </c>
      <c r="F43">
        <v>43</v>
      </c>
      <c r="G43">
        <v>53</v>
      </c>
    </row>
    <row r="44" spans="1:7" x14ac:dyDescent="0.3">
      <c r="A44">
        <v>43</v>
      </c>
      <c r="B44">
        <v>0.28789999999999999</v>
      </c>
      <c r="C44">
        <v>0.42</v>
      </c>
      <c r="D44">
        <v>0.44779999999999998</v>
      </c>
      <c r="E44">
        <v>1</v>
      </c>
      <c r="F44">
        <v>29</v>
      </c>
      <c r="G44">
        <v>30</v>
      </c>
    </row>
    <row r="45" spans="1:7" x14ac:dyDescent="0.3">
      <c r="A45">
        <v>44</v>
      </c>
      <c r="C45">
        <v>0.39</v>
      </c>
      <c r="D45">
        <v>0.35820000000000002</v>
      </c>
      <c r="E45">
        <v>5</v>
      </c>
      <c r="F45">
        <v>17</v>
      </c>
      <c r="G45">
        <v>22</v>
      </c>
    </row>
    <row r="46" spans="1:7" x14ac:dyDescent="0.3">
      <c r="A46">
        <v>45</v>
      </c>
      <c r="B46">
        <v>0.2273</v>
      </c>
      <c r="C46">
        <v>0.44</v>
      </c>
      <c r="D46">
        <v>0.32840000000000003</v>
      </c>
      <c r="E46">
        <v>11</v>
      </c>
      <c r="F46">
        <v>20</v>
      </c>
      <c r="G46">
        <v>31</v>
      </c>
    </row>
    <row r="47" spans="1:7" x14ac:dyDescent="0.3">
      <c r="A47">
        <v>46</v>
      </c>
      <c r="B47">
        <v>0.21210000000000001</v>
      </c>
      <c r="C47">
        <v>0.44</v>
      </c>
      <c r="D47">
        <v>0.29849999999999999</v>
      </c>
      <c r="E47">
        <v>0</v>
      </c>
      <c r="F47">
        <v>9</v>
      </c>
      <c r="G47">
        <v>9</v>
      </c>
    </row>
    <row r="48" spans="1:7" x14ac:dyDescent="0.3">
      <c r="A48">
        <v>47</v>
      </c>
      <c r="B48">
        <v>0.2273</v>
      </c>
      <c r="C48">
        <v>0.47</v>
      </c>
      <c r="D48">
        <v>0.16420000000000001</v>
      </c>
      <c r="E48">
        <v>0</v>
      </c>
      <c r="F48">
        <v>8</v>
      </c>
      <c r="G48">
        <v>8</v>
      </c>
    </row>
    <row r="49" spans="1:7" x14ac:dyDescent="0.3">
      <c r="A49">
        <v>48</v>
      </c>
      <c r="B49">
        <v>0.19700000000000001</v>
      </c>
      <c r="C49">
        <v>0.44</v>
      </c>
      <c r="D49">
        <v>0.35820000000000002</v>
      </c>
      <c r="E49">
        <v>0</v>
      </c>
      <c r="F49">
        <v>5</v>
      </c>
      <c r="G49">
        <v>5</v>
      </c>
    </row>
    <row r="50" spans="1:7" x14ac:dyDescent="0.3">
      <c r="A50">
        <v>49</v>
      </c>
      <c r="C50">
        <v>0.44</v>
      </c>
      <c r="D50">
        <v>0.41789999999999999</v>
      </c>
      <c r="E50">
        <v>0</v>
      </c>
      <c r="F50">
        <v>2</v>
      </c>
      <c r="G50">
        <v>2</v>
      </c>
    </row>
    <row r="51" spans="1:7" x14ac:dyDescent="0.3">
      <c r="A51">
        <v>50</v>
      </c>
      <c r="B51">
        <v>0.13639999999999999</v>
      </c>
      <c r="C51">
        <v>0.47</v>
      </c>
      <c r="D51">
        <v>0.3881</v>
      </c>
      <c r="E51">
        <v>0</v>
      </c>
      <c r="F51">
        <v>1</v>
      </c>
      <c r="G51">
        <v>1</v>
      </c>
    </row>
    <row r="52" spans="1:7" x14ac:dyDescent="0.3">
      <c r="A52">
        <v>51</v>
      </c>
      <c r="B52">
        <v>0.13639999999999999</v>
      </c>
      <c r="C52">
        <v>0.47</v>
      </c>
      <c r="D52">
        <v>0.28360000000000002</v>
      </c>
      <c r="E52">
        <v>0</v>
      </c>
      <c r="F52">
        <v>3</v>
      </c>
      <c r="G52">
        <v>3</v>
      </c>
    </row>
    <row r="53" spans="1:7" x14ac:dyDescent="0.3">
      <c r="A53">
        <v>52</v>
      </c>
      <c r="B53">
        <v>0.1061</v>
      </c>
      <c r="C53">
        <v>0.5</v>
      </c>
      <c r="D53">
        <v>0.3881</v>
      </c>
      <c r="E53">
        <v>0</v>
      </c>
      <c r="F53">
        <v>30</v>
      </c>
      <c r="G53">
        <v>30</v>
      </c>
    </row>
    <row r="54" spans="1:7" x14ac:dyDescent="0.3">
      <c r="A54">
        <v>53</v>
      </c>
      <c r="B54">
        <v>0.13639999999999999</v>
      </c>
      <c r="C54">
        <v>0.5</v>
      </c>
      <c r="D54">
        <v>0.19400000000000001</v>
      </c>
      <c r="E54">
        <v>1</v>
      </c>
      <c r="F54">
        <v>63</v>
      </c>
      <c r="G54">
        <v>64</v>
      </c>
    </row>
    <row r="55" spans="1:7" x14ac:dyDescent="0.3">
      <c r="A55">
        <v>54</v>
      </c>
      <c r="B55">
        <v>0.1212</v>
      </c>
      <c r="C55">
        <v>0.5</v>
      </c>
      <c r="D55">
        <v>0.28360000000000002</v>
      </c>
      <c r="E55">
        <v>1</v>
      </c>
      <c r="F55">
        <v>153</v>
      </c>
      <c r="G55">
        <v>154</v>
      </c>
    </row>
    <row r="56" spans="1:7" x14ac:dyDescent="0.3">
      <c r="A56">
        <v>55</v>
      </c>
      <c r="B56">
        <v>0.13639999999999999</v>
      </c>
      <c r="C56">
        <v>0.43</v>
      </c>
      <c r="D56">
        <v>0.3881</v>
      </c>
      <c r="E56">
        <v>7</v>
      </c>
      <c r="F56">
        <v>81</v>
      </c>
      <c r="G56">
        <v>88</v>
      </c>
    </row>
    <row r="57" spans="1:7" x14ac:dyDescent="0.3">
      <c r="A57">
        <v>56</v>
      </c>
      <c r="B57">
        <v>0.16669999999999999</v>
      </c>
      <c r="C57">
        <v>0.43</v>
      </c>
      <c r="D57">
        <v>0.25369999999999998</v>
      </c>
      <c r="E57">
        <v>11</v>
      </c>
      <c r="F57">
        <v>33</v>
      </c>
      <c r="G57">
        <v>44</v>
      </c>
    </row>
    <row r="58" spans="1:7" x14ac:dyDescent="0.3">
      <c r="A58">
        <v>57</v>
      </c>
      <c r="B58">
        <v>0.18179999999999999</v>
      </c>
      <c r="C58">
        <v>0.4</v>
      </c>
      <c r="D58">
        <v>0.32840000000000003</v>
      </c>
      <c r="E58">
        <v>10</v>
      </c>
      <c r="F58">
        <v>41</v>
      </c>
      <c r="G58">
        <v>51</v>
      </c>
    </row>
    <row r="59" spans="1:7" x14ac:dyDescent="0.3">
      <c r="A59">
        <v>58</v>
      </c>
      <c r="B59">
        <v>0.21210000000000001</v>
      </c>
      <c r="C59">
        <v>0.35</v>
      </c>
      <c r="D59">
        <v>0.29849999999999999</v>
      </c>
      <c r="E59">
        <v>13</v>
      </c>
      <c r="F59">
        <v>48</v>
      </c>
      <c r="G59">
        <v>61</v>
      </c>
    </row>
    <row r="60" spans="1:7" x14ac:dyDescent="0.3">
      <c r="A60">
        <v>59</v>
      </c>
      <c r="C60">
        <v>0.35</v>
      </c>
      <c r="D60">
        <v>0.28360000000000002</v>
      </c>
      <c r="E60">
        <v>8</v>
      </c>
      <c r="F60">
        <v>53</v>
      </c>
      <c r="G60">
        <v>61</v>
      </c>
    </row>
    <row r="61" spans="1:7" x14ac:dyDescent="0.3">
      <c r="A61">
        <v>60</v>
      </c>
      <c r="B61">
        <v>0.2424</v>
      </c>
      <c r="C61">
        <v>0.3</v>
      </c>
      <c r="D61">
        <v>0.28360000000000002</v>
      </c>
      <c r="E61">
        <v>11</v>
      </c>
      <c r="F61">
        <v>66</v>
      </c>
      <c r="G61">
        <v>77</v>
      </c>
    </row>
    <row r="62" spans="1:7" x14ac:dyDescent="0.3">
      <c r="A62">
        <v>61</v>
      </c>
      <c r="B62">
        <v>0.2424</v>
      </c>
      <c r="C62">
        <v>0.3</v>
      </c>
      <c r="D62">
        <v>0.25369999999999998</v>
      </c>
      <c r="E62">
        <v>14</v>
      </c>
      <c r="F62">
        <v>58</v>
      </c>
      <c r="G62">
        <v>72</v>
      </c>
    </row>
    <row r="63" spans="1:7" x14ac:dyDescent="0.3">
      <c r="A63">
        <v>62</v>
      </c>
      <c r="B63">
        <v>0.2424</v>
      </c>
      <c r="C63">
        <v>0.3</v>
      </c>
      <c r="D63">
        <v>0.25369999999999998</v>
      </c>
      <c r="E63">
        <v>9</v>
      </c>
      <c r="F63">
        <v>67</v>
      </c>
      <c r="G63">
        <v>76</v>
      </c>
    </row>
    <row r="64" spans="1:7" x14ac:dyDescent="0.3">
      <c r="A64">
        <v>63</v>
      </c>
      <c r="B64">
        <v>0.2273</v>
      </c>
      <c r="C64">
        <v>0.3</v>
      </c>
      <c r="D64">
        <v>0.22389999999999999</v>
      </c>
      <c r="E64">
        <v>11</v>
      </c>
      <c r="F64">
        <v>146</v>
      </c>
      <c r="G64">
        <v>157</v>
      </c>
    </row>
    <row r="65" spans="1:7" x14ac:dyDescent="0.3">
      <c r="A65">
        <v>64</v>
      </c>
      <c r="B65">
        <v>0.2576</v>
      </c>
      <c r="C65">
        <v>0.32</v>
      </c>
      <c r="D65">
        <v>0.1045</v>
      </c>
      <c r="E65">
        <v>9</v>
      </c>
      <c r="F65">
        <v>148</v>
      </c>
      <c r="G65">
        <v>157</v>
      </c>
    </row>
    <row r="66" spans="1:7" x14ac:dyDescent="0.3">
      <c r="A66">
        <v>65</v>
      </c>
      <c r="B66">
        <v>0.2576</v>
      </c>
      <c r="C66">
        <v>0.47</v>
      </c>
      <c r="D66">
        <v>0</v>
      </c>
      <c r="E66">
        <v>8</v>
      </c>
      <c r="F66">
        <v>102</v>
      </c>
      <c r="G66">
        <v>110</v>
      </c>
    </row>
    <row r="67" spans="1:7" x14ac:dyDescent="0.3">
      <c r="A67">
        <v>66</v>
      </c>
      <c r="C67">
        <v>0.47</v>
      </c>
      <c r="D67">
        <v>0.1045</v>
      </c>
      <c r="E67">
        <v>3</v>
      </c>
      <c r="F67">
        <v>49</v>
      </c>
      <c r="G67">
        <v>52</v>
      </c>
    </row>
    <row r="68" spans="1:7" x14ac:dyDescent="0.3">
      <c r="A68">
        <v>67</v>
      </c>
      <c r="B68">
        <v>0.19700000000000001</v>
      </c>
      <c r="C68">
        <v>0.64</v>
      </c>
      <c r="D68">
        <v>0.1343</v>
      </c>
      <c r="E68">
        <v>3</v>
      </c>
      <c r="F68">
        <v>49</v>
      </c>
      <c r="G68">
        <v>52</v>
      </c>
    </row>
    <row r="69" spans="1:7" x14ac:dyDescent="0.3">
      <c r="A69">
        <v>68</v>
      </c>
      <c r="B69">
        <v>0.1515</v>
      </c>
      <c r="C69">
        <v>0.69</v>
      </c>
      <c r="D69">
        <v>0.1343</v>
      </c>
      <c r="E69">
        <v>0</v>
      </c>
      <c r="F69">
        <v>20</v>
      </c>
      <c r="G69">
        <v>20</v>
      </c>
    </row>
    <row r="70" spans="1:7" x14ac:dyDescent="0.3">
      <c r="A70">
        <v>69</v>
      </c>
      <c r="B70">
        <v>0.21210000000000001</v>
      </c>
      <c r="C70">
        <v>0.55000000000000004</v>
      </c>
      <c r="D70">
        <v>0.1045</v>
      </c>
      <c r="E70">
        <v>1</v>
      </c>
      <c r="F70">
        <v>11</v>
      </c>
      <c r="G70">
        <v>12</v>
      </c>
    </row>
    <row r="71" spans="1:7" x14ac:dyDescent="0.3">
      <c r="A71">
        <v>70</v>
      </c>
      <c r="C71">
        <v>0.55000000000000004</v>
      </c>
      <c r="D71">
        <v>0.1045</v>
      </c>
      <c r="E71">
        <v>0</v>
      </c>
      <c r="F71">
        <v>5</v>
      </c>
      <c r="G71">
        <v>5</v>
      </c>
    </row>
    <row r="72" spans="1:7" x14ac:dyDescent="0.3">
      <c r="A72">
        <v>71</v>
      </c>
      <c r="B72">
        <v>0.18179999999999999</v>
      </c>
      <c r="C72">
        <v>0.59</v>
      </c>
      <c r="D72">
        <v>0.1045</v>
      </c>
      <c r="E72">
        <v>0</v>
      </c>
      <c r="F72">
        <v>2</v>
      </c>
      <c r="G72">
        <v>2</v>
      </c>
    </row>
    <row r="73" spans="1:7" x14ac:dyDescent="0.3">
      <c r="A73">
        <v>72</v>
      </c>
      <c r="B73">
        <v>0.1515</v>
      </c>
      <c r="C73">
        <v>0.63</v>
      </c>
      <c r="D73">
        <v>0.1343</v>
      </c>
      <c r="E73">
        <v>0</v>
      </c>
      <c r="F73">
        <v>1</v>
      </c>
      <c r="G73">
        <v>1</v>
      </c>
    </row>
    <row r="74" spans="1:7" x14ac:dyDescent="0.3">
      <c r="A74">
        <v>73</v>
      </c>
      <c r="B74">
        <v>0.18179999999999999</v>
      </c>
      <c r="C74">
        <v>0.63</v>
      </c>
      <c r="D74">
        <v>8.9599999999999999E-2</v>
      </c>
      <c r="E74">
        <v>0</v>
      </c>
      <c r="F74">
        <v>2</v>
      </c>
      <c r="G74">
        <v>2</v>
      </c>
    </row>
    <row r="75" spans="1:7" x14ac:dyDescent="0.3">
      <c r="A75">
        <v>74</v>
      </c>
      <c r="B75">
        <v>0.1515</v>
      </c>
      <c r="C75">
        <v>0.68</v>
      </c>
      <c r="D75">
        <v>0.1045</v>
      </c>
      <c r="E75">
        <v>0</v>
      </c>
      <c r="F75">
        <v>4</v>
      </c>
      <c r="G75">
        <v>4</v>
      </c>
    </row>
    <row r="76" spans="1:7" x14ac:dyDescent="0.3">
      <c r="A76">
        <v>75</v>
      </c>
      <c r="B76">
        <v>0.1515</v>
      </c>
      <c r="C76">
        <v>0.74</v>
      </c>
      <c r="D76">
        <v>0.1045</v>
      </c>
      <c r="E76">
        <v>0</v>
      </c>
      <c r="F76">
        <v>36</v>
      </c>
      <c r="G76">
        <v>36</v>
      </c>
    </row>
    <row r="77" spans="1:7" x14ac:dyDescent="0.3">
      <c r="A77">
        <v>76</v>
      </c>
      <c r="B77">
        <v>0.1515</v>
      </c>
      <c r="C77">
        <v>0.74</v>
      </c>
      <c r="D77">
        <v>0.1343</v>
      </c>
      <c r="E77">
        <v>2</v>
      </c>
      <c r="F77">
        <v>92</v>
      </c>
      <c r="G77">
        <v>94</v>
      </c>
    </row>
    <row r="78" spans="1:7" x14ac:dyDescent="0.3">
      <c r="A78">
        <v>77</v>
      </c>
      <c r="B78">
        <v>0.1515</v>
      </c>
      <c r="C78">
        <v>0.69</v>
      </c>
      <c r="D78">
        <v>0.16420000000000001</v>
      </c>
      <c r="E78">
        <v>2</v>
      </c>
      <c r="F78">
        <v>177</v>
      </c>
      <c r="G78">
        <v>179</v>
      </c>
    </row>
    <row r="79" spans="1:7" x14ac:dyDescent="0.3">
      <c r="A79">
        <v>78</v>
      </c>
      <c r="B79">
        <v>0.1515</v>
      </c>
      <c r="C79">
        <v>0.64</v>
      </c>
      <c r="D79">
        <v>0.22389999999999999</v>
      </c>
      <c r="E79">
        <v>2</v>
      </c>
      <c r="F79">
        <v>98</v>
      </c>
      <c r="G79">
        <v>100</v>
      </c>
    </row>
    <row r="80" spans="1:7" x14ac:dyDescent="0.3">
      <c r="A80">
        <v>79</v>
      </c>
      <c r="B80">
        <v>0.13639999999999999</v>
      </c>
      <c r="C80">
        <v>0.69</v>
      </c>
      <c r="D80">
        <v>0.32840000000000003</v>
      </c>
      <c r="E80">
        <v>5</v>
      </c>
      <c r="F80">
        <v>37</v>
      </c>
      <c r="G80">
        <v>42</v>
      </c>
    </row>
    <row r="81" spans="1:7" x14ac:dyDescent="0.3">
      <c r="A81">
        <v>80</v>
      </c>
      <c r="B81">
        <v>0.21210000000000001</v>
      </c>
      <c r="C81">
        <v>0.51</v>
      </c>
      <c r="D81">
        <v>0.29849999999999999</v>
      </c>
      <c r="E81">
        <v>7</v>
      </c>
      <c r="F81">
        <v>50</v>
      </c>
      <c r="G81">
        <v>57</v>
      </c>
    </row>
    <row r="82" spans="1:7" x14ac:dyDescent="0.3">
      <c r="A82">
        <v>81</v>
      </c>
      <c r="B82">
        <v>0.2273</v>
      </c>
      <c r="C82">
        <v>0.51</v>
      </c>
      <c r="D82">
        <v>0.16420000000000001</v>
      </c>
      <c r="E82">
        <v>12</v>
      </c>
      <c r="F82">
        <v>66</v>
      </c>
      <c r="G82">
        <v>78</v>
      </c>
    </row>
    <row r="83" spans="1:7" x14ac:dyDescent="0.3">
      <c r="A83">
        <v>82</v>
      </c>
      <c r="B83">
        <v>0.2273</v>
      </c>
      <c r="C83">
        <v>0.56000000000000005</v>
      </c>
      <c r="D83">
        <v>0.19400000000000001</v>
      </c>
      <c r="E83">
        <v>18</v>
      </c>
      <c r="F83">
        <v>79</v>
      </c>
      <c r="G83">
        <v>97</v>
      </c>
    </row>
    <row r="84" spans="1:7" x14ac:dyDescent="0.3">
      <c r="A84">
        <v>83</v>
      </c>
      <c r="B84">
        <v>0.2576</v>
      </c>
      <c r="C84">
        <v>0.52</v>
      </c>
      <c r="D84">
        <v>0.22389999999999999</v>
      </c>
      <c r="E84">
        <v>9</v>
      </c>
      <c r="F84">
        <v>54</v>
      </c>
      <c r="G84">
        <v>63</v>
      </c>
    </row>
    <row r="85" spans="1:7" x14ac:dyDescent="0.3">
      <c r="A85">
        <v>84</v>
      </c>
      <c r="B85">
        <v>0.2727</v>
      </c>
      <c r="C85">
        <v>0.52</v>
      </c>
      <c r="D85">
        <v>0.25369999999999998</v>
      </c>
      <c r="E85">
        <v>17</v>
      </c>
      <c r="F85">
        <v>48</v>
      </c>
      <c r="G85">
        <v>65</v>
      </c>
    </row>
    <row r="86" spans="1:7" x14ac:dyDescent="0.3">
      <c r="A86">
        <v>85</v>
      </c>
      <c r="B86">
        <v>0.28789999999999999</v>
      </c>
      <c r="C86">
        <v>0.49</v>
      </c>
      <c r="D86">
        <v>0.25369999999999998</v>
      </c>
      <c r="E86">
        <v>15</v>
      </c>
      <c r="F86">
        <v>68</v>
      </c>
      <c r="G86">
        <v>83</v>
      </c>
    </row>
    <row r="87" spans="1:7" x14ac:dyDescent="0.3">
      <c r="A87">
        <v>86</v>
      </c>
      <c r="B87">
        <v>0.2727</v>
      </c>
      <c r="C87">
        <v>0.48</v>
      </c>
      <c r="D87">
        <v>0.22389999999999999</v>
      </c>
      <c r="E87">
        <v>10</v>
      </c>
      <c r="F87">
        <v>202</v>
      </c>
      <c r="G87">
        <v>212</v>
      </c>
    </row>
    <row r="88" spans="1:7" x14ac:dyDescent="0.3">
      <c r="A88">
        <v>87</v>
      </c>
      <c r="B88">
        <v>0.2576</v>
      </c>
      <c r="C88">
        <v>0.48</v>
      </c>
      <c r="D88">
        <v>0.19400000000000001</v>
      </c>
      <c r="E88">
        <v>3</v>
      </c>
      <c r="F88">
        <v>179</v>
      </c>
      <c r="G88">
        <v>182</v>
      </c>
    </row>
    <row r="89" spans="1:7" x14ac:dyDescent="0.3">
      <c r="A89">
        <v>88</v>
      </c>
      <c r="B89">
        <v>0.2576</v>
      </c>
      <c r="C89">
        <v>0.48</v>
      </c>
      <c r="D89">
        <v>0.1045</v>
      </c>
      <c r="E89">
        <v>2</v>
      </c>
      <c r="F89">
        <v>110</v>
      </c>
      <c r="G89">
        <v>112</v>
      </c>
    </row>
    <row r="90" spans="1:7" x14ac:dyDescent="0.3">
      <c r="A90">
        <v>89</v>
      </c>
      <c r="B90">
        <v>0.2576</v>
      </c>
      <c r="C90">
        <v>0.48</v>
      </c>
      <c r="D90">
        <v>0.1045</v>
      </c>
      <c r="E90">
        <v>1</v>
      </c>
      <c r="F90">
        <v>53</v>
      </c>
      <c r="G90">
        <v>54</v>
      </c>
    </row>
    <row r="91" spans="1:7" x14ac:dyDescent="0.3">
      <c r="A91">
        <v>90</v>
      </c>
      <c r="B91">
        <v>0.2727</v>
      </c>
      <c r="C91">
        <v>0.64</v>
      </c>
      <c r="D91">
        <v>0</v>
      </c>
      <c r="E91">
        <v>0</v>
      </c>
      <c r="F91">
        <v>48</v>
      </c>
      <c r="G91">
        <v>48</v>
      </c>
    </row>
    <row r="92" spans="1:7" x14ac:dyDescent="0.3">
      <c r="A92">
        <v>91</v>
      </c>
      <c r="B92">
        <v>0.2576</v>
      </c>
      <c r="C92">
        <v>0.64</v>
      </c>
      <c r="D92">
        <v>8.9599999999999999E-2</v>
      </c>
      <c r="E92">
        <v>1</v>
      </c>
      <c r="F92">
        <v>34</v>
      </c>
      <c r="G92">
        <v>35</v>
      </c>
    </row>
    <row r="93" spans="1:7" x14ac:dyDescent="0.3">
      <c r="A93">
        <v>92</v>
      </c>
      <c r="B93">
        <v>0.2273</v>
      </c>
      <c r="C93">
        <v>0.69</v>
      </c>
      <c r="D93">
        <v>8.9599999999999999E-2</v>
      </c>
      <c r="E93">
        <v>2</v>
      </c>
      <c r="F93">
        <v>9</v>
      </c>
      <c r="G93">
        <v>11</v>
      </c>
    </row>
    <row r="94" spans="1:7" x14ac:dyDescent="0.3">
      <c r="A94">
        <v>93</v>
      </c>
      <c r="B94">
        <v>0.2576</v>
      </c>
      <c r="C94">
        <v>0.64</v>
      </c>
      <c r="D94">
        <v>0</v>
      </c>
      <c r="E94">
        <v>0</v>
      </c>
      <c r="F94">
        <v>6</v>
      </c>
      <c r="G94">
        <v>6</v>
      </c>
    </row>
    <row r="95" spans="1:7" x14ac:dyDescent="0.3">
      <c r="A95">
        <v>94</v>
      </c>
      <c r="B95">
        <v>0.19700000000000001</v>
      </c>
      <c r="C95">
        <v>0.74</v>
      </c>
      <c r="D95">
        <v>8.9599999999999999E-2</v>
      </c>
      <c r="E95">
        <v>0</v>
      </c>
      <c r="F95">
        <v>6</v>
      </c>
      <c r="G95">
        <v>6</v>
      </c>
    </row>
    <row r="96" spans="1:7" x14ac:dyDescent="0.3">
      <c r="A96">
        <v>95</v>
      </c>
      <c r="B96">
        <v>0.19700000000000001</v>
      </c>
      <c r="C96">
        <v>0.74</v>
      </c>
      <c r="D96">
        <v>8.9599999999999999E-2</v>
      </c>
      <c r="E96">
        <v>0</v>
      </c>
      <c r="F96">
        <v>2</v>
      </c>
      <c r="G96">
        <v>2</v>
      </c>
    </row>
    <row r="97" spans="1:7" x14ac:dyDescent="0.3">
      <c r="A97">
        <v>96</v>
      </c>
      <c r="B97">
        <v>0.2273</v>
      </c>
      <c r="C97">
        <v>0.48</v>
      </c>
      <c r="D97">
        <v>0.22389999999999999</v>
      </c>
      <c r="E97">
        <v>0</v>
      </c>
      <c r="F97">
        <v>2</v>
      </c>
      <c r="G97">
        <v>2</v>
      </c>
    </row>
    <row r="98" spans="1:7" x14ac:dyDescent="0.3">
      <c r="A98">
        <v>97</v>
      </c>
      <c r="B98">
        <v>0.2273</v>
      </c>
      <c r="C98">
        <v>0.47</v>
      </c>
      <c r="D98">
        <v>0.16420000000000001</v>
      </c>
      <c r="E98">
        <v>0</v>
      </c>
      <c r="F98">
        <v>3</v>
      </c>
      <c r="G98">
        <v>3</v>
      </c>
    </row>
    <row r="99" spans="1:7" x14ac:dyDescent="0.3">
      <c r="A99">
        <v>98</v>
      </c>
      <c r="B99">
        <v>0.19700000000000001</v>
      </c>
      <c r="C99">
        <v>0.47</v>
      </c>
      <c r="D99">
        <v>0.22389999999999999</v>
      </c>
      <c r="E99">
        <v>0</v>
      </c>
      <c r="F99">
        <v>33</v>
      </c>
      <c r="G99">
        <v>33</v>
      </c>
    </row>
    <row r="100" spans="1:7" x14ac:dyDescent="0.3">
      <c r="A100">
        <v>99</v>
      </c>
      <c r="B100">
        <v>0.18179999999999999</v>
      </c>
      <c r="C100">
        <v>0.43</v>
      </c>
      <c r="D100">
        <v>0.19400000000000001</v>
      </c>
      <c r="E100">
        <v>1</v>
      </c>
      <c r="F100">
        <v>87</v>
      </c>
      <c r="G100">
        <v>88</v>
      </c>
    </row>
    <row r="101" spans="1:7" x14ac:dyDescent="0.3">
      <c r="A101">
        <v>100</v>
      </c>
      <c r="B101">
        <v>0.18179999999999999</v>
      </c>
      <c r="C101">
        <v>0.4</v>
      </c>
      <c r="D101">
        <v>0.29849999999999999</v>
      </c>
      <c r="E101">
        <v>3</v>
      </c>
      <c r="F101">
        <v>192</v>
      </c>
      <c r="G101">
        <v>195</v>
      </c>
    </row>
    <row r="102" spans="1:7" x14ac:dyDescent="0.3">
      <c r="A102">
        <v>101</v>
      </c>
      <c r="B102">
        <v>0.19700000000000001</v>
      </c>
      <c r="C102">
        <v>0.37</v>
      </c>
      <c r="D102">
        <v>0.32840000000000003</v>
      </c>
      <c r="E102">
        <v>6</v>
      </c>
      <c r="F102">
        <v>109</v>
      </c>
      <c r="G102">
        <v>115</v>
      </c>
    </row>
    <row r="103" spans="1:7" x14ac:dyDescent="0.3">
      <c r="A103">
        <v>102</v>
      </c>
      <c r="B103">
        <v>0.19700000000000001</v>
      </c>
      <c r="C103">
        <v>0.37</v>
      </c>
      <c r="D103">
        <v>0.32840000000000003</v>
      </c>
      <c r="E103">
        <v>4</v>
      </c>
      <c r="F103">
        <v>53</v>
      </c>
      <c r="G103">
        <v>57</v>
      </c>
    </row>
    <row r="104" spans="1:7" x14ac:dyDescent="0.3">
      <c r="A104">
        <v>103</v>
      </c>
      <c r="B104">
        <v>0.2273</v>
      </c>
      <c r="C104">
        <v>0.33</v>
      </c>
      <c r="D104">
        <v>0.32840000000000003</v>
      </c>
      <c r="E104">
        <v>12</v>
      </c>
      <c r="F104">
        <v>34</v>
      </c>
      <c r="G104">
        <v>46</v>
      </c>
    </row>
    <row r="105" spans="1:7" x14ac:dyDescent="0.3">
      <c r="A105">
        <v>104</v>
      </c>
      <c r="B105">
        <v>0.2273</v>
      </c>
      <c r="C105">
        <v>0.33</v>
      </c>
      <c r="D105">
        <v>0.32840000000000003</v>
      </c>
      <c r="E105">
        <v>5</v>
      </c>
      <c r="F105">
        <v>74</v>
      </c>
      <c r="G105">
        <v>79</v>
      </c>
    </row>
    <row r="106" spans="1:7" x14ac:dyDescent="0.3">
      <c r="A106">
        <v>105</v>
      </c>
      <c r="B106">
        <v>0.2576</v>
      </c>
      <c r="C106">
        <v>0.3</v>
      </c>
      <c r="D106">
        <v>0.29849999999999999</v>
      </c>
      <c r="E106">
        <v>6</v>
      </c>
      <c r="F106">
        <v>65</v>
      </c>
      <c r="G106">
        <v>71</v>
      </c>
    </row>
    <row r="107" spans="1:7" x14ac:dyDescent="0.3">
      <c r="A107">
        <v>106</v>
      </c>
      <c r="B107">
        <v>0.28789999999999999</v>
      </c>
      <c r="C107">
        <v>0.28000000000000003</v>
      </c>
      <c r="D107">
        <v>0.19400000000000001</v>
      </c>
      <c r="E107">
        <v>10</v>
      </c>
      <c r="F107">
        <v>52</v>
      </c>
      <c r="G107">
        <v>62</v>
      </c>
    </row>
    <row r="108" spans="1:7" x14ac:dyDescent="0.3">
      <c r="A108">
        <v>107</v>
      </c>
      <c r="B108">
        <v>0.28789999999999999</v>
      </c>
      <c r="C108">
        <v>0.28000000000000003</v>
      </c>
      <c r="D108">
        <v>0.19400000000000001</v>
      </c>
      <c r="E108">
        <v>7</v>
      </c>
      <c r="F108">
        <v>55</v>
      </c>
      <c r="G108">
        <v>62</v>
      </c>
    </row>
    <row r="109" spans="1:7" x14ac:dyDescent="0.3">
      <c r="A109">
        <v>108</v>
      </c>
      <c r="B109">
        <v>0.31819999999999998</v>
      </c>
      <c r="C109">
        <v>0.28000000000000003</v>
      </c>
      <c r="D109">
        <v>8.9599999999999999E-2</v>
      </c>
      <c r="E109">
        <v>4</v>
      </c>
      <c r="F109">
        <v>85</v>
      </c>
      <c r="G109">
        <v>89</v>
      </c>
    </row>
    <row r="110" spans="1:7" x14ac:dyDescent="0.3">
      <c r="A110">
        <v>109</v>
      </c>
      <c r="B110">
        <v>0.2273</v>
      </c>
      <c r="C110">
        <v>0.38</v>
      </c>
      <c r="D110">
        <v>0.19400000000000001</v>
      </c>
      <c r="E110">
        <v>4</v>
      </c>
      <c r="F110">
        <v>186</v>
      </c>
      <c r="G110">
        <v>190</v>
      </c>
    </row>
    <row r="111" spans="1:7" x14ac:dyDescent="0.3">
      <c r="A111">
        <v>110</v>
      </c>
      <c r="B111">
        <v>0.2424</v>
      </c>
      <c r="C111">
        <v>0.38</v>
      </c>
      <c r="D111">
        <v>0.1343</v>
      </c>
      <c r="E111">
        <v>3</v>
      </c>
      <c r="F111">
        <v>166</v>
      </c>
      <c r="G111">
        <v>169</v>
      </c>
    </row>
    <row r="112" spans="1:7" x14ac:dyDescent="0.3">
      <c r="A112">
        <v>111</v>
      </c>
      <c r="B112">
        <v>0.2576</v>
      </c>
      <c r="C112">
        <v>0.38</v>
      </c>
      <c r="D112">
        <v>0.1045</v>
      </c>
      <c r="E112">
        <v>5</v>
      </c>
      <c r="F112">
        <v>127</v>
      </c>
      <c r="G112">
        <v>132</v>
      </c>
    </row>
    <row r="113" spans="1:7" x14ac:dyDescent="0.3">
      <c r="A113">
        <v>112</v>
      </c>
      <c r="B113">
        <v>0.2273</v>
      </c>
      <c r="C113">
        <v>0.47</v>
      </c>
      <c r="D113">
        <v>0.16420000000000001</v>
      </c>
      <c r="E113">
        <v>7</v>
      </c>
      <c r="F113">
        <v>82</v>
      </c>
      <c r="G113">
        <v>89</v>
      </c>
    </row>
    <row r="114" spans="1:7" x14ac:dyDescent="0.3">
      <c r="A114">
        <v>113</v>
      </c>
      <c r="B114">
        <v>0.19700000000000001</v>
      </c>
      <c r="C114">
        <v>0.51</v>
      </c>
      <c r="D114">
        <v>0.19400000000000001</v>
      </c>
      <c r="E114">
        <v>3</v>
      </c>
      <c r="F114">
        <v>40</v>
      </c>
      <c r="G114">
        <v>43</v>
      </c>
    </row>
    <row r="115" spans="1:7" x14ac:dyDescent="0.3">
      <c r="A115">
        <v>114</v>
      </c>
      <c r="B115">
        <v>0.19700000000000001</v>
      </c>
      <c r="C115">
        <v>0.55000000000000004</v>
      </c>
      <c r="D115">
        <v>0.1343</v>
      </c>
      <c r="E115">
        <v>1</v>
      </c>
      <c r="F115">
        <v>41</v>
      </c>
      <c r="G115">
        <v>42</v>
      </c>
    </row>
    <row r="116" spans="1:7" x14ac:dyDescent="0.3">
      <c r="A116">
        <v>115</v>
      </c>
      <c r="B116">
        <v>0.2576</v>
      </c>
      <c r="C116">
        <v>0.47</v>
      </c>
      <c r="D116">
        <v>0</v>
      </c>
      <c r="E116">
        <v>1</v>
      </c>
      <c r="F116">
        <v>18</v>
      </c>
      <c r="G116">
        <v>19</v>
      </c>
    </row>
    <row r="117" spans="1:7" x14ac:dyDescent="0.3">
      <c r="A117">
        <v>116</v>
      </c>
      <c r="B117">
        <v>0.2424</v>
      </c>
      <c r="C117">
        <v>0.55000000000000004</v>
      </c>
      <c r="D117">
        <v>0</v>
      </c>
      <c r="E117">
        <v>0</v>
      </c>
      <c r="F117">
        <v>11</v>
      </c>
      <c r="G117">
        <v>11</v>
      </c>
    </row>
    <row r="118" spans="1:7" x14ac:dyDescent="0.3">
      <c r="A118">
        <v>117</v>
      </c>
      <c r="B118">
        <v>0.2273</v>
      </c>
      <c r="C118">
        <v>0.64</v>
      </c>
      <c r="D118">
        <v>0</v>
      </c>
      <c r="E118">
        <v>0</v>
      </c>
      <c r="F118">
        <v>4</v>
      </c>
      <c r="G118">
        <v>4</v>
      </c>
    </row>
    <row r="119" spans="1:7" x14ac:dyDescent="0.3">
      <c r="A119">
        <v>118</v>
      </c>
      <c r="B119">
        <v>0.2273</v>
      </c>
      <c r="C119">
        <v>0.64</v>
      </c>
      <c r="D119">
        <v>0</v>
      </c>
      <c r="E119">
        <v>0</v>
      </c>
      <c r="F119">
        <v>2</v>
      </c>
      <c r="G119">
        <v>2</v>
      </c>
    </row>
    <row r="120" spans="1:7" x14ac:dyDescent="0.3">
      <c r="A120">
        <v>119</v>
      </c>
      <c r="B120">
        <v>0.19700000000000001</v>
      </c>
      <c r="C120">
        <v>0.64</v>
      </c>
      <c r="D120">
        <v>8.9599999999999999E-2</v>
      </c>
      <c r="E120">
        <v>0</v>
      </c>
      <c r="F120">
        <v>1</v>
      </c>
      <c r="G120">
        <v>1</v>
      </c>
    </row>
    <row r="121" spans="1:7" x14ac:dyDescent="0.3">
      <c r="A121">
        <v>120</v>
      </c>
      <c r="B121">
        <v>0.18179999999999999</v>
      </c>
      <c r="C121">
        <v>0.69</v>
      </c>
      <c r="D121">
        <v>8.9599999999999999E-2</v>
      </c>
      <c r="E121">
        <v>0</v>
      </c>
      <c r="F121">
        <v>4</v>
      </c>
      <c r="G121">
        <v>4</v>
      </c>
    </row>
    <row r="122" spans="1:7" x14ac:dyDescent="0.3">
      <c r="A122">
        <v>121</v>
      </c>
      <c r="B122">
        <v>0.16669999999999999</v>
      </c>
      <c r="C122">
        <v>0.63</v>
      </c>
      <c r="D122">
        <v>0.1045</v>
      </c>
      <c r="E122">
        <v>0</v>
      </c>
      <c r="F122">
        <v>36</v>
      </c>
      <c r="G122">
        <v>36</v>
      </c>
    </row>
    <row r="123" spans="1:7" x14ac:dyDescent="0.3">
      <c r="A123">
        <v>122</v>
      </c>
      <c r="B123">
        <v>0.2273</v>
      </c>
      <c r="C123">
        <v>0.59</v>
      </c>
      <c r="D123">
        <v>0</v>
      </c>
      <c r="E123">
        <v>0</v>
      </c>
      <c r="F123">
        <v>95</v>
      </c>
      <c r="G123">
        <v>95</v>
      </c>
    </row>
    <row r="124" spans="1:7" x14ac:dyDescent="0.3">
      <c r="A124">
        <v>123</v>
      </c>
      <c r="B124">
        <v>0.2273</v>
      </c>
      <c r="C124">
        <v>0.59</v>
      </c>
      <c r="D124">
        <v>0</v>
      </c>
      <c r="E124">
        <v>3</v>
      </c>
      <c r="F124">
        <v>216</v>
      </c>
      <c r="G124">
        <v>219</v>
      </c>
    </row>
    <row r="125" spans="1:7" x14ac:dyDescent="0.3">
      <c r="A125">
        <v>124</v>
      </c>
      <c r="B125">
        <v>0.2424</v>
      </c>
      <c r="C125">
        <v>0.51</v>
      </c>
      <c r="D125">
        <v>0</v>
      </c>
      <c r="E125">
        <v>6</v>
      </c>
      <c r="F125">
        <v>116</v>
      </c>
      <c r="G125">
        <v>122</v>
      </c>
    </row>
    <row r="126" spans="1:7" x14ac:dyDescent="0.3">
      <c r="A126">
        <v>125</v>
      </c>
      <c r="B126">
        <v>0.2576</v>
      </c>
      <c r="C126">
        <v>0.47</v>
      </c>
      <c r="D126">
        <v>0</v>
      </c>
      <c r="E126">
        <v>3</v>
      </c>
      <c r="F126">
        <v>42</v>
      </c>
      <c r="G126">
        <v>45</v>
      </c>
    </row>
    <row r="127" spans="1:7" x14ac:dyDescent="0.3">
      <c r="A127">
        <v>126</v>
      </c>
      <c r="B127">
        <v>0.2576</v>
      </c>
      <c r="C127">
        <v>0.44</v>
      </c>
      <c r="D127">
        <v>8.9599999999999999E-2</v>
      </c>
      <c r="E127">
        <v>2</v>
      </c>
      <c r="F127">
        <v>57</v>
      </c>
      <c r="G127">
        <v>59</v>
      </c>
    </row>
    <row r="128" spans="1:7" x14ac:dyDescent="0.3">
      <c r="A128">
        <v>127</v>
      </c>
      <c r="B128">
        <v>0.28789999999999999</v>
      </c>
      <c r="C128">
        <v>0.35</v>
      </c>
      <c r="D128">
        <v>0</v>
      </c>
      <c r="E128">
        <v>6</v>
      </c>
      <c r="F128">
        <v>78</v>
      </c>
      <c r="G128">
        <v>84</v>
      </c>
    </row>
    <row r="129" spans="1:7" x14ac:dyDescent="0.3">
      <c r="A129">
        <v>128</v>
      </c>
      <c r="B129">
        <v>0.2727</v>
      </c>
      <c r="C129">
        <v>0.35</v>
      </c>
      <c r="D129">
        <v>0.1045</v>
      </c>
      <c r="E129">
        <v>12</v>
      </c>
      <c r="F129">
        <v>55</v>
      </c>
      <c r="G129">
        <v>67</v>
      </c>
    </row>
    <row r="130" spans="1:7" x14ac:dyDescent="0.3">
      <c r="A130">
        <v>129</v>
      </c>
      <c r="B130">
        <v>0.2727</v>
      </c>
      <c r="C130">
        <v>0.36</v>
      </c>
      <c r="D130">
        <v>0.16420000000000001</v>
      </c>
      <c r="E130">
        <v>11</v>
      </c>
      <c r="F130">
        <v>59</v>
      </c>
      <c r="G130">
        <v>70</v>
      </c>
    </row>
    <row r="131" spans="1:7" x14ac:dyDescent="0.3">
      <c r="A131">
        <v>130</v>
      </c>
      <c r="B131">
        <v>0.2727</v>
      </c>
      <c r="C131">
        <v>0.36</v>
      </c>
      <c r="D131">
        <v>0</v>
      </c>
      <c r="E131">
        <v>8</v>
      </c>
      <c r="F131">
        <v>54</v>
      </c>
      <c r="G131">
        <v>62</v>
      </c>
    </row>
    <row r="132" spans="1:7" x14ac:dyDescent="0.3">
      <c r="A132">
        <v>131</v>
      </c>
      <c r="B132">
        <v>0.2576</v>
      </c>
      <c r="C132">
        <v>0.38</v>
      </c>
      <c r="D132">
        <v>0.16420000000000001</v>
      </c>
      <c r="E132">
        <v>12</v>
      </c>
      <c r="F132">
        <v>74</v>
      </c>
      <c r="G132">
        <v>86</v>
      </c>
    </row>
    <row r="133" spans="1:7" x14ac:dyDescent="0.3">
      <c r="A133">
        <v>132</v>
      </c>
      <c r="B133">
        <v>0.2273</v>
      </c>
      <c r="C133">
        <v>0.51</v>
      </c>
      <c r="D133">
        <v>0.16420000000000001</v>
      </c>
      <c r="E133">
        <v>9</v>
      </c>
      <c r="F133">
        <v>163</v>
      </c>
      <c r="G133">
        <v>172</v>
      </c>
    </row>
    <row r="134" spans="1:7" x14ac:dyDescent="0.3">
      <c r="A134">
        <v>133</v>
      </c>
      <c r="B134">
        <v>0.2273</v>
      </c>
      <c r="C134">
        <v>0.51</v>
      </c>
      <c r="D134">
        <v>0.1343</v>
      </c>
      <c r="E134">
        <v>5</v>
      </c>
      <c r="F134">
        <v>158</v>
      </c>
      <c r="G134">
        <v>163</v>
      </c>
    </row>
    <row r="135" spans="1:7" x14ac:dyDescent="0.3">
      <c r="A135">
        <v>134</v>
      </c>
      <c r="B135">
        <v>0.2576</v>
      </c>
      <c r="C135">
        <v>0.55000000000000004</v>
      </c>
      <c r="D135">
        <v>8.9599999999999999E-2</v>
      </c>
      <c r="E135">
        <v>3</v>
      </c>
      <c r="F135">
        <v>109</v>
      </c>
      <c r="G135">
        <v>112</v>
      </c>
    </row>
    <row r="136" spans="1:7" x14ac:dyDescent="0.3">
      <c r="A136">
        <v>135</v>
      </c>
      <c r="B136">
        <v>0.21210000000000001</v>
      </c>
      <c r="C136">
        <v>0.51</v>
      </c>
      <c r="D136">
        <v>0.16420000000000001</v>
      </c>
      <c r="E136">
        <v>3</v>
      </c>
      <c r="F136">
        <v>66</v>
      </c>
      <c r="G136">
        <v>69</v>
      </c>
    </row>
    <row r="137" spans="1:7" x14ac:dyDescent="0.3">
      <c r="A137">
        <v>136</v>
      </c>
      <c r="B137">
        <v>0.21210000000000001</v>
      </c>
      <c r="C137">
        <v>0.55000000000000004</v>
      </c>
      <c r="D137">
        <v>0.22389999999999999</v>
      </c>
      <c r="E137">
        <v>0</v>
      </c>
      <c r="F137">
        <v>48</v>
      </c>
      <c r="G137">
        <v>48</v>
      </c>
    </row>
    <row r="138" spans="1:7" x14ac:dyDescent="0.3">
      <c r="A138">
        <v>137</v>
      </c>
      <c r="B138">
        <v>0.21210000000000001</v>
      </c>
      <c r="C138">
        <v>0.51</v>
      </c>
      <c r="D138">
        <v>0.28360000000000002</v>
      </c>
      <c r="E138">
        <v>1</v>
      </c>
      <c r="F138">
        <v>51</v>
      </c>
      <c r="G138">
        <v>52</v>
      </c>
    </row>
    <row r="139" spans="1:7" x14ac:dyDescent="0.3">
      <c r="A139">
        <v>138</v>
      </c>
      <c r="B139">
        <v>0.19700000000000001</v>
      </c>
      <c r="C139">
        <v>0.59</v>
      </c>
      <c r="D139">
        <v>0.19400000000000001</v>
      </c>
      <c r="E139">
        <v>4</v>
      </c>
      <c r="F139">
        <v>19</v>
      </c>
      <c r="G139">
        <v>23</v>
      </c>
    </row>
    <row r="140" spans="1:7" x14ac:dyDescent="0.3">
      <c r="A140">
        <v>139</v>
      </c>
      <c r="B140">
        <v>0.19700000000000001</v>
      </c>
      <c r="C140">
        <v>0.64</v>
      </c>
      <c r="D140">
        <v>0.19400000000000001</v>
      </c>
      <c r="E140">
        <v>4</v>
      </c>
      <c r="F140">
        <v>13</v>
      </c>
      <c r="G140">
        <v>17</v>
      </c>
    </row>
    <row r="141" spans="1:7" x14ac:dyDescent="0.3">
      <c r="A141">
        <v>140</v>
      </c>
      <c r="B141">
        <v>0.19700000000000001</v>
      </c>
      <c r="C141">
        <v>0.69</v>
      </c>
      <c r="D141">
        <v>0.22389999999999999</v>
      </c>
      <c r="E141">
        <v>2</v>
      </c>
      <c r="F141">
        <v>5</v>
      </c>
      <c r="G141">
        <v>7</v>
      </c>
    </row>
    <row r="142" spans="1:7" x14ac:dyDescent="0.3">
      <c r="A142">
        <v>141</v>
      </c>
      <c r="B142">
        <v>0.19700000000000001</v>
      </c>
      <c r="C142">
        <v>0.69</v>
      </c>
      <c r="D142">
        <v>0.22389999999999999</v>
      </c>
      <c r="E142">
        <v>0</v>
      </c>
      <c r="F142">
        <v>1</v>
      </c>
      <c r="G142">
        <v>1</v>
      </c>
    </row>
    <row r="143" spans="1:7" x14ac:dyDescent="0.3">
      <c r="A143">
        <v>142</v>
      </c>
      <c r="B143">
        <v>0.21210000000000001</v>
      </c>
      <c r="C143">
        <v>0.69</v>
      </c>
      <c r="D143">
        <v>0.1343</v>
      </c>
      <c r="E143">
        <v>0</v>
      </c>
      <c r="F143">
        <v>1</v>
      </c>
      <c r="G143">
        <v>1</v>
      </c>
    </row>
    <row r="144" spans="1:7" x14ac:dyDescent="0.3">
      <c r="A144">
        <v>143</v>
      </c>
      <c r="B144">
        <v>0.2727</v>
      </c>
      <c r="C144">
        <v>0.55000000000000004</v>
      </c>
      <c r="D144">
        <v>0</v>
      </c>
      <c r="E144">
        <v>0</v>
      </c>
      <c r="F144">
        <v>5</v>
      </c>
      <c r="G144">
        <v>5</v>
      </c>
    </row>
    <row r="145" spans="1:7" x14ac:dyDescent="0.3">
      <c r="A145">
        <v>144</v>
      </c>
      <c r="B145">
        <v>0.2576</v>
      </c>
      <c r="C145">
        <v>0.69</v>
      </c>
      <c r="D145">
        <v>0</v>
      </c>
      <c r="E145">
        <v>8</v>
      </c>
      <c r="F145">
        <v>26</v>
      </c>
      <c r="G145">
        <v>34</v>
      </c>
    </row>
    <row r="146" spans="1:7" x14ac:dyDescent="0.3">
      <c r="A146">
        <v>145</v>
      </c>
      <c r="B146">
        <v>0.21210000000000001</v>
      </c>
      <c r="C146">
        <v>0.69</v>
      </c>
      <c r="D146">
        <v>0.1343</v>
      </c>
      <c r="E146">
        <v>8</v>
      </c>
      <c r="F146">
        <v>76</v>
      </c>
      <c r="G146">
        <v>84</v>
      </c>
    </row>
    <row r="147" spans="1:7" x14ac:dyDescent="0.3">
      <c r="A147">
        <v>146</v>
      </c>
      <c r="B147">
        <v>0.19700000000000001</v>
      </c>
      <c r="C147">
        <v>0.51</v>
      </c>
      <c r="D147">
        <v>0.25369999999999998</v>
      </c>
      <c r="E147">
        <v>20</v>
      </c>
      <c r="F147">
        <v>190</v>
      </c>
      <c r="G147">
        <v>210</v>
      </c>
    </row>
    <row r="148" spans="1:7" x14ac:dyDescent="0.3">
      <c r="A148">
        <v>147</v>
      </c>
      <c r="B148">
        <v>0.18179999999999999</v>
      </c>
      <c r="C148">
        <v>0.47</v>
      </c>
      <c r="D148">
        <v>0.29849999999999999</v>
      </c>
      <c r="E148">
        <v>9</v>
      </c>
      <c r="F148">
        <v>125</v>
      </c>
      <c r="G148">
        <v>134</v>
      </c>
    </row>
    <row r="149" spans="1:7" x14ac:dyDescent="0.3">
      <c r="A149">
        <v>148</v>
      </c>
      <c r="B149">
        <v>0.19700000000000001</v>
      </c>
      <c r="C149">
        <v>0.37</v>
      </c>
      <c r="D149">
        <v>0.32840000000000003</v>
      </c>
      <c r="E149">
        <v>16</v>
      </c>
      <c r="F149">
        <v>47</v>
      </c>
      <c r="G149">
        <v>63</v>
      </c>
    </row>
    <row r="150" spans="1:7" x14ac:dyDescent="0.3">
      <c r="A150">
        <v>149</v>
      </c>
      <c r="B150">
        <v>0.19700000000000001</v>
      </c>
      <c r="C150">
        <v>0.4</v>
      </c>
      <c r="D150">
        <v>0.22389999999999999</v>
      </c>
      <c r="E150">
        <v>19</v>
      </c>
      <c r="F150">
        <v>48</v>
      </c>
      <c r="G150">
        <v>67</v>
      </c>
    </row>
    <row r="151" spans="1:7" x14ac:dyDescent="0.3">
      <c r="A151">
        <v>150</v>
      </c>
      <c r="B151">
        <v>0.19700000000000001</v>
      </c>
      <c r="C151">
        <v>0.37</v>
      </c>
      <c r="D151">
        <v>0.25369999999999998</v>
      </c>
      <c r="E151">
        <v>9</v>
      </c>
      <c r="F151">
        <v>50</v>
      </c>
      <c r="G151">
        <v>59</v>
      </c>
    </row>
    <row r="152" spans="1:7" x14ac:dyDescent="0.3">
      <c r="A152">
        <v>151</v>
      </c>
      <c r="B152">
        <v>0.18179999999999999</v>
      </c>
      <c r="C152">
        <v>0.37</v>
      </c>
      <c r="D152">
        <v>0.28360000000000002</v>
      </c>
      <c r="E152">
        <v>9</v>
      </c>
      <c r="F152">
        <v>64</v>
      </c>
      <c r="G152">
        <v>73</v>
      </c>
    </row>
    <row r="153" spans="1:7" x14ac:dyDescent="0.3">
      <c r="A153">
        <v>152</v>
      </c>
      <c r="B153">
        <v>0.19700000000000001</v>
      </c>
      <c r="C153">
        <v>0.4</v>
      </c>
      <c r="D153">
        <v>0.25369999999999998</v>
      </c>
      <c r="E153">
        <v>7</v>
      </c>
      <c r="F153">
        <v>43</v>
      </c>
      <c r="G153">
        <v>50</v>
      </c>
    </row>
    <row r="154" spans="1:7" x14ac:dyDescent="0.3">
      <c r="A154">
        <v>153</v>
      </c>
      <c r="B154">
        <v>0.21210000000000001</v>
      </c>
      <c r="C154">
        <v>0.37</v>
      </c>
      <c r="D154">
        <v>0.16420000000000001</v>
      </c>
      <c r="E154">
        <v>9</v>
      </c>
      <c r="F154">
        <v>63</v>
      </c>
      <c r="G154">
        <v>72</v>
      </c>
    </row>
    <row r="155" spans="1:7" x14ac:dyDescent="0.3">
      <c r="A155">
        <v>154</v>
      </c>
      <c r="B155">
        <v>0.21210000000000001</v>
      </c>
      <c r="C155">
        <v>0.37</v>
      </c>
      <c r="D155">
        <v>0.16420000000000001</v>
      </c>
      <c r="E155">
        <v>5</v>
      </c>
      <c r="F155">
        <v>82</v>
      </c>
      <c r="G155">
        <v>87</v>
      </c>
    </row>
    <row r="156" spans="1:7" x14ac:dyDescent="0.3">
      <c r="A156">
        <v>155</v>
      </c>
      <c r="B156">
        <v>0.2576</v>
      </c>
      <c r="C156">
        <v>0.37</v>
      </c>
      <c r="D156">
        <v>0</v>
      </c>
      <c r="E156">
        <v>9</v>
      </c>
      <c r="F156">
        <v>178</v>
      </c>
      <c r="G156">
        <v>187</v>
      </c>
    </row>
    <row r="157" spans="1:7" x14ac:dyDescent="0.3">
      <c r="A157">
        <v>156</v>
      </c>
      <c r="B157">
        <v>0.2273</v>
      </c>
      <c r="C157">
        <v>0.4</v>
      </c>
      <c r="D157">
        <v>8.9599999999999999E-2</v>
      </c>
      <c r="E157">
        <v>7</v>
      </c>
      <c r="F157">
        <v>116</v>
      </c>
      <c r="G157">
        <v>123</v>
      </c>
    </row>
    <row r="158" spans="1:7" x14ac:dyDescent="0.3">
      <c r="A158">
        <v>157</v>
      </c>
      <c r="B158">
        <v>0.19700000000000001</v>
      </c>
      <c r="C158">
        <v>0.55000000000000004</v>
      </c>
      <c r="D158">
        <v>8.9599999999999999E-2</v>
      </c>
      <c r="E158">
        <v>3</v>
      </c>
      <c r="F158">
        <v>92</v>
      </c>
      <c r="G158">
        <v>95</v>
      </c>
    </row>
    <row r="159" spans="1:7" x14ac:dyDescent="0.3">
      <c r="A159">
        <v>158</v>
      </c>
      <c r="B159">
        <v>0.21210000000000001</v>
      </c>
      <c r="C159">
        <v>0.47</v>
      </c>
      <c r="D159">
        <v>0.1045</v>
      </c>
      <c r="E159">
        <v>1</v>
      </c>
      <c r="F159">
        <v>50</v>
      </c>
      <c r="G159">
        <v>51</v>
      </c>
    </row>
    <row r="160" spans="1:7" x14ac:dyDescent="0.3">
      <c r="A160">
        <v>159</v>
      </c>
      <c r="B160">
        <v>0.19700000000000001</v>
      </c>
      <c r="C160">
        <v>0.47</v>
      </c>
      <c r="D160">
        <v>0.1343</v>
      </c>
      <c r="E160">
        <v>0</v>
      </c>
      <c r="F160">
        <v>39</v>
      </c>
      <c r="G160">
        <v>39</v>
      </c>
    </row>
    <row r="161" spans="1:7" x14ac:dyDescent="0.3">
      <c r="A161">
        <v>160</v>
      </c>
      <c r="B161">
        <v>0.19700000000000001</v>
      </c>
      <c r="C161">
        <v>0.43</v>
      </c>
      <c r="D161">
        <v>0.16420000000000001</v>
      </c>
      <c r="E161">
        <v>2</v>
      </c>
      <c r="F161">
        <v>34</v>
      </c>
      <c r="G161">
        <v>36</v>
      </c>
    </row>
    <row r="162" spans="1:7" x14ac:dyDescent="0.3">
      <c r="A162">
        <v>161</v>
      </c>
      <c r="B162">
        <v>0.19700000000000001</v>
      </c>
      <c r="C162">
        <v>0.51</v>
      </c>
      <c r="D162">
        <v>0.16420000000000001</v>
      </c>
      <c r="E162">
        <v>1</v>
      </c>
      <c r="F162">
        <v>14</v>
      </c>
      <c r="G162">
        <v>15</v>
      </c>
    </row>
    <row r="163" spans="1:7" x14ac:dyDescent="0.3">
      <c r="A163">
        <v>162</v>
      </c>
      <c r="B163">
        <v>0.19700000000000001</v>
      </c>
      <c r="C163">
        <v>0.51</v>
      </c>
      <c r="D163">
        <v>0.16420000000000001</v>
      </c>
      <c r="E163">
        <v>1</v>
      </c>
      <c r="F163">
        <v>24</v>
      </c>
      <c r="G163">
        <v>25</v>
      </c>
    </row>
    <row r="164" spans="1:7" x14ac:dyDescent="0.3">
      <c r="A164">
        <v>163</v>
      </c>
      <c r="B164">
        <v>0.21210000000000001</v>
      </c>
      <c r="C164">
        <v>0.55000000000000004</v>
      </c>
      <c r="D164">
        <v>8.9599999999999999E-2</v>
      </c>
      <c r="E164">
        <v>1</v>
      </c>
      <c r="F164">
        <v>15</v>
      </c>
      <c r="G164">
        <v>16</v>
      </c>
    </row>
    <row r="165" spans="1:7" x14ac:dyDescent="0.3">
      <c r="A165">
        <v>164</v>
      </c>
      <c r="B165">
        <v>0.2424</v>
      </c>
      <c r="C165">
        <v>0.55000000000000004</v>
      </c>
      <c r="D165">
        <v>0</v>
      </c>
      <c r="E165">
        <v>3</v>
      </c>
      <c r="F165">
        <v>13</v>
      </c>
      <c r="G165">
        <v>16</v>
      </c>
    </row>
    <row r="166" spans="1:7" x14ac:dyDescent="0.3">
      <c r="A166">
        <v>165</v>
      </c>
      <c r="B166">
        <v>0.19700000000000001</v>
      </c>
      <c r="C166">
        <v>0.55000000000000004</v>
      </c>
      <c r="D166">
        <v>0.16420000000000001</v>
      </c>
      <c r="E166">
        <v>0</v>
      </c>
      <c r="F166">
        <v>7</v>
      </c>
      <c r="G166">
        <v>7</v>
      </c>
    </row>
    <row r="167" spans="1:7" x14ac:dyDescent="0.3">
      <c r="A167">
        <v>166</v>
      </c>
      <c r="B167">
        <v>0.19700000000000001</v>
      </c>
      <c r="C167">
        <v>0.55000000000000004</v>
      </c>
      <c r="D167">
        <v>0.16420000000000001</v>
      </c>
      <c r="E167">
        <v>0</v>
      </c>
      <c r="F167">
        <v>1</v>
      </c>
      <c r="G167">
        <v>1</v>
      </c>
    </row>
    <row r="168" spans="1:7" x14ac:dyDescent="0.3">
      <c r="A168">
        <v>167</v>
      </c>
      <c r="B168">
        <v>0.16669999999999999</v>
      </c>
      <c r="C168">
        <v>0.74</v>
      </c>
      <c r="D168">
        <v>0.16420000000000001</v>
      </c>
      <c r="E168">
        <v>0</v>
      </c>
      <c r="F168">
        <v>5</v>
      </c>
      <c r="G168">
        <v>5</v>
      </c>
    </row>
    <row r="169" spans="1:7" x14ac:dyDescent="0.3">
      <c r="A169">
        <v>168</v>
      </c>
      <c r="B169">
        <v>0.16669999999999999</v>
      </c>
      <c r="C169">
        <v>0.74</v>
      </c>
      <c r="D169">
        <v>0.16420000000000001</v>
      </c>
      <c r="E169">
        <v>0</v>
      </c>
      <c r="F169">
        <v>2</v>
      </c>
      <c r="G169">
        <v>2</v>
      </c>
    </row>
    <row r="170" spans="1:7" x14ac:dyDescent="0.3">
      <c r="A170">
        <v>169</v>
      </c>
      <c r="B170">
        <v>0.18179999999999999</v>
      </c>
      <c r="C170">
        <v>0.74</v>
      </c>
      <c r="D170">
        <v>0.1045</v>
      </c>
      <c r="E170">
        <v>1</v>
      </c>
      <c r="F170">
        <v>8</v>
      </c>
      <c r="G170">
        <v>9</v>
      </c>
    </row>
    <row r="171" spans="1:7" x14ac:dyDescent="0.3">
      <c r="A171">
        <v>170</v>
      </c>
      <c r="B171">
        <v>0.18179999999999999</v>
      </c>
      <c r="C171">
        <v>0.93</v>
      </c>
      <c r="D171">
        <v>0.1045</v>
      </c>
      <c r="E171">
        <v>0</v>
      </c>
      <c r="F171">
        <v>15</v>
      </c>
      <c r="G171">
        <v>15</v>
      </c>
    </row>
    <row r="172" spans="1:7" x14ac:dyDescent="0.3">
      <c r="A172">
        <v>171</v>
      </c>
      <c r="B172">
        <v>0.18179999999999999</v>
      </c>
      <c r="C172">
        <v>0.93</v>
      </c>
      <c r="D172">
        <v>0.1045</v>
      </c>
      <c r="E172">
        <v>0</v>
      </c>
      <c r="F172">
        <v>20</v>
      </c>
      <c r="G172">
        <v>20</v>
      </c>
    </row>
    <row r="173" spans="1:7" x14ac:dyDescent="0.3">
      <c r="A173">
        <v>172</v>
      </c>
      <c r="B173">
        <v>0.19700000000000001</v>
      </c>
      <c r="C173">
        <v>0.8</v>
      </c>
      <c r="D173">
        <v>0.16420000000000001</v>
      </c>
      <c r="E173">
        <v>5</v>
      </c>
      <c r="F173">
        <v>56</v>
      </c>
      <c r="G173">
        <v>61</v>
      </c>
    </row>
    <row r="174" spans="1:7" x14ac:dyDescent="0.3">
      <c r="A174">
        <v>173</v>
      </c>
      <c r="B174">
        <v>0.18179999999999999</v>
      </c>
      <c r="C174">
        <v>0.69</v>
      </c>
      <c r="D174">
        <v>0.3881</v>
      </c>
      <c r="E174">
        <v>2</v>
      </c>
      <c r="F174">
        <v>60</v>
      </c>
      <c r="G174">
        <v>62</v>
      </c>
    </row>
    <row r="175" spans="1:7" x14ac:dyDescent="0.3">
      <c r="A175">
        <v>174</v>
      </c>
      <c r="B175">
        <v>0.18179999999999999</v>
      </c>
      <c r="C175">
        <v>0.59</v>
      </c>
      <c r="D175">
        <v>0.35820000000000002</v>
      </c>
      <c r="E175">
        <v>8</v>
      </c>
      <c r="F175">
        <v>90</v>
      </c>
      <c r="G175">
        <v>98</v>
      </c>
    </row>
    <row r="176" spans="1:7" x14ac:dyDescent="0.3">
      <c r="A176">
        <v>175</v>
      </c>
      <c r="B176">
        <v>0.18179999999999999</v>
      </c>
      <c r="C176">
        <v>0.44</v>
      </c>
      <c r="D176">
        <v>0.32840000000000003</v>
      </c>
      <c r="E176">
        <v>7</v>
      </c>
      <c r="F176">
        <v>95</v>
      </c>
      <c r="G176">
        <v>102</v>
      </c>
    </row>
    <row r="177" spans="1:7" x14ac:dyDescent="0.3">
      <c r="A177">
        <v>176</v>
      </c>
      <c r="B177">
        <v>0.16669999999999999</v>
      </c>
      <c r="C177">
        <v>0.32</v>
      </c>
      <c r="D177">
        <v>0.49249999999999999</v>
      </c>
      <c r="E177">
        <v>12</v>
      </c>
      <c r="F177">
        <v>83</v>
      </c>
      <c r="G177">
        <v>95</v>
      </c>
    </row>
    <row r="178" spans="1:7" x14ac:dyDescent="0.3">
      <c r="A178">
        <v>177</v>
      </c>
      <c r="B178">
        <v>0.16669999999999999</v>
      </c>
      <c r="C178">
        <v>0.32</v>
      </c>
      <c r="D178">
        <v>0.44779999999999998</v>
      </c>
      <c r="E178">
        <v>5</v>
      </c>
      <c r="F178">
        <v>69</v>
      </c>
      <c r="G178">
        <v>74</v>
      </c>
    </row>
    <row r="179" spans="1:7" x14ac:dyDescent="0.3">
      <c r="A179">
        <v>178</v>
      </c>
      <c r="B179">
        <v>0.13639999999999999</v>
      </c>
      <c r="C179">
        <v>0.28999999999999998</v>
      </c>
      <c r="D179">
        <v>0.44779999999999998</v>
      </c>
      <c r="E179">
        <v>8</v>
      </c>
      <c r="F179">
        <v>68</v>
      </c>
      <c r="G179">
        <v>76</v>
      </c>
    </row>
    <row r="180" spans="1:7" x14ac:dyDescent="0.3">
      <c r="A180">
        <v>179</v>
      </c>
      <c r="B180">
        <v>0.1212</v>
      </c>
      <c r="C180">
        <v>0.37</v>
      </c>
      <c r="D180">
        <v>0.55220000000000002</v>
      </c>
      <c r="E180">
        <v>5</v>
      </c>
      <c r="F180">
        <v>64</v>
      </c>
      <c r="G180">
        <v>69</v>
      </c>
    </row>
    <row r="181" spans="1:7" x14ac:dyDescent="0.3">
      <c r="A181">
        <v>180</v>
      </c>
      <c r="B181">
        <v>0.1212</v>
      </c>
      <c r="C181">
        <v>0.39</v>
      </c>
      <c r="D181">
        <v>0.29849999999999999</v>
      </c>
      <c r="E181">
        <v>3</v>
      </c>
      <c r="F181">
        <v>52</v>
      </c>
      <c r="G181">
        <v>55</v>
      </c>
    </row>
    <row r="182" spans="1:7" x14ac:dyDescent="0.3">
      <c r="A182">
        <v>181</v>
      </c>
      <c r="B182">
        <v>0.1212</v>
      </c>
      <c r="C182">
        <v>0.36</v>
      </c>
      <c r="D182">
        <v>0.25369999999999998</v>
      </c>
      <c r="E182">
        <v>4</v>
      </c>
      <c r="F182">
        <v>26</v>
      </c>
      <c r="G182">
        <v>30</v>
      </c>
    </row>
    <row r="183" spans="1:7" x14ac:dyDescent="0.3">
      <c r="A183">
        <v>182</v>
      </c>
      <c r="B183">
        <v>0.1212</v>
      </c>
      <c r="C183">
        <v>0.36</v>
      </c>
      <c r="D183">
        <v>0.25369999999999998</v>
      </c>
      <c r="E183">
        <v>0</v>
      </c>
      <c r="F183">
        <v>28</v>
      </c>
      <c r="G183">
        <v>28</v>
      </c>
    </row>
    <row r="184" spans="1:7" x14ac:dyDescent="0.3">
      <c r="A184">
        <v>183</v>
      </c>
      <c r="B184">
        <v>0.1061</v>
      </c>
      <c r="C184">
        <v>0.39</v>
      </c>
      <c r="D184">
        <v>0.35820000000000002</v>
      </c>
      <c r="E184">
        <v>2</v>
      </c>
      <c r="F184">
        <v>35</v>
      </c>
      <c r="G184">
        <v>37</v>
      </c>
    </row>
    <row r="185" spans="1:7" x14ac:dyDescent="0.3">
      <c r="A185">
        <v>184</v>
      </c>
      <c r="B185">
        <v>0.1061</v>
      </c>
      <c r="C185">
        <v>0.36</v>
      </c>
      <c r="D185">
        <v>0.3881</v>
      </c>
      <c r="E185">
        <v>1</v>
      </c>
      <c r="F185">
        <v>33</v>
      </c>
      <c r="G185">
        <v>34</v>
      </c>
    </row>
    <row r="186" spans="1:7" x14ac:dyDescent="0.3">
      <c r="A186">
        <v>185</v>
      </c>
      <c r="B186">
        <v>6.0600000000000001E-2</v>
      </c>
      <c r="C186">
        <v>0.39</v>
      </c>
      <c r="D186">
        <v>0.44779999999999998</v>
      </c>
      <c r="E186">
        <v>0</v>
      </c>
      <c r="F186">
        <v>22</v>
      </c>
      <c r="G186">
        <v>22</v>
      </c>
    </row>
    <row r="187" spans="1:7" x14ac:dyDescent="0.3">
      <c r="A187">
        <v>186</v>
      </c>
      <c r="B187">
        <v>7.5800000000000006E-2</v>
      </c>
      <c r="C187">
        <v>0.42</v>
      </c>
      <c r="D187">
        <v>0.3881</v>
      </c>
      <c r="E187">
        <v>1</v>
      </c>
      <c r="F187">
        <v>24</v>
      </c>
      <c r="G187">
        <v>25</v>
      </c>
    </row>
    <row r="188" spans="1:7" x14ac:dyDescent="0.3">
      <c r="A188">
        <v>187</v>
      </c>
      <c r="B188">
        <v>6.0600000000000001E-2</v>
      </c>
      <c r="C188">
        <v>0.42</v>
      </c>
      <c r="D188">
        <v>0.4627</v>
      </c>
      <c r="E188">
        <v>0</v>
      </c>
      <c r="F188">
        <v>12</v>
      </c>
      <c r="G188">
        <v>12</v>
      </c>
    </row>
    <row r="189" spans="1:7" x14ac:dyDescent="0.3">
      <c r="A189">
        <v>188</v>
      </c>
      <c r="B189">
        <v>6.0600000000000001E-2</v>
      </c>
      <c r="C189">
        <v>0.46</v>
      </c>
      <c r="D189">
        <v>0.4627</v>
      </c>
      <c r="E189">
        <v>0</v>
      </c>
      <c r="F189">
        <v>11</v>
      </c>
      <c r="G189">
        <v>11</v>
      </c>
    </row>
    <row r="190" spans="1:7" x14ac:dyDescent="0.3">
      <c r="A190">
        <v>189</v>
      </c>
      <c r="B190">
        <v>7.5800000000000006E-2</v>
      </c>
      <c r="C190">
        <v>0.46</v>
      </c>
      <c r="D190">
        <v>0.41789999999999999</v>
      </c>
      <c r="E190">
        <v>0</v>
      </c>
      <c r="F190">
        <v>4</v>
      </c>
      <c r="G190">
        <v>4</v>
      </c>
    </row>
    <row r="191" spans="1:7" x14ac:dyDescent="0.3">
      <c r="A191">
        <v>190</v>
      </c>
      <c r="B191">
        <v>9.0899999999999995E-2</v>
      </c>
      <c r="C191">
        <v>0.53</v>
      </c>
      <c r="D191">
        <v>0.19400000000000001</v>
      </c>
      <c r="E191">
        <v>0</v>
      </c>
      <c r="F191">
        <v>1</v>
      </c>
      <c r="G191">
        <v>1</v>
      </c>
    </row>
    <row r="192" spans="1:7" x14ac:dyDescent="0.3">
      <c r="A192">
        <v>191</v>
      </c>
      <c r="B192">
        <v>9.0899999999999995E-2</v>
      </c>
      <c r="C192">
        <v>0.53</v>
      </c>
      <c r="D192">
        <v>0.19400000000000001</v>
      </c>
      <c r="E192">
        <v>0</v>
      </c>
      <c r="F192">
        <v>1</v>
      </c>
      <c r="G192">
        <v>1</v>
      </c>
    </row>
    <row r="193" spans="1:7" x14ac:dyDescent="0.3">
      <c r="A193">
        <v>192</v>
      </c>
      <c r="B193">
        <v>9.0899999999999995E-2</v>
      </c>
      <c r="C193">
        <v>0.49</v>
      </c>
      <c r="D193">
        <v>0.28360000000000002</v>
      </c>
      <c r="E193">
        <v>0</v>
      </c>
      <c r="F193">
        <v>1</v>
      </c>
      <c r="G193">
        <v>1</v>
      </c>
    </row>
    <row r="194" spans="1:7" x14ac:dyDescent="0.3">
      <c r="A194">
        <v>193</v>
      </c>
      <c r="B194">
        <v>9.0899999999999995E-2</v>
      </c>
      <c r="C194">
        <v>0.53</v>
      </c>
      <c r="D194">
        <v>0.19400000000000001</v>
      </c>
      <c r="E194">
        <v>1</v>
      </c>
      <c r="F194">
        <v>5</v>
      </c>
      <c r="G194">
        <v>6</v>
      </c>
    </row>
    <row r="195" spans="1:7" x14ac:dyDescent="0.3">
      <c r="A195">
        <v>194</v>
      </c>
      <c r="B195">
        <v>9.0899999999999995E-2</v>
      </c>
      <c r="C195">
        <v>0.49</v>
      </c>
      <c r="D195">
        <v>0.28360000000000002</v>
      </c>
      <c r="E195">
        <v>0</v>
      </c>
      <c r="F195">
        <v>10</v>
      </c>
      <c r="G195">
        <v>10</v>
      </c>
    </row>
    <row r="196" spans="1:7" x14ac:dyDescent="0.3">
      <c r="A196">
        <v>195</v>
      </c>
      <c r="B196">
        <v>7.5800000000000006E-2</v>
      </c>
      <c r="C196">
        <v>0.46</v>
      </c>
      <c r="D196">
        <v>0.52239999999999998</v>
      </c>
      <c r="E196">
        <v>0</v>
      </c>
      <c r="F196">
        <v>19</v>
      </c>
      <c r="G196">
        <v>19</v>
      </c>
    </row>
    <row r="197" spans="1:7" x14ac:dyDescent="0.3">
      <c r="A197">
        <v>196</v>
      </c>
      <c r="B197">
        <v>0.1061</v>
      </c>
      <c r="C197">
        <v>0.43</v>
      </c>
      <c r="D197">
        <v>0.3881</v>
      </c>
      <c r="E197">
        <v>0</v>
      </c>
      <c r="F197">
        <v>49</v>
      </c>
      <c r="G197">
        <v>49</v>
      </c>
    </row>
    <row r="198" spans="1:7" x14ac:dyDescent="0.3">
      <c r="A198">
        <v>197</v>
      </c>
      <c r="B198">
        <v>0.1212</v>
      </c>
      <c r="C198">
        <v>0.4</v>
      </c>
      <c r="D198">
        <v>0.52239999999999998</v>
      </c>
      <c r="E198">
        <v>2</v>
      </c>
      <c r="F198">
        <v>47</v>
      </c>
      <c r="G198">
        <v>49</v>
      </c>
    </row>
    <row r="199" spans="1:7" x14ac:dyDescent="0.3">
      <c r="A199">
        <v>198</v>
      </c>
      <c r="B199">
        <v>0.13639999999999999</v>
      </c>
      <c r="C199">
        <v>0.37</v>
      </c>
      <c r="D199">
        <v>0.44779999999999998</v>
      </c>
      <c r="E199">
        <v>4</v>
      </c>
      <c r="F199">
        <v>79</v>
      </c>
      <c r="G199">
        <v>83</v>
      </c>
    </row>
    <row r="200" spans="1:7" x14ac:dyDescent="0.3">
      <c r="A200">
        <v>199</v>
      </c>
      <c r="B200">
        <v>0.16669999999999999</v>
      </c>
      <c r="C200">
        <v>0.34</v>
      </c>
      <c r="D200">
        <v>0.44779999999999998</v>
      </c>
      <c r="E200">
        <v>6</v>
      </c>
      <c r="F200">
        <v>69</v>
      </c>
      <c r="G200">
        <v>75</v>
      </c>
    </row>
    <row r="201" spans="1:7" x14ac:dyDescent="0.3">
      <c r="A201">
        <v>200</v>
      </c>
      <c r="B201">
        <v>0.18179999999999999</v>
      </c>
      <c r="C201">
        <v>0.32</v>
      </c>
      <c r="D201">
        <v>0.4627</v>
      </c>
      <c r="E201">
        <v>8</v>
      </c>
      <c r="F201">
        <v>64</v>
      </c>
      <c r="G201">
        <v>72</v>
      </c>
    </row>
    <row r="202" spans="1:7" x14ac:dyDescent="0.3">
      <c r="A202">
        <v>201</v>
      </c>
      <c r="B202">
        <v>0.19700000000000001</v>
      </c>
      <c r="C202">
        <v>0.35</v>
      </c>
      <c r="D202">
        <v>0.35820000000000002</v>
      </c>
      <c r="E202">
        <v>5</v>
      </c>
      <c r="F202">
        <v>77</v>
      </c>
      <c r="G202">
        <v>82</v>
      </c>
    </row>
    <row r="203" spans="1:7" x14ac:dyDescent="0.3">
      <c r="A203">
        <v>202</v>
      </c>
      <c r="B203">
        <v>0.16669999999999999</v>
      </c>
      <c r="C203">
        <v>0.34</v>
      </c>
      <c r="D203">
        <v>0.44779999999999998</v>
      </c>
      <c r="E203">
        <v>13</v>
      </c>
      <c r="F203">
        <v>79</v>
      </c>
      <c r="G203">
        <v>92</v>
      </c>
    </row>
    <row r="204" spans="1:7" x14ac:dyDescent="0.3">
      <c r="A204">
        <v>203</v>
      </c>
      <c r="B204">
        <v>0.1515</v>
      </c>
      <c r="C204">
        <v>0.37</v>
      </c>
      <c r="D204">
        <v>0.3881</v>
      </c>
      <c r="E204">
        <v>3</v>
      </c>
      <c r="F204">
        <v>59</v>
      </c>
      <c r="G204">
        <v>62</v>
      </c>
    </row>
    <row r="205" spans="1:7" x14ac:dyDescent="0.3">
      <c r="A205">
        <v>204</v>
      </c>
      <c r="B205">
        <v>0.13639999999999999</v>
      </c>
      <c r="C205">
        <v>0.4</v>
      </c>
      <c r="D205">
        <v>0.32840000000000003</v>
      </c>
      <c r="E205">
        <v>4</v>
      </c>
      <c r="F205">
        <v>44</v>
      </c>
      <c r="G205">
        <v>48</v>
      </c>
    </row>
    <row r="206" spans="1:7" x14ac:dyDescent="0.3">
      <c r="A206">
        <v>205</v>
      </c>
      <c r="B206">
        <v>0.13639999999999999</v>
      </c>
      <c r="C206">
        <v>0.43</v>
      </c>
      <c r="D206">
        <v>0.32840000000000003</v>
      </c>
      <c r="E206">
        <v>1</v>
      </c>
      <c r="F206">
        <v>40</v>
      </c>
      <c r="G206">
        <v>41</v>
      </c>
    </row>
    <row r="207" spans="1:7" x14ac:dyDescent="0.3">
      <c r="A207">
        <v>206</v>
      </c>
      <c r="B207">
        <v>0.1212</v>
      </c>
      <c r="C207">
        <v>0.46</v>
      </c>
      <c r="D207">
        <v>0.25369999999999998</v>
      </c>
      <c r="E207">
        <v>0</v>
      </c>
      <c r="F207">
        <v>38</v>
      </c>
      <c r="G207">
        <v>38</v>
      </c>
    </row>
    <row r="208" spans="1:7" x14ac:dyDescent="0.3">
      <c r="A208">
        <v>207</v>
      </c>
      <c r="B208">
        <v>0.1061</v>
      </c>
      <c r="C208">
        <v>0.46</v>
      </c>
      <c r="D208">
        <v>0.41789999999999999</v>
      </c>
      <c r="E208">
        <v>1</v>
      </c>
      <c r="F208">
        <v>19</v>
      </c>
      <c r="G208">
        <v>20</v>
      </c>
    </row>
    <row r="209" spans="1:7" x14ac:dyDescent="0.3">
      <c r="A209">
        <v>208</v>
      </c>
      <c r="B209">
        <v>0.1212</v>
      </c>
      <c r="C209">
        <v>0.46</v>
      </c>
      <c r="D209">
        <v>0.29849999999999999</v>
      </c>
      <c r="E209">
        <v>5</v>
      </c>
      <c r="F209">
        <v>10</v>
      </c>
      <c r="G209">
        <v>15</v>
      </c>
    </row>
    <row r="210" spans="1:7" x14ac:dyDescent="0.3">
      <c r="A210">
        <v>209</v>
      </c>
      <c r="B210">
        <v>0.13639999999999999</v>
      </c>
      <c r="C210">
        <v>0.5</v>
      </c>
      <c r="D210">
        <v>0.19400000000000001</v>
      </c>
      <c r="E210">
        <v>0</v>
      </c>
      <c r="F210">
        <v>6</v>
      </c>
      <c r="G210">
        <v>6</v>
      </c>
    </row>
    <row r="211" spans="1:7" x14ac:dyDescent="0.3">
      <c r="A211">
        <v>210</v>
      </c>
      <c r="B211">
        <v>0.1212</v>
      </c>
      <c r="C211">
        <v>0.5</v>
      </c>
      <c r="D211">
        <v>0.28360000000000002</v>
      </c>
      <c r="E211">
        <v>2</v>
      </c>
      <c r="F211">
        <v>3</v>
      </c>
      <c r="G211">
        <v>5</v>
      </c>
    </row>
    <row r="212" spans="1:7" x14ac:dyDescent="0.3">
      <c r="A212">
        <v>211</v>
      </c>
      <c r="B212">
        <v>0.1212</v>
      </c>
      <c r="C212">
        <v>0.5</v>
      </c>
      <c r="D212">
        <v>0.28360000000000002</v>
      </c>
      <c r="E212">
        <v>1</v>
      </c>
      <c r="F212">
        <v>0</v>
      </c>
      <c r="G212">
        <v>1</v>
      </c>
    </row>
    <row r="213" spans="1:7" x14ac:dyDescent="0.3">
      <c r="A213">
        <v>212</v>
      </c>
      <c r="B213">
        <v>0.1212</v>
      </c>
      <c r="C213">
        <v>0.5</v>
      </c>
      <c r="D213">
        <v>0.22389999999999999</v>
      </c>
      <c r="E213">
        <v>0</v>
      </c>
      <c r="F213">
        <v>3</v>
      </c>
      <c r="G213">
        <v>3</v>
      </c>
    </row>
    <row r="214" spans="1:7" x14ac:dyDescent="0.3">
      <c r="A214">
        <v>213</v>
      </c>
      <c r="B214">
        <v>0.1212</v>
      </c>
      <c r="C214">
        <v>0.5</v>
      </c>
      <c r="D214">
        <v>0.22389999999999999</v>
      </c>
      <c r="E214">
        <v>0</v>
      </c>
      <c r="F214">
        <v>1</v>
      </c>
      <c r="G214">
        <v>1</v>
      </c>
    </row>
    <row r="215" spans="1:7" x14ac:dyDescent="0.3">
      <c r="A215">
        <v>214</v>
      </c>
      <c r="B215">
        <v>0.1212</v>
      </c>
      <c r="C215">
        <v>0.54</v>
      </c>
      <c r="D215">
        <v>0.1343</v>
      </c>
      <c r="E215">
        <v>1</v>
      </c>
      <c r="F215">
        <v>2</v>
      </c>
      <c r="G215">
        <v>3</v>
      </c>
    </row>
    <row r="216" spans="1:7" x14ac:dyDescent="0.3">
      <c r="A216">
        <v>215</v>
      </c>
      <c r="B216">
        <v>0.1061</v>
      </c>
      <c r="C216">
        <v>0.54</v>
      </c>
      <c r="D216">
        <v>0.25369999999999998</v>
      </c>
      <c r="E216">
        <v>0</v>
      </c>
      <c r="F216">
        <v>3</v>
      </c>
      <c r="G216">
        <v>3</v>
      </c>
    </row>
    <row r="217" spans="1:7" x14ac:dyDescent="0.3">
      <c r="A217">
        <v>216</v>
      </c>
      <c r="B217">
        <v>0.1212</v>
      </c>
      <c r="C217">
        <v>0.5</v>
      </c>
      <c r="D217">
        <v>0.28360000000000002</v>
      </c>
      <c r="E217">
        <v>0</v>
      </c>
      <c r="F217">
        <v>31</v>
      </c>
      <c r="G217">
        <v>31</v>
      </c>
    </row>
    <row r="218" spans="1:7" x14ac:dyDescent="0.3">
      <c r="A218">
        <v>217</v>
      </c>
      <c r="B218">
        <v>0.1212</v>
      </c>
      <c r="C218">
        <v>0.5</v>
      </c>
      <c r="D218">
        <v>0.22389999999999999</v>
      </c>
      <c r="E218">
        <v>2</v>
      </c>
      <c r="F218">
        <v>75</v>
      </c>
      <c r="G218">
        <v>77</v>
      </c>
    </row>
    <row r="219" spans="1:7" x14ac:dyDescent="0.3">
      <c r="A219">
        <v>218</v>
      </c>
      <c r="B219">
        <v>0.1212</v>
      </c>
      <c r="C219">
        <v>0.5</v>
      </c>
      <c r="D219">
        <v>0.28360000000000002</v>
      </c>
      <c r="E219">
        <v>4</v>
      </c>
      <c r="F219">
        <v>184</v>
      </c>
      <c r="G219">
        <v>188</v>
      </c>
    </row>
    <row r="220" spans="1:7" x14ac:dyDescent="0.3">
      <c r="A220">
        <v>219</v>
      </c>
      <c r="B220">
        <v>0.1212</v>
      </c>
      <c r="C220">
        <v>0.5</v>
      </c>
      <c r="D220">
        <v>0.25369999999999998</v>
      </c>
      <c r="E220">
        <v>2</v>
      </c>
      <c r="F220">
        <v>92</v>
      </c>
      <c r="G220">
        <v>94</v>
      </c>
    </row>
    <row r="221" spans="1:7" x14ac:dyDescent="0.3">
      <c r="A221">
        <v>220</v>
      </c>
      <c r="B221">
        <v>0.1212</v>
      </c>
      <c r="C221">
        <v>0.5</v>
      </c>
      <c r="D221">
        <v>0.29849999999999999</v>
      </c>
      <c r="E221">
        <v>0</v>
      </c>
      <c r="F221">
        <v>31</v>
      </c>
      <c r="G221">
        <v>31</v>
      </c>
    </row>
    <row r="222" spans="1:7" x14ac:dyDescent="0.3">
      <c r="A222">
        <v>221</v>
      </c>
      <c r="B222">
        <v>0.13639999999999999</v>
      </c>
      <c r="C222">
        <v>0.47</v>
      </c>
      <c r="D222">
        <v>0.28360000000000002</v>
      </c>
      <c r="E222">
        <v>2</v>
      </c>
      <c r="F222">
        <v>28</v>
      </c>
      <c r="G222">
        <v>30</v>
      </c>
    </row>
    <row r="223" spans="1:7" x14ac:dyDescent="0.3">
      <c r="A223">
        <v>222</v>
      </c>
      <c r="B223">
        <v>0.18179999999999999</v>
      </c>
      <c r="C223">
        <v>0.4</v>
      </c>
      <c r="D223">
        <v>0.28360000000000002</v>
      </c>
      <c r="E223">
        <v>5</v>
      </c>
      <c r="F223">
        <v>47</v>
      </c>
      <c r="G223">
        <v>52</v>
      </c>
    </row>
    <row r="224" spans="1:7" x14ac:dyDescent="0.3">
      <c r="A224">
        <v>223</v>
      </c>
      <c r="B224">
        <v>0.18179999999999999</v>
      </c>
      <c r="C224">
        <v>0.4</v>
      </c>
      <c r="D224">
        <v>0.28360000000000002</v>
      </c>
      <c r="E224">
        <v>4</v>
      </c>
      <c r="F224">
        <v>50</v>
      </c>
      <c r="G224">
        <v>54</v>
      </c>
    </row>
    <row r="225" spans="1:7" x14ac:dyDescent="0.3">
      <c r="A225">
        <v>224</v>
      </c>
      <c r="B225">
        <v>0.19700000000000001</v>
      </c>
      <c r="C225">
        <v>0.4</v>
      </c>
      <c r="D225">
        <v>0.22389999999999999</v>
      </c>
      <c r="E225">
        <v>0</v>
      </c>
      <c r="F225">
        <v>47</v>
      </c>
      <c r="G225">
        <v>47</v>
      </c>
    </row>
    <row r="226" spans="1:7" x14ac:dyDescent="0.3">
      <c r="A226">
        <v>225</v>
      </c>
      <c r="B226">
        <v>0.19700000000000001</v>
      </c>
      <c r="C226">
        <v>0.4</v>
      </c>
      <c r="D226">
        <v>0.22389999999999999</v>
      </c>
      <c r="E226">
        <v>2</v>
      </c>
      <c r="F226">
        <v>43</v>
      </c>
      <c r="G226">
        <v>45</v>
      </c>
    </row>
    <row r="227" spans="1:7" x14ac:dyDescent="0.3">
      <c r="A227">
        <v>226</v>
      </c>
      <c r="B227">
        <v>0.21210000000000001</v>
      </c>
      <c r="C227">
        <v>0.4</v>
      </c>
      <c r="D227">
        <v>0.1343</v>
      </c>
      <c r="E227">
        <v>4</v>
      </c>
      <c r="F227">
        <v>70</v>
      </c>
      <c r="G227">
        <v>74</v>
      </c>
    </row>
    <row r="228" spans="1:7" x14ac:dyDescent="0.3">
      <c r="A228">
        <v>227</v>
      </c>
      <c r="B228">
        <v>0.2273</v>
      </c>
      <c r="C228">
        <v>0.4</v>
      </c>
      <c r="D228">
        <v>0.1045</v>
      </c>
      <c r="E228">
        <v>4</v>
      </c>
      <c r="F228">
        <v>174</v>
      </c>
      <c r="G228">
        <v>178</v>
      </c>
    </row>
    <row r="229" spans="1:7" x14ac:dyDescent="0.3">
      <c r="A229">
        <v>228</v>
      </c>
      <c r="B229">
        <v>0.19700000000000001</v>
      </c>
      <c r="C229">
        <v>0.4</v>
      </c>
      <c r="D229">
        <v>0.22389999999999999</v>
      </c>
      <c r="E229">
        <v>1</v>
      </c>
      <c r="F229">
        <v>154</v>
      </c>
      <c r="G229">
        <v>155</v>
      </c>
    </row>
    <row r="230" spans="1:7" x14ac:dyDescent="0.3">
      <c r="A230">
        <v>229</v>
      </c>
      <c r="B230">
        <v>0.16669999999999999</v>
      </c>
      <c r="C230">
        <v>0.47</v>
      </c>
      <c r="D230">
        <v>0.16420000000000001</v>
      </c>
      <c r="E230">
        <v>3</v>
      </c>
      <c r="F230">
        <v>92</v>
      </c>
      <c r="G230">
        <v>95</v>
      </c>
    </row>
    <row r="231" spans="1:7" x14ac:dyDescent="0.3">
      <c r="A231">
        <v>230</v>
      </c>
      <c r="B231">
        <v>0.16669999999999999</v>
      </c>
      <c r="C231">
        <v>0.5</v>
      </c>
      <c r="D231">
        <v>0.16420000000000001</v>
      </c>
      <c r="E231">
        <v>1</v>
      </c>
      <c r="F231">
        <v>73</v>
      </c>
      <c r="G231">
        <v>74</v>
      </c>
    </row>
    <row r="232" spans="1:7" x14ac:dyDescent="0.3">
      <c r="A232">
        <v>231</v>
      </c>
      <c r="B232">
        <v>0.13639999999999999</v>
      </c>
      <c r="C232">
        <v>0.59</v>
      </c>
      <c r="D232">
        <v>0.19400000000000001</v>
      </c>
      <c r="E232">
        <v>1</v>
      </c>
      <c r="F232">
        <v>37</v>
      </c>
      <c r="G232">
        <v>38</v>
      </c>
    </row>
    <row r="233" spans="1:7" x14ac:dyDescent="0.3">
      <c r="A233">
        <v>232</v>
      </c>
      <c r="B233">
        <v>0.1515</v>
      </c>
      <c r="C233">
        <v>0.59</v>
      </c>
      <c r="D233">
        <v>0.16420000000000001</v>
      </c>
      <c r="E233">
        <v>2</v>
      </c>
      <c r="F233">
        <v>22</v>
      </c>
      <c r="G233">
        <v>24</v>
      </c>
    </row>
    <row r="234" spans="1:7" x14ac:dyDescent="0.3">
      <c r="A234">
        <v>233</v>
      </c>
      <c r="B234">
        <v>0.1515</v>
      </c>
      <c r="C234">
        <v>0.59</v>
      </c>
      <c r="D234">
        <v>0.16420000000000001</v>
      </c>
      <c r="E234">
        <v>0</v>
      </c>
      <c r="F234">
        <v>18</v>
      </c>
      <c r="G234">
        <v>18</v>
      </c>
    </row>
    <row r="235" spans="1:7" x14ac:dyDescent="0.3">
      <c r="A235">
        <v>234</v>
      </c>
      <c r="B235">
        <v>0.16669999999999999</v>
      </c>
      <c r="C235">
        <v>0.59</v>
      </c>
      <c r="D235">
        <v>0.1045</v>
      </c>
      <c r="E235">
        <v>2</v>
      </c>
      <c r="F235">
        <v>10</v>
      </c>
      <c r="G235">
        <v>12</v>
      </c>
    </row>
    <row r="236" spans="1:7" x14ac:dyDescent="0.3">
      <c r="A236">
        <v>235</v>
      </c>
      <c r="B236">
        <v>0.1515</v>
      </c>
      <c r="C236">
        <v>0.59</v>
      </c>
      <c r="D236">
        <v>0.16420000000000001</v>
      </c>
      <c r="E236">
        <v>0</v>
      </c>
      <c r="F236">
        <v>3</v>
      </c>
      <c r="G236">
        <v>3</v>
      </c>
    </row>
    <row r="237" spans="1:7" x14ac:dyDescent="0.3">
      <c r="A237">
        <v>236</v>
      </c>
      <c r="B237">
        <v>0.1515</v>
      </c>
      <c r="C237">
        <v>0.55000000000000004</v>
      </c>
      <c r="D237">
        <v>0.19400000000000001</v>
      </c>
      <c r="E237">
        <v>0</v>
      </c>
      <c r="F237">
        <v>3</v>
      </c>
      <c r="G237">
        <v>3</v>
      </c>
    </row>
    <row r="238" spans="1:7" x14ac:dyDescent="0.3">
      <c r="A238">
        <v>237</v>
      </c>
      <c r="B238">
        <v>0.18179999999999999</v>
      </c>
      <c r="C238">
        <v>0.55000000000000004</v>
      </c>
      <c r="D238">
        <v>0.1343</v>
      </c>
      <c r="E238">
        <v>0</v>
      </c>
      <c r="F238">
        <v>6</v>
      </c>
      <c r="G238">
        <v>6</v>
      </c>
    </row>
    <row r="239" spans="1:7" x14ac:dyDescent="0.3">
      <c r="A239">
        <v>238</v>
      </c>
      <c r="B239">
        <v>0.18179999999999999</v>
      </c>
      <c r="C239">
        <v>0.55000000000000004</v>
      </c>
      <c r="D239">
        <v>0.1343</v>
      </c>
      <c r="E239">
        <v>0</v>
      </c>
      <c r="F239">
        <v>27</v>
      </c>
      <c r="G239">
        <v>27</v>
      </c>
    </row>
    <row r="240" spans="1:7" x14ac:dyDescent="0.3">
      <c r="A240">
        <v>239</v>
      </c>
      <c r="B240">
        <v>0.2273</v>
      </c>
      <c r="C240">
        <v>0.55000000000000004</v>
      </c>
      <c r="D240">
        <v>0</v>
      </c>
      <c r="E240">
        <v>2</v>
      </c>
      <c r="F240">
        <v>97</v>
      </c>
      <c r="G240">
        <v>99</v>
      </c>
    </row>
    <row r="241" spans="1:7" x14ac:dyDescent="0.3">
      <c r="A241">
        <v>240</v>
      </c>
      <c r="B241">
        <v>0.21210000000000001</v>
      </c>
      <c r="C241">
        <v>0.51</v>
      </c>
      <c r="D241">
        <v>8.9599999999999999E-2</v>
      </c>
      <c r="E241">
        <v>3</v>
      </c>
      <c r="F241">
        <v>214</v>
      </c>
      <c r="G241">
        <v>217</v>
      </c>
    </row>
    <row r="242" spans="1:7" x14ac:dyDescent="0.3">
      <c r="A242">
        <v>241</v>
      </c>
      <c r="B242">
        <v>0.19700000000000001</v>
      </c>
      <c r="C242">
        <v>0.51</v>
      </c>
      <c r="D242">
        <v>0.16420000000000001</v>
      </c>
      <c r="E242">
        <v>3</v>
      </c>
      <c r="F242">
        <v>127</v>
      </c>
      <c r="G242">
        <v>130</v>
      </c>
    </row>
    <row r="243" spans="1:7" x14ac:dyDescent="0.3">
      <c r="A243">
        <v>242</v>
      </c>
      <c r="B243">
        <v>0.21210000000000001</v>
      </c>
      <c r="C243">
        <v>0.51</v>
      </c>
      <c r="D243">
        <v>0.16420000000000001</v>
      </c>
      <c r="E243">
        <v>3</v>
      </c>
      <c r="F243">
        <v>51</v>
      </c>
      <c r="G243">
        <v>54</v>
      </c>
    </row>
    <row r="244" spans="1:7" x14ac:dyDescent="0.3">
      <c r="A244">
        <v>243</v>
      </c>
      <c r="B244">
        <v>0.21210000000000001</v>
      </c>
      <c r="C244">
        <v>0.47</v>
      </c>
      <c r="D244">
        <v>0.1343</v>
      </c>
      <c r="E244">
        <v>4</v>
      </c>
      <c r="F244">
        <v>31</v>
      </c>
      <c r="G244">
        <v>35</v>
      </c>
    </row>
    <row r="245" spans="1:7" x14ac:dyDescent="0.3">
      <c r="A245">
        <v>244</v>
      </c>
      <c r="B245">
        <v>0.2273</v>
      </c>
      <c r="C245">
        <v>0.51</v>
      </c>
      <c r="D245">
        <v>0.1045</v>
      </c>
      <c r="E245">
        <v>2</v>
      </c>
      <c r="F245">
        <v>55</v>
      </c>
      <c r="G245">
        <v>57</v>
      </c>
    </row>
    <row r="246" spans="1:7" x14ac:dyDescent="0.3">
      <c r="A246">
        <v>245</v>
      </c>
      <c r="B246">
        <v>0.2273</v>
      </c>
      <c r="C246">
        <v>0.59</v>
      </c>
      <c r="D246">
        <v>8.9599999999999999E-2</v>
      </c>
      <c r="E246">
        <v>6</v>
      </c>
      <c r="F246">
        <v>46</v>
      </c>
      <c r="G246">
        <v>52</v>
      </c>
    </row>
    <row r="247" spans="1:7" x14ac:dyDescent="0.3">
      <c r="A247">
        <v>246</v>
      </c>
      <c r="B247">
        <v>0.2273</v>
      </c>
      <c r="C247">
        <v>0.59</v>
      </c>
      <c r="D247">
        <v>8.9599999999999999E-2</v>
      </c>
      <c r="E247">
        <v>3</v>
      </c>
      <c r="F247">
        <v>60</v>
      </c>
      <c r="G247">
        <v>63</v>
      </c>
    </row>
    <row r="248" spans="1:7" x14ac:dyDescent="0.3">
      <c r="A248">
        <v>247</v>
      </c>
      <c r="B248">
        <v>0.19700000000000001</v>
      </c>
      <c r="C248">
        <v>0.8</v>
      </c>
      <c r="D248">
        <v>8.9599999999999999E-2</v>
      </c>
      <c r="E248">
        <v>2</v>
      </c>
      <c r="F248">
        <v>45</v>
      </c>
      <c r="G248">
        <v>47</v>
      </c>
    </row>
    <row r="249" spans="1:7" x14ac:dyDescent="0.3">
      <c r="A249">
        <v>248</v>
      </c>
      <c r="B249">
        <v>0.1515</v>
      </c>
      <c r="C249">
        <v>0.86</v>
      </c>
      <c r="D249">
        <v>0.22389999999999999</v>
      </c>
      <c r="E249">
        <v>4</v>
      </c>
      <c r="F249">
        <v>72</v>
      </c>
      <c r="G249">
        <v>76</v>
      </c>
    </row>
    <row r="250" spans="1:7" x14ac:dyDescent="0.3">
      <c r="A250">
        <v>249</v>
      </c>
      <c r="B250">
        <v>0.1515</v>
      </c>
      <c r="C250">
        <v>0.86</v>
      </c>
      <c r="D250">
        <v>0.22389999999999999</v>
      </c>
      <c r="E250">
        <v>6</v>
      </c>
      <c r="F250">
        <v>130</v>
      </c>
      <c r="G250">
        <v>136</v>
      </c>
    </row>
    <row r="251" spans="1:7" x14ac:dyDescent="0.3">
      <c r="A251">
        <v>250</v>
      </c>
      <c r="B251">
        <v>0.18179999999999999</v>
      </c>
      <c r="C251">
        <v>0.93</v>
      </c>
      <c r="D251">
        <v>0.1045</v>
      </c>
      <c r="E251">
        <v>1</v>
      </c>
      <c r="F251">
        <v>94</v>
      </c>
      <c r="G251">
        <v>95</v>
      </c>
    </row>
    <row r="252" spans="1:7" x14ac:dyDescent="0.3">
      <c r="A252">
        <v>251</v>
      </c>
      <c r="B252">
        <v>0.2273</v>
      </c>
      <c r="C252">
        <v>0.93</v>
      </c>
      <c r="D252">
        <v>0</v>
      </c>
      <c r="E252">
        <v>0</v>
      </c>
      <c r="F252">
        <v>51</v>
      </c>
      <c r="G252">
        <v>51</v>
      </c>
    </row>
    <row r="253" spans="1:7" x14ac:dyDescent="0.3">
      <c r="A253">
        <v>252</v>
      </c>
      <c r="B253">
        <v>0.1515</v>
      </c>
      <c r="C253">
        <v>0.93</v>
      </c>
      <c r="D253">
        <v>0.19400000000000001</v>
      </c>
      <c r="E253">
        <v>0</v>
      </c>
      <c r="F253">
        <v>32</v>
      </c>
      <c r="G253">
        <v>32</v>
      </c>
    </row>
    <row r="254" spans="1:7" x14ac:dyDescent="0.3">
      <c r="A254">
        <v>253</v>
      </c>
      <c r="B254">
        <v>0.19700000000000001</v>
      </c>
      <c r="C254">
        <v>0.86</v>
      </c>
      <c r="D254">
        <v>8.9599999999999999E-2</v>
      </c>
      <c r="E254">
        <v>0</v>
      </c>
      <c r="F254">
        <v>20</v>
      </c>
      <c r="G254">
        <v>20</v>
      </c>
    </row>
    <row r="255" spans="1:7" x14ac:dyDescent="0.3">
      <c r="A255">
        <v>254</v>
      </c>
      <c r="B255">
        <v>0.18179999999999999</v>
      </c>
      <c r="C255">
        <v>0.93</v>
      </c>
      <c r="D255">
        <v>0.1045</v>
      </c>
      <c r="E255">
        <v>1</v>
      </c>
      <c r="F255">
        <v>28</v>
      </c>
      <c r="G255">
        <v>29</v>
      </c>
    </row>
    <row r="256" spans="1:7" x14ac:dyDescent="0.3">
      <c r="A256">
        <v>255</v>
      </c>
      <c r="B256">
        <v>0.19700000000000001</v>
      </c>
      <c r="C256">
        <v>0.93</v>
      </c>
      <c r="D256">
        <v>8.9599999999999999E-2</v>
      </c>
      <c r="E256">
        <v>1</v>
      </c>
      <c r="F256">
        <v>18</v>
      </c>
      <c r="G256">
        <v>19</v>
      </c>
    </row>
    <row r="257" spans="1:7" x14ac:dyDescent="0.3">
      <c r="A257">
        <v>256</v>
      </c>
      <c r="B257">
        <v>0.19700000000000001</v>
      </c>
      <c r="C257">
        <v>0.86</v>
      </c>
      <c r="D257">
        <v>8.9599999999999999E-2</v>
      </c>
      <c r="E257">
        <v>0</v>
      </c>
      <c r="F257">
        <v>7</v>
      </c>
      <c r="G257">
        <v>7</v>
      </c>
    </row>
    <row r="258" spans="1:7" x14ac:dyDescent="0.3">
      <c r="A258">
        <v>257</v>
      </c>
      <c r="B258">
        <v>0.18179999999999999</v>
      </c>
      <c r="C258">
        <v>0.86</v>
      </c>
      <c r="D258">
        <v>0.1045</v>
      </c>
      <c r="E258">
        <v>0</v>
      </c>
      <c r="F258">
        <v>6</v>
      </c>
      <c r="G258">
        <v>6</v>
      </c>
    </row>
    <row r="259" spans="1:7" x14ac:dyDescent="0.3">
      <c r="A259">
        <v>258</v>
      </c>
      <c r="B259">
        <v>0.1515</v>
      </c>
      <c r="C259">
        <v>0.86</v>
      </c>
      <c r="D259">
        <v>0.1343</v>
      </c>
      <c r="E259">
        <v>0</v>
      </c>
      <c r="F259">
        <v>1</v>
      </c>
      <c r="G259">
        <v>1</v>
      </c>
    </row>
    <row r="260" spans="1:7" x14ac:dyDescent="0.3">
      <c r="A260">
        <v>259</v>
      </c>
      <c r="B260">
        <v>0.1515</v>
      </c>
      <c r="C260">
        <v>0.86</v>
      </c>
      <c r="D260">
        <v>0.16420000000000001</v>
      </c>
      <c r="E260">
        <v>0</v>
      </c>
      <c r="F260">
        <v>5</v>
      </c>
      <c r="G260">
        <v>5</v>
      </c>
    </row>
    <row r="261" spans="1:7" x14ac:dyDescent="0.3">
      <c r="A261">
        <v>260</v>
      </c>
      <c r="B261">
        <v>0.1515</v>
      </c>
      <c r="C261">
        <v>0.93</v>
      </c>
      <c r="D261">
        <v>0.1343</v>
      </c>
      <c r="E261">
        <v>0</v>
      </c>
      <c r="F261">
        <v>16</v>
      </c>
      <c r="G261">
        <v>16</v>
      </c>
    </row>
    <row r="262" spans="1:7" x14ac:dyDescent="0.3">
      <c r="A262">
        <v>261</v>
      </c>
      <c r="B262">
        <v>0.1515</v>
      </c>
      <c r="C262">
        <v>0.69</v>
      </c>
      <c r="D262">
        <v>0.1343</v>
      </c>
      <c r="E262">
        <v>0</v>
      </c>
      <c r="F262">
        <v>54</v>
      </c>
      <c r="G262">
        <v>54</v>
      </c>
    </row>
    <row r="263" spans="1:7" x14ac:dyDescent="0.3">
      <c r="A263">
        <v>262</v>
      </c>
      <c r="B263">
        <v>0.16669999999999999</v>
      </c>
      <c r="C263">
        <v>0.59</v>
      </c>
      <c r="D263">
        <v>0.16420000000000001</v>
      </c>
      <c r="E263">
        <v>3</v>
      </c>
      <c r="F263">
        <v>125</v>
      </c>
      <c r="G263">
        <v>128</v>
      </c>
    </row>
    <row r="264" spans="1:7" x14ac:dyDescent="0.3">
      <c r="A264">
        <v>263</v>
      </c>
      <c r="B264">
        <v>0.13639999999999999</v>
      </c>
      <c r="C264">
        <v>0.59</v>
      </c>
      <c r="D264">
        <v>0.32840000000000003</v>
      </c>
      <c r="E264">
        <v>3</v>
      </c>
      <c r="F264">
        <v>78</v>
      </c>
      <c r="G264">
        <v>81</v>
      </c>
    </row>
    <row r="265" spans="1:7" x14ac:dyDescent="0.3">
      <c r="A265">
        <v>264</v>
      </c>
      <c r="B265">
        <v>0.18179999999999999</v>
      </c>
      <c r="C265">
        <v>0.55000000000000004</v>
      </c>
      <c r="D265">
        <v>0.22389999999999999</v>
      </c>
      <c r="E265">
        <v>0</v>
      </c>
      <c r="F265">
        <v>39</v>
      </c>
      <c r="G265">
        <v>39</v>
      </c>
    </row>
    <row r="266" spans="1:7" x14ac:dyDescent="0.3">
      <c r="A266">
        <v>265</v>
      </c>
      <c r="B266">
        <v>0.18179999999999999</v>
      </c>
      <c r="C266">
        <v>0.51</v>
      </c>
      <c r="D266">
        <v>0.3881</v>
      </c>
      <c r="E266">
        <v>3</v>
      </c>
      <c r="F266">
        <v>32</v>
      </c>
      <c r="G266">
        <v>35</v>
      </c>
    </row>
    <row r="267" spans="1:7" x14ac:dyDescent="0.3">
      <c r="A267">
        <v>266</v>
      </c>
      <c r="B267">
        <v>0.1515</v>
      </c>
      <c r="C267">
        <v>0.47</v>
      </c>
      <c r="D267">
        <v>0.58209999999999995</v>
      </c>
      <c r="E267">
        <v>3</v>
      </c>
      <c r="F267">
        <v>52</v>
      </c>
      <c r="G267">
        <v>55</v>
      </c>
    </row>
    <row r="268" spans="1:7" x14ac:dyDescent="0.3">
      <c r="A268">
        <v>267</v>
      </c>
      <c r="B268">
        <v>0.19700000000000001</v>
      </c>
      <c r="C268">
        <v>0.44</v>
      </c>
      <c r="D268">
        <v>0.35820000000000002</v>
      </c>
      <c r="E268">
        <v>0</v>
      </c>
      <c r="F268">
        <v>49</v>
      </c>
      <c r="G268">
        <v>49</v>
      </c>
    </row>
    <row r="269" spans="1:7" x14ac:dyDescent="0.3">
      <c r="A269">
        <v>268</v>
      </c>
      <c r="B269">
        <v>0.18179999999999999</v>
      </c>
      <c r="C269">
        <v>0.47</v>
      </c>
      <c r="D269">
        <v>0.32840000000000003</v>
      </c>
      <c r="E269">
        <v>0</v>
      </c>
      <c r="F269">
        <v>44</v>
      </c>
      <c r="G269">
        <v>44</v>
      </c>
    </row>
    <row r="270" spans="1:7" x14ac:dyDescent="0.3">
      <c r="A270">
        <v>269</v>
      </c>
      <c r="B270">
        <v>0.16669999999999999</v>
      </c>
      <c r="C270">
        <v>0.47</v>
      </c>
      <c r="D270">
        <v>0.41789999999999999</v>
      </c>
      <c r="E270">
        <v>1</v>
      </c>
      <c r="F270">
        <v>48</v>
      </c>
      <c r="G270">
        <v>49</v>
      </c>
    </row>
    <row r="271" spans="1:7" x14ac:dyDescent="0.3">
      <c r="A271">
        <v>270</v>
      </c>
      <c r="B271">
        <v>0.19700000000000001</v>
      </c>
      <c r="C271">
        <v>0.44</v>
      </c>
      <c r="D271">
        <v>0.32840000000000003</v>
      </c>
      <c r="E271">
        <v>5</v>
      </c>
      <c r="F271">
        <v>63</v>
      </c>
      <c r="G271">
        <v>68</v>
      </c>
    </row>
    <row r="272" spans="1:7" x14ac:dyDescent="0.3">
      <c r="A272">
        <v>271</v>
      </c>
      <c r="B272">
        <v>0.18179999999999999</v>
      </c>
      <c r="C272">
        <v>0.47</v>
      </c>
      <c r="D272">
        <v>0.35820000000000002</v>
      </c>
      <c r="E272">
        <v>0</v>
      </c>
      <c r="F272">
        <v>139</v>
      </c>
      <c r="G272">
        <v>139</v>
      </c>
    </row>
    <row r="273" spans="1:7" x14ac:dyDescent="0.3">
      <c r="A273">
        <v>272</v>
      </c>
      <c r="B273">
        <v>0.1515</v>
      </c>
      <c r="C273">
        <v>0.47</v>
      </c>
      <c r="D273">
        <v>0.52239999999999998</v>
      </c>
      <c r="E273">
        <v>2</v>
      </c>
      <c r="F273">
        <v>135</v>
      </c>
      <c r="G273">
        <v>137</v>
      </c>
    </row>
    <row r="274" spans="1:7" x14ac:dyDescent="0.3">
      <c r="A274">
        <v>273</v>
      </c>
      <c r="B274">
        <v>0.1515</v>
      </c>
      <c r="C274">
        <v>0.47</v>
      </c>
      <c r="D274">
        <v>0.41789999999999999</v>
      </c>
      <c r="E274">
        <v>1</v>
      </c>
      <c r="F274">
        <v>82</v>
      </c>
      <c r="G274">
        <v>83</v>
      </c>
    </row>
    <row r="275" spans="1:7" x14ac:dyDescent="0.3">
      <c r="A275">
        <v>274</v>
      </c>
      <c r="B275">
        <v>0.13639999999999999</v>
      </c>
      <c r="C275">
        <v>0.5</v>
      </c>
      <c r="D275">
        <v>0.32840000000000003</v>
      </c>
      <c r="E275">
        <v>2</v>
      </c>
      <c r="F275">
        <v>54</v>
      </c>
      <c r="G275">
        <v>56</v>
      </c>
    </row>
    <row r="276" spans="1:7" x14ac:dyDescent="0.3">
      <c r="A276">
        <v>275</v>
      </c>
      <c r="B276">
        <v>0.13639999999999999</v>
      </c>
      <c r="C276">
        <v>0.55000000000000004</v>
      </c>
      <c r="D276">
        <v>0.32840000000000003</v>
      </c>
      <c r="E276">
        <v>0</v>
      </c>
      <c r="F276">
        <v>57</v>
      </c>
      <c r="G276">
        <v>57</v>
      </c>
    </row>
    <row r="277" spans="1:7" x14ac:dyDescent="0.3">
      <c r="A277">
        <v>276</v>
      </c>
      <c r="B277">
        <v>0.1212</v>
      </c>
      <c r="C277">
        <v>0.55000000000000004</v>
      </c>
      <c r="D277">
        <v>0.44779999999999998</v>
      </c>
      <c r="E277">
        <v>1</v>
      </c>
      <c r="F277">
        <v>32</v>
      </c>
      <c r="G277">
        <v>33</v>
      </c>
    </row>
    <row r="278" spans="1:7" x14ac:dyDescent="0.3">
      <c r="A278">
        <v>277</v>
      </c>
      <c r="B278">
        <v>0.1061</v>
      </c>
      <c r="C278">
        <v>0.59</v>
      </c>
      <c r="D278">
        <v>0.41789999999999999</v>
      </c>
      <c r="E278">
        <v>1</v>
      </c>
      <c r="F278">
        <v>19</v>
      </c>
      <c r="G278">
        <v>20</v>
      </c>
    </row>
    <row r="279" spans="1:7" x14ac:dyDescent="0.3">
      <c r="A279">
        <v>278</v>
      </c>
      <c r="B279">
        <v>0.1212</v>
      </c>
      <c r="C279">
        <v>0.59</v>
      </c>
      <c r="D279">
        <v>0.28360000000000002</v>
      </c>
      <c r="E279">
        <v>1</v>
      </c>
      <c r="F279">
        <v>6</v>
      </c>
      <c r="G279">
        <v>7</v>
      </c>
    </row>
    <row r="280" spans="1:7" x14ac:dyDescent="0.3">
      <c r="A280">
        <v>279</v>
      </c>
      <c r="B280">
        <v>0.1212</v>
      </c>
      <c r="C280">
        <v>0.5</v>
      </c>
      <c r="D280">
        <v>0.28360000000000002</v>
      </c>
      <c r="E280">
        <v>0</v>
      </c>
      <c r="F280">
        <v>2</v>
      </c>
      <c r="G280">
        <v>2</v>
      </c>
    </row>
    <row r="281" spans="1:7" x14ac:dyDescent="0.3">
      <c r="A281">
        <v>280</v>
      </c>
      <c r="B281">
        <v>0.1212</v>
      </c>
      <c r="C281">
        <v>0.5</v>
      </c>
      <c r="D281">
        <v>0.35820000000000002</v>
      </c>
      <c r="E281">
        <v>0</v>
      </c>
      <c r="F281">
        <v>2</v>
      </c>
      <c r="G281">
        <v>2</v>
      </c>
    </row>
    <row r="282" spans="1:7" x14ac:dyDescent="0.3">
      <c r="A282">
        <v>281</v>
      </c>
      <c r="B282">
        <v>0.1212</v>
      </c>
      <c r="C282">
        <v>0.5</v>
      </c>
      <c r="D282">
        <v>0.32840000000000003</v>
      </c>
      <c r="E282">
        <v>0</v>
      </c>
      <c r="F282">
        <v>3</v>
      </c>
      <c r="G282">
        <v>3</v>
      </c>
    </row>
    <row r="283" spans="1:7" x14ac:dyDescent="0.3">
      <c r="A283">
        <v>282</v>
      </c>
      <c r="B283">
        <v>0.1212</v>
      </c>
      <c r="C283">
        <v>0.5</v>
      </c>
      <c r="D283">
        <v>0.25369999999999998</v>
      </c>
      <c r="E283">
        <v>0</v>
      </c>
      <c r="F283">
        <v>4</v>
      </c>
      <c r="G283">
        <v>4</v>
      </c>
    </row>
    <row r="284" spans="1:7" x14ac:dyDescent="0.3">
      <c r="A284">
        <v>283</v>
      </c>
      <c r="B284">
        <v>0.1212</v>
      </c>
      <c r="C284">
        <v>0.5</v>
      </c>
      <c r="D284">
        <v>0.29849999999999999</v>
      </c>
      <c r="E284">
        <v>0</v>
      </c>
      <c r="F284">
        <v>3</v>
      </c>
      <c r="G284">
        <v>3</v>
      </c>
    </row>
    <row r="285" spans="1:7" x14ac:dyDescent="0.3">
      <c r="A285">
        <v>284</v>
      </c>
      <c r="B285">
        <v>0.1515</v>
      </c>
      <c r="C285">
        <v>0.54</v>
      </c>
      <c r="D285">
        <v>0.1343</v>
      </c>
      <c r="E285">
        <v>0</v>
      </c>
      <c r="F285">
        <v>28</v>
      </c>
      <c r="G285">
        <v>28</v>
      </c>
    </row>
    <row r="286" spans="1:7" x14ac:dyDescent="0.3">
      <c r="A286">
        <v>285</v>
      </c>
      <c r="B286">
        <v>0.1515</v>
      </c>
      <c r="C286">
        <v>0.54</v>
      </c>
      <c r="D286">
        <v>0.1343</v>
      </c>
      <c r="E286">
        <v>0</v>
      </c>
      <c r="F286">
        <v>72</v>
      </c>
      <c r="G286">
        <v>72</v>
      </c>
    </row>
    <row r="287" spans="1:7" x14ac:dyDescent="0.3">
      <c r="A287">
        <v>286</v>
      </c>
      <c r="B287">
        <v>0.13639999999999999</v>
      </c>
      <c r="C287">
        <v>0.5</v>
      </c>
      <c r="D287">
        <v>0.19400000000000001</v>
      </c>
      <c r="E287">
        <v>5</v>
      </c>
      <c r="F287">
        <v>197</v>
      </c>
      <c r="G287">
        <v>202</v>
      </c>
    </row>
    <row r="288" spans="1:7" x14ac:dyDescent="0.3">
      <c r="A288">
        <v>287</v>
      </c>
      <c r="B288">
        <v>0.1212</v>
      </c>
      <c r="C288">
        <v>0.5</v>
      </c>
      <c r="D288">
        <v>0.32840000000000003</v>
      </c>
      <c r="E288">
        <v>2</v>
      </c>
      <c r="F288">
        <v>137</v>
      </c>
      <c r="G288">
        <v>139</v>
      </c>
    </row>
    <row r="289" spans="1:7" x14ac:dyDescent="0.3">
      <c r="A289">
        <v>288</v>
      </c>
      <c r="B289">
        <v>0.13639999999999999</v>
      </c>
      <c r="C289">
        <v>0.5</v>
      </c>
      <c r="D289">
        <v>0.35820000000000002</v>
      </c>
      <c r="E289">
        <v>2</v>
      </c>
      <c r="F289">
        <v>36</v>
      </c>
      <c r="G289">
        <v>38</v>
      </c>
    </row>
    <row r="290" spans="1:7" x14ac:dyDescent="0.3">
      <c r="A290">
        <v>289</v>
      </c>
      <c r="B290">
        <v>0.16669999999999999</v>
      </c>
      <c r="C290">
        <v>0.44</v>
      </c>
      <c r="D290">
        <v>0.44779999999999998</v>
      </c>
      <c r="E290">
        <v>4</v>
      </c>
      <c r="F290">
        <v>33</v>
      </c>
      <c r="G290">
        <v>37</v>
      </c>
    </row>
    <row r="291" spans="1:7" x14ac:dyDescent="0.3">
      <c r="A291">
        <v>290</v>
      </c>
      <c r="B291">
        <v>0.16669999999999999</v>
      </c>
      <c r="C291">
        <v>0.44</v>
      </c>
      <c r="D291">
        <v>0.41789999999999999</v>
      </c>
      <c r="E291">
        <v>3</v>
      </c>
      <c r="F291">
        <v>49</v>
      </c>
      <c r="G291">
        <v>52</v>
      </c>
    </row>
    <row r="292" spans="1:7" x14ac:dyDescent="0.3">
      <c r="A292">
        <v>291</v>
      </c>
      <c r="B292">
        <v>0.19700000000000001</v>
      </c>
      <c r="C292">
        <v>0.41</v>
      </c>
      <c r="D292">
        <v>0.44779999999999998</v>
      </c>
      <c r="E292">
        <v>2</v>
      </c>
      <c r="F292">
        <v>81</v>
      </c>
      <c r="G292">
        <v>83</v>
      </c>
    </row>
    <row r="293" spans="1:7" x14ac:dyDescent="0.3">
      <c r="A293">
        <v>292</v>
      </c>
      <c r="B293">
        <v>0.19700000000000001</v>
      </c>
      <c r="C293">
        <v>0.41</v>
      </c>
      <c r="D293">
        <v>0.3881</v>
      </c>
      <c r="E293">
        <v>3</v>
      </c>
      <c r="F293">
        <v>39</v>
      </c>
      <c r="G293">
        <v>42</v>
      </c>
    </row>
    <row r="294" spans="1:7" x14ac:dyDescent="0.3">
      <c r="A294">
        <v>293</v>
      </c>
      <c r="B294">
        <v>0.21210000000000001</v>
      </c>
      <c r="C294">
        <v>0.38</v>
      </c>
      <c r="D294">
        <v>0.29849999999999999</v>
      </c>
      <c r="E294">
        <v>5</v>
      </c>
      <c r="F294">
        <v>55</v>
      </c>
      <c r="G294">
        <v>60</v>
      </c>
    </row>
    <row r="295" spans="1:7" x14ac:dyDescent="0.3">
      <c r="A295">
        <v>294</v>
      </c>
      <c r="B295">
        <v>0.21210000000000001</v>
      </c>
      <c r="C295">
        <v>0.38</v>
      </c>
      <c r="D295">
        <v>0.35820000000000002</v>
      </c>
      <c r="E295">
        <v>2</v>
      </c>
      <c r="F295">
        <v>76</v>
      </c>
      <c r="G295">
        <v>78</v>
      </c>
    </row>
    <row r="296" spans="1:7" x14ac:dyDescent="0.3">
      <c r="A296">
        <v>295</v>
      </c>
      <c r="B296">
        <v>0.18179999999999999</v>
      </c>
      <c r="C296">
        <v>0.4</v>
      </c>
      <c r="D296">
        <v>0.28360000000000002</v>
      </c>
      <c r="E296">
        <v>4</v>
      </c>
      <c r="F296">
        <v>158</v>
      </c>
      <c r="G296">
        <v>162</v>
      </c>
    </row>
    <row r="297" spans="1:7" x14ac:dyDescent="0.3">
      <c r="A297">
        <v>296</v>
      </c>
      <c r="B297">
        <v>0.18179999999999999</v>
      </c>
      <c r="C297">
        <v>0.4</v>
      </c>
      <c r="D297">
        <v>0.32840000000000003</v>
      </c>
      <c r="E297">
        <v>3</v>
      </c>
      <c r="F297">
        <v>141</v>
      </c>
      <c r="G297">
        <v>144</v>
      </c>
    </row>
    <row r="298" spans="1:7" x14ac:dyDescent="0.3">
      <c r="A298">
        <v>297</v>
      </c>
      <c r="B298">
        <v>0.1515</v>
      </c>
      <c r="C298">
        <v>0.47</v>
      </c>
      <c r="D298">
        <v>0.25369999999999998</v>
      </c>
      <c r="E298">
        <v>1</v>
      </c>
      <c r="F298">
        <v>98</v>
      </c>
      <c r="G298">
        <v>99</v>
      </c>
    </row>
    <row r="299" spans="1:7" x14ac:dyDescent="0.3">
      <c r="A299">
        <v>298</v>
      </c>
      <c r="B299">
        <v>0.1515</v>
      </c>
      <c r="C299">
        <v>0.47</v>
      </c>
      <c r="D299">
        <v>0.22389999999999999</v>
      </c>
      <c r="E299">
        <v>0</v>
      </c>
      <c r="F299">
        <v>64</v>
      </c>
      <c r="G299">
        <v>64</v>
      </c>
    </row>
    <row r="300" spans="1:7" x14ac:dyDescent="0.3">
      <c r="A300">
        <v>299</v>
      </c>
      <c r="B300">
        <v>0.1212</v>
      </c>
      <c r="C300">
        <v>0.46</v>
      </c>
      <c r="D300">
        <v>0.29849999999999999</v>
      </c>
      <c r="E300">
        <v>0</v>
      </c>
      <c r="F300">
        <v>40</v>
      </c>
      <c r="G300">
        <v>40</v>
      </c>
    </row>
    <row r="301" spans="1:7" x14ac:dyDescent="0.3">
      <c r="A301">
        <v>300</v>
      </c>
      <c r="B301">
        <v>0.1212</v>
      </c>
      <c r="C301">
        <v>0.46</v>
      </c>
      <c r="D301">
        <v>0.32840000000000003</v>
      </c>
      <c r="E301">
        <v>0</v>
      </c>
      <c r="F301">
        <v>30</v>
      </c>
      <c r="G301">
        <v>30</v>
      </c>
    </row>
    <row r="302" spans="1:7" x14ac:dyDescent="0.3">
      <c r="A302">
        <v>301</v>
      </c>
      <c r="B302">
        <v>0.13639999999999999</v>
      </c>
      <c r="C302">
        <v>0.5</v>
      </c>
      <c r="D302">
        <v>0.19400000000000001</v>
      </c>
      <c r="E302">
        <v>1</v>
      </c>
      <c r="F302">
        <v>14</v>
      </c>
      <c r="G302">
        <v>15</v>
      </c>
    </row>
    <row r="303" spans="1:7" x14ac:dyDescent="0.3">
      <c r="A303">
        <v>302</v>
      </c>
      <c r="B303">
        <v>0.13639999999999999</v>
      </c>
      <c r="C303">
        <v>0.5</v>
      </c>
      <c r="D303">
        <v>0.19400000000000001</v>
      </c>
      <c r="E303">
        <v>0</v>
      </c>
      <c r="F303">
        <v>14</v>
      </c>
      <c r="G303">
        <v>14</v>
      </c>
    </row>
    <row r="304" spans="1:7" x14ac:dyDescent="0.3">
      <c r="A304">
        <v>303</v>
      </c>
      <c r="B304">
        <v>0.1212</v>
      </c>
      <c r="C304">
        <v>0.54</v>
      </c>
      <c r="D304">
        <v>0.16420000000000001</v>
      </c>
      <c r="E304">
        <v>0</v>
      </c>
      <c r="F304">
        <v>5</v>
      </c>
      <c r="G304">
        <v>5</v>
      </c>
    </row>
    <row r="305" spans="1:7" x14ac:dyDescent="0.3">
      <c r="A305">
        <v>304</v>
      </c>
      <c r="B305">
        <v>0.1212</v>
      </c>
      <c r="C305">
        <v>0.54</v>
      </c>
      <c r="D305">
        <v>0.1343</v>
      </c>
      <c r="E305">
        <v>0</v>
      </c>
      <c r="F305">
        <v>1</v>
      </c>
      <c r="G305">
        <v>1</v>
      </c>
    </row>
    <row r="306" spans="1:7" x14ac:dyDescent="0.3">
      <c r="A306">
        <v>305</v>
      </c>
      <c r="B306">
        <v>0.13639999999999999</v>
      </c>
      <c r="C306">
        <v>0.54</v>
      </c>
      <c r="D306">
        <v>0.1045</v>
      </c>
      <c r="E306">
        <v>0</v>
      </c>
      <c r="F306">
        <v>1</v>
      </c>
      <c r="G306">
        <v>1</v>
      </c>
    </row>
    <row r="307" spans="1:7" x14ac:dyDescent="0.3">
      <c r="A307">
        <v>306</v>
      </c>
      <c r="B307">
        <v>0.13639999999999999</v>
      </c>
      <c r="C307">
        <v>0.54</v>
      </c>
      <c r="D307">
        <v>8.9599999999999999E-2</v>
      </c>
      <c r="E307">
        <v>0</v>
      </c>
      <c r="F307">
        <v>8</v>
      </c>
      <c r="G307">
        <v>8</v>
      </c>
    </row>
    <row r="308" spans="1:7" x14ac:dyDescent="0.3">
      <c r="A308">
        <v>307</v>
      </c>
      <c r="B308">
        <v>0.18179999999999999</v>
      </c>
      <c r="C308">
        <v>0.54</v>
      </c>
      <c r="D308">
        <v>0</v>
      </c>
      <c r="E308">
        <v>0</v>
      </c>
      <c r="F308">
        <v>17</v>
      </c>
      <c r="G308">
        <v>17</v>
      </c>
    </row>
    <row r="309" spans="1:7" x14ac:dyDescent="0.3">
      <c r="A309">
        <v>308</v>
      </c>
      <c r="B309">
        <v>0.1212</v>
      </c>
      <c r="C309">
        <v>0.74</v>
      </c>
      <c r="D309">
        <v>0.16420000000000001</v>
      </c>
      <c r="E309">
        <v>0</v>
      </c>
      <c r="F309">
        <v>70</v>
      </c>
      <c r="G309">
        <v>70</v>
      </c>
    </row>
    <row r="310" spans="1:7" x14ac:dyDescent="0.3">
      <c r="A310">
        <v>309</v>
      </c>
      <c r="B310">
        <v>0.16669999999999999</v>
      </c>
      <c r="C310">
        <v>0.68</v>
      </c>
      <c r="D310">
        <v>0</v>
      </c>
      <c r="E310">
        <v>2</v>
      </c>
      <c r="F310">
        <v>156</v>
      </c>
      <c r="G310">
        <v>158</v>
      </c>
    </row>
    <row r="311" spans="1:7" x14ac:dyDescent="0.3">
      <c r="A311">
        <v>310</v>
      </c>
      <c r="B311">
        <v>0.1515</v>
      </c>
      <c r="C311">
        <v>0.69</v>
      </c>
      <c r="D311">
        <v>0.1343</v>
      </c>
      <c r="E311">
        <v>0</v>
      </c>
      <c r="F311">
        <v>117</v>
      </c>
      <c r="G311">
        <v>117</v>
      </c>
    </row>
    <row r="312" spans="1:7" x14ac:dyDescent="0.3">
      <c r="A312">
        <v>311</v>
      </c>
      <c r="B312">
        <v>0.18179999999999999</v>
      </c>
      <c r="C312">
        <v>0.55000000000000004</v>
      </c>
      <c r="D312">
        <v>0.19400000000000001</v>
      </c>
      <c r="E312">
        <v>4</v>
      </c>
      <c r="F312">
        <v>40</v>
      </c>
      <c r="G312">
        <v>44</v>
      </c>
    </row>
    <row r="313" spans="1:7" x14ac:dyDescent="0.3">
      <c r="A313">
        <v>312</v>
      </c>
      <c r="B313">
        <v>0.16669999999999999</v>
      </c>
      <c r="C313">
        <v>0.51</v>
      </c>
      <c r="D313">
        <v>0.28360000000000002</v>
      </c>
      <c r="E313">
        <v>6</v>
      </c>
      <c r="F313">
        <v>47</v>
      </c>
      <c r="G313">
        <v>53</v>
      </c>
    </row>
    <row r="314" spans="1:7" x14ac:dyDescent="0.3">
      <c r="A314">
        <v>313</v>
      </c>
      <c r="B314">
        <v>0.19700000000000001</v>
      </c>
      <c r="C314">
        <v>0.44</v>
      </c>
      <c r="D314">
        <v>0.25369999999999998</v>
      </c>
      <c r="E314">
        <v>2</v>
      </c>
      <c r="F314">
        <v>59</v>
      </c>
      <c r="G314">
        <v>61</v>
      </c>
    </row>
    <row r="315" spans="1:7" x14ac:dyDescent="0.3">
      <c r="A315">
        <v>314</v>
      </c>
      <c r="B315">
        <v>0.19700000000000001</v>
      </c>
      <c r="C315">
        <v>0.37</v>
      </c>
      <c r="D315">
        <v>0.3881</v>
      </c>
      <c r="E315">
        <v>4</v>
      </c>
      <c r="F315">
        <v>73</v>
      </c>
      <c r="G315">
        <v>77</v>
      </c>
    </row>
    <row r="316" spans="1:7" x14ac:dyDescent="0.3">
      <c r="A316">
        <v>315</v>
      </c>
      <c r="B316">
        <v>0.21210000000000001</v>
      </c>
      <c r="C316">
        <v>0.41</v>
      </c>
      <c r="D316">
        <v>0.28360000000000002</v>
      </c>
      <c r="E316">
        <v>5</v>
      </c>
      <c r="F316">
        <v>59</v>
      </c>
      <c r="G316">
        <v>64</v>
      </c>
    </row>
    <row r="317" spans="1:7" x14ac:dyDescent="0.3">
      <c r="A317">
        <v>316</v>
      </c>
      <c r="B317">
        <v>0.2424</v>
      </c>
      <c r="C317">
        <v>0.38</v>
      </c>
      <c r="D317">
        <v>0.16420000000000001</v>
      </c>
      <c r="E317">
        <v>9</v>
      </c>
      <c r="F317">
        <v>59</v>
      </c>
      <c r="G317">
        <v>68</v>
      </c>
    </row>
    <row r="318" spans="1:7" x14ac:dyDescent="0.3">
      <c r="A318">
        <v>317</v>
      </c>
      <c r="B318">
        <v>0.2424</v>
      </c>
      <c r="C318">
        <v>0.41</v>
      </c>
      <c r="D318">
        <v>0.1045</v>
      </c>
      <c r="E318">
        <v>3</v>
      </c>
      <c r="F318">
        <v>87</v>
      </c>
      <c r="G318">
        <v>90</v>
      </c>
    </row>
    <row r="319" spans="1:7" x14ac:dyDescent="0.3">
      <c r="A319">
        <v>318</v>
      </c>
      <c r="B319">
        <v>0.2273</v>
      </c>
      <c r="C319">
        <v>0.41</v>
      </c>
      <c r="D319">
        <v>0.16420000000000001</v>
      </c>
      <c r="E319">
        <v>4</v>
      </c>
      <c r="F319">
        <v>155</v>
      </c>
      <c r="G319">
        <v>159</v>
      </c>
    </row>
    <row r="320" spans="1:7" x14ac:dyDescent="0.3">
      <c r="A320">
        <v>319</v>
      </c>
      <c r="B320">
        <v>0.2576</v>
      </c>
      <c r="C320">
        <v>0.47</v>
      </c>
      <c r="D320">
        <v>0</v>
      </c>
      <c r="E320">
        <v>5</v>
      </c>
      <c r="F320">
        <v>134</v>
      </c>
      <c r="G320">
        <v>139</v>
      </c>
    </row>
    <row r="321" spans="1:7" x14ac:dyDescent="0.3">
      <c r="A321">
        <v>320</v>
      </c>
      <c r="B321">
        <v>0.19700000000000001</v>
      </c>
      <c r="C321">
        <v>0.59</v>
      </c>
      <c r="D321">
        <v>8.9599999999999999E-2</v>
      </c>
      <c r="E321">
        <v>3</v>
      </c>
      <c r="F321">
        <v>89</v>
      </c>
      <c r="G321">
        <v>92</v>
      </c>
    </row>
    <row r="322" spans="1:7" x14ac:dyDescent="0.3">
      <c r="A322">
        <v>321</v>
      </c>
      <c r="B322">
        <v>0.2424</v>
      </c>
      <c r="C322">
        <v>0.59</v>
      </c>
      <c r="D322">
        <v>0</v>
      </c>
      <c r="E322">
        <v>0</v>
      </c>
      <c r="F322">
        <v>68</v>
      </c>
      <c r="G322">
        <v>68</v>
      </c>
    </row>
    <row r="323" spans="1:7" x14ac:dyDescent="0.3">
      <c r="A323">
        <v>322</v>
      </c>
      <c r="B323">
        <v>0.2273</v>
      </c>
      <c r="C323">
        <v>0.69</v>
      </c>
      <c r="D323">
        <v>0</v>
      </c>
      <c r="E323">
        <v>4</v>
      </c>
      <c r="F323">
        <v>48</v>
      </c>
      <c r="G323">
        <v>52</v>
      </c>
    </row>
    <row r="324" spans="1:7" x14ac:dyDescent="0.3">
      <c r="A324">
        <v>323</v>
      </c>
      <c r="B324">
        <v>0.2273</v>
      </c>
      <c r="C324">
        <v>0.69</v>
      </c>
      <c r="D324">
        <v>0</v>
      </c>
      <c r="E324">
        <v>2</v>
      </c>
      <c r="F324">
        <v>34</v>
      </c>
      <c r="G324">
        <v>36</v>
      </c>
    </row>
    <row r="325" spans="1:7" x14ac:dyDescent="0.3">
      <c r="A325">
        <v>324</v>
      </c>
      <c r="B325">
        <v>0.2424</v>
      </c>
      <c r="C325">
        <v>0.55000000000000004</v>
      </c>
      <c r="D325">
        <v>0</v>
      </c>
      <c r="E325">
        <v>1</v>
      </c>
      <c r="F325">
        <v>26</v>
      </c>
      <c r="G325">
        <v>27</v>
      </c>
    </row>
    <row r="326" spans="1:7" x14ac:dyDescent="0.3">
      <c r="A326">
        <v>325</v>
      </c>
      <c r="B326">
        <v>0.2424</v>
      </c>
      <c r="C326">
        <v>0.55000000000000004</v>
      </c>
      <c r="D326">
        <v>0</v>
      </c>
      <c r="E326">
        <v>3</v>
      </c>
      <c r="F326">
        <v>25</v>
      </c>
      <c r="G326">
        <v>28</v>
      </c>
    </row>
    <row r="327" spans="1:7" x14ac:dyDescent="0.3">
      <c r="A327">
        <v>326</v>
      </c>
      <c r="B327">
        <v>0.19700000000000001</v>
      </c>
      <c r="C327">
        <v>0.59</v>
      </c>
      <c r="D327">
        <v>8.9599999999999999E-2</v>
      </c>
      <c r="E327">
        <v>2</v>
      </c>
      <c r="F327">
        <v>18</v>
      </c>
      <c r="G327">
        <v>20</v>
      </c>
    </row>
    <row r="328" spans="1:7" x14ac:dyDescent="0.3">
      <c r="A328">
        <v>327</v>
      </c>
      <c r="B328">
        <v>0.19700000000000001</v>
      </c>
      <c r="C328">
        <v>0.59</v>
      </c>
      <c r="D328">
        <v>8.9599999999999999E-2</v>
      </c>
      <c r="E328">
        <v>0</v>
      </c>
      <c r="F328">
        <v>12</v>
      </c>
      <c r="G328">
        <v>12</v>
      </c>
    </row>
    <row r="329" spans="1:7" x14ac:dyDescent="0.3">
      <c r="A329">
        <v>328</v>
      </c>
      <c r="B329">
        <v>0.2273</v>
      </c>
      <c r="C329">
        <v>0.59</v>
      </c>
      <c r="D329">
        <v>0</v>
      </c>
      <c r="E329">
        <v>1</v>
      </c>
      <c r="F329">
        <v>7</v>
      </c>
      <c r="G329">
        <v>8</v>
      </c>
    </row>
    <row r="330" spans="1:7" x14ac:dyDescent="0.3">
      <c r="A330">
        <v>329</v>
      </c>
      <c r="B330">
        <v>0.2273</v>
      </c>
      <c r="C330">
        <v>0.59</v>
      </c>
      <c r="D330">
        <v>0</v>
      </c>
      <c r="E330">
        <v>0</v>
      </c>
      <c r="F330">
        <v>5</v>
      </c>
      <c r="G330">
        <v>5</v>
      </c>
    </row>
    <row r="331" spans="1:7" x14ac:dyDescent="0.3">
      <c r="A331">
        <v>330</v>
      </c>
      <c r="B331">
        <v>0.2273</v>
      </c>
      <c r="C331">
        <v>0.59</v>
      </c>
      <c r="D331">
        <v>0</v>
      </c>
      <c r="E331">
        <v>0</v>
      </c>
      <c r="F331">
        <v>1</v>
      </c>
      <c r="G331">
        <v>1</v>
      </c>
    </row>
    <row r="332" spans="1:7" x14ac:dyDescent="0.3">
      <c r="A332">
        <v>331</v>
      </c>
      <c r="B332">
        <v>0.16669999999999999</v>
      </c>
      <c r="C332">
        <v>0.63</v>
      </c>
      <c r="D332">
        <v>0.1045</v>
      </c>
      <c r="E332">
        <v>1</v>
      </c>
      <c r="F332">
        <v>2</v>
      </c>
      <c r="G332">
        <v>3</v>
      </c>
    </row>
    <row r="333" spans="1:7" x14ac:dyDescent="0.3">
      <c r="A333">
        <v>332</v>
      </c>
      <c r="B333">
        <v>0.21210000000000001</v>
      </c>
      <c r="C333">
        <v>0.63</v>
      </c>
      <c r="D333">
        <v>0</v>
      </c>
      <c r="E333">
        <v>1</v>
      </c>
      <c r="F333">
        <v>9</v>
      </c>
      <c r="G333">
        <v>10</v>
      </c>
    </row>
    <row r="334" spans="1:7" x14ac:dyDescent="0.3">
      <c r="A334">
        <v>333</v>
      </c>
      <c r="B334">
        <v>0.1515</v>
      </c>
      <c r="C334">
        <v>0.63</v>
      </c>
      <c r="D334">
        <v>0.1343</v>
      </c>
      <c r="E334">
        <v>1</v>
      </c>
      <c r="F334">
        <v>22</v>
      </c>
      <c r="G334">
        <v>23</v>
      </c>
    </row>
    <row r="335" spans="1:7" x14ac:dyDescent="0.3">
      <c r="A335">
        <v>334</v>
      </c>
      <c r="B335">
        <v>0.18179999999999999</v>
      </c>
      <c r="C335">
        <v>0.64</v>
      </c>
      <c r="D335">
        <v>0.1343</v>
      </c>
      <c r="E335">
        <v>2</v>
      </c>
      <c r="F335">
        <v>31</v>
      </c>
      <c r="G335">
        <v>33</v>
      </c>
    </row>
    <row r="336" spans="1:7" x14ac:dyDescent="0.3">
      <c r="A336">
        <v>335</v>
      </c>
      <c r="B336">
        <v>0.19700000000000001</v>
      </c>
      <c r="C336">
        <v>0.59</v>
      </c>
      <c r="D336">
        <v>0.16420000000000001</v>
      </c>
      <c r="E336">
        <v>2</v>
      </c>
      <c r="F336">
        <v>57</v>
      </c>
      <c r="G336">
        <v>59</v>
      </c>
    </row>
    <row r="337" spans="1:7" x14ac:dyDescent="0.3">
      <c r="A337">
        <v>336</v>
      </c>
      <c r="B337">
        <v>0.19700000000000001</v>
      </c>
      <c r="C337">
        <v>0.55000000000000004</v>
      </c>
      <c r="D337">
        <v>0.22389999999999999</v>
      </c>
      <c r="E337">
        <v>18</v>
      </c>
      <c r="F337">
        <v>54</v>
      </c>
      <c r="G337">
        <v>72</v>
      </c>
    </row>
    <row r="338" spans="1:7" x14ac:dyDescent="0.3">
      <c r="A338">
        <v>337</v>
      </c>
      <c r="B338">
        <v>0.2273</v>
      </c>
      <c r="C338">
        <v>0.48</v>
      </c>
      <c r="D338">
        <v>0.22389999999999999</v>
      </c>
      <c r="E338">
        <v>15</v>
      </c>
      <c r="F338">
        <v>74</v>
      </c>
      <c r="G338">
        <v>89</v>
      </c>
    </row>
    <row r="339" spans="1:7" x14ac:dyDescent="0.3">
      <c r="A339">
        <v>338</v>
      </c>
      <c r="B339">
        <v>0.2576</v>
      </c>
      <c r="C339">
        <v>0.38</v>
      </c>
      <c r="D339">
        <v>0.29849999999999999</v>
      </c>
      <c r="E339">
        <v>21</v>
      </c>
      <c r="F339">
        <v>80</v>
      </c>
      <c r="G339">
        <v>101</v>
      </c>
    </row>
    <row r="340" spans="1:7" x14ac:dyDescent="0.3">
      <c r="A340">
        <v>339</v>
      </c>
      <c r="B340">
        <v>0.28789999999999999</v>
      </c>
      <c r="C340">
        <v>0.39</v>
      </c>
      <c r="D340">
        <v>0.28360000000000002</v>
      </c>
      <c r="E340">
        <v>26</v>
      </c>
      <c r="F340">
        <v>92</v>
      </c>
      <c r="G340">
        <v>118</v>
      </c>
    </row>
    <row r="341" spans="1:7" x14ac:dyDescent="0.3">
      <c r="A341">
        <v>340</v>
      </c>
      <c r="B341">
        <v>0.31819999999999998</v>
      </c>
      <c r="C341">
        <v>0.36</v>
      </c>
      <c r="D341">
        <v>0.19400000000000001</v>
      </c>
      <c r="E341">
        <v>21</v>
      </c>
      <c r="F341">
        <v>108</v>
      </c>
      <c r="G341">
        <v>129</v>
      </c>
    </row>
    <row r="342" spans="1:7" x14ac:dyDescent="0.3">
      <c r="A342">
        <v>341</v>
      </c>
      <c r="B342">
        <v>0.33329999999999999</v>
      </c>
      <c r="C342">
        <v>0.34</v>
      </c>
      <c r="D342">
        <v>0.19400000000000001</v>
      </c>
      <c r="E342">
        <v>33</v>
      </c>
      <c r="F342">
        <v>95</v>
      </c>
      <c r="G342">
        <v>128</v>
      </c>
    </row>
    <row r="343" spans="1:7" x14ac:dyDescent="0.3">
      <c r="A343">
        <v>342</v>
      </c>
      <c r="B343">
        <v>0.30299999999999999</v>
      </c>
      <c r="C343">
        <v>0.36</v>
      </c>
      <c r="D343">
        <v>0.28360000000000002</v>
      </c>
      <c r="E343">
        <v>29</v>
      </c>
      <c r="F343">
        <v>54</v>
      </c>
      <c r="G343">
        <v>83</v>
      </c>
    </row>
    <row r="344" spans="1:7" x14ac:dyDescent="0.3">
      <c r="A344">
        <v>343</v>
      </c>
      <c r="B344">
        <v>0.28789999999999999</v>
      </c>
      <c r="C344">
        <v>0.45</v>
      </c>
      <c r="D344">
        <v>0.25369999999999998</v>
      </c>
      <c r="E344">
        <v>15</v>
      </c>
      <c r="F344">
        <v>69</v>
      </c>
      <c r="G344">
        <v>84</v>
      </c>
    </row>
    <row r="345" spans="1:7" x14ac:dyDescent="0.3">
      <c r="A345">
        <v>344</v>
      </c>
      <c r="B345">
        <v>0.30299999999999999</v>
      </c>
      <c r="C345">
        <v>0.39</v>
      </c>
      <c r="D345">
        <v>0.25369999999999998</v>
      </c>
      <c r="E345">
        <v>14</v>
      </c>
      <c r="F345">
        <v>60</v>
      </c>
      <c r="G345">
        <v>74</v>
      </c>
    </row>
    <row r="346" spans="1:7" x14ac:dyDescent="0.3">
      <c r="A346">
        <v>345</v>
      </c>
      <c r="B346">
        <v>0.30299999999999999</v>
      </c>
      <c r="C346">
        <v>0.39</v>
      </c>
      <c r="D346">
        <v>0.25369999999999998</v>
      </c>
      <c r="E346">
        <v>6</v>
      </c>
      <c r="F346">
        <v>35</v>
      </c>
      <c r="G346">
        <v>41</v>
      </c>
    </row>
    <row r="347" spans="1:7" x14ac:dyDescent="0.3">
      <c r="A347">
        <v>346</v>
      </c>
      <c r="B347">
        <v>0.30299999999999999</v>
      </c>
      <c r="C347">
        <v>0.39</v>
      </c>
      <c r="D347">
        <v>0.22389999999999999</v>
      </c>
      <c r="E347">
        <v>6</v>
      </c>
      <c r="F347">
        <v>51</v>
      </c>
      <c r="G347">
        <v>57</v>
      </c>
    </row>
    <row r="348" spans="1:7" x14ac:dyDescent="0.3">
      <c r="A348">
        <v>347</v>
      </c>
      <c r="B348">
        <v>0.31819999999999998</v>
      </c>
      <c r="C348">
        <v>0.42</v>
      </c>
      <c r="D348">
        <v>0.1045</v>
      </c>
      <c r="E348">
        <v>0</v>
      </c>
      <c r="F348">
        <v>26</v>
      </c>
      <c r="G348">
        <v>26</v>
      </c>
    </row>
    <row r="349" spans="1:7" x14ac:dyDescent="0.3">
      <c r="A349">
        <v>348</v>
      </c>
      <c r="B349">
        <v>0.28789999999999999</v>
      </c>
      <c r="C349">
        <v>0.45</v>
      </c>
      <c r="D349">
        <v>0.28360000000000002</v>
      </c>
      <c r="E349">
        <v>5</v>
      </c>
      <c r="F349">
        <v>39</v>
      </c>
      <c r="G349">
        <v>44</v>
      </c>
    </row>
    <row r="350" spans="1:7" x14ac:dyDescent="0.3">
      <c r="A350">
        <v>349</v>
      </c>
      <c r="B350">
        <v>0.30299999999999999</v>
      </c>
      <c r="C350">
        <v>0.56000000000000005</v>
      </c>
      <c r="D350">
        <v>0</v>
      </c>
      <c r="E350">
        <v>6</v>
      </c>
      <c r="F350">
        <v>33</v>
      </c>
      <c r="G350">
        <v>39</v>
      </c>
    </row>
    <row r="351" spans="1:7" x14ac:dyDescent="0.3">
      <c r="A351">
        <v>350</v>
      </c>
      <c r="B351">
        <v>0.2727</v>
      </c>
      <c r="C351">
        <v>0.56000000000000005</v>
      </c>
      <c r="D351">
        <v>0.1343</v>
      </c>
      <c r="E351">
        <v>4</v>
      </c>
      <c r="F351">
        <v>19</v>
      </c>
      <c r="G351">
        <v>23</v>
      </c>
    </row>
    <row r="352" spans="1:7" x14ac:dyDescent="0.3">
      <c r="A352">
        <v>351</v>
      </c>
      <c r="B352">
        <v>0.28789999999999999</v>
      </c>
      <c r="C352">
        <v>0.56000000000000005</v>
      </c>
      <c r="D352">
        <v>8.9599999999999999E-2</v>
      </c>
      <c r="E352">
        <v>3</v>
      </c>
      <c r="F352">
        <v>13</v>
      </c>
      <c r="G352">
        <v>16</v>
      </c>
    </row>
    <row r="353" spans="1:7" x14ac:dyDescent="0.3">
      <c r="A353">
        <v>352</v>
      </c>
      <c r="B353">
        <v>0.2727</v>
      </c>
      <c r="C353">
        <v>0.69</v>
      </c>
      <c r="D353">
        <v>0</v>
      </c>
      <c r="E353">
        <v>9</v>
      </c>
      <c r="F353">
        <v>6</v>
      </c>
      <c r="G353">
        <v>15</v>
      </c>
    </row>
    <row r="354" spans="1:7" x14ac:dyDescent="0.3">
      <c r="A354">
        <v>353</v>
      </c>
      <c r="B354">
        <v>0.2576</v>
      </c>
      <c r="C354">
        <v>0.56000000000000005</v>
      </c>
      <c r="D354">
        <v>0.16420000000000001</v>
      </c>
      <c r="E354">
        <v>0</v>
      </c>
      <c r="F354">
        <v>1</v>
      </c>
      <c r="G354">
        <v>1</v>
      </c>
    </row>
    <row r="355" spans="1:7" x14ac:dyDescent="0.3">
      <c r="A355">
        <v>354</v>
      </c>
      <c r="B355">
        <v>0.2576</v>
      </c>
      <c r="C355">
        <v>0.56000000000000005</v>
      </c>
      <c r="D355">
        <v>0.16420000000000001</v>
      </c>
      <c r="E355">
        <v>1</v>
      </c>
      <c r="F355">
        <v>1</v>
      </c>
      <c r="G355">
        <v>2</v>
      </c>
    </row>
    <row r="356" spans="1:7" x14ac:dyDescent="0.3">
      <c r="A356">
        <v>355</v>
      </c>
      <c r="B356">
        <v>0.2576</v>
      </c>
      <c r="C356">
        <v>0.56000000000000005</v>
      </c>
      <c r="D356">
        <v>0.16420000000000001</v>
      </c>
      <c r="E356">
        <v>0</v>
      </c>
      <c r="F356">
        <v>1</v>
      </c>
      <c r="G356">
        <v>1</v>
      </c>
    </row>
    <row r="357" spans="1:7" x14ac:dyDescent="0.3">
      <c r="A357">
        <v>356</v>
      </c>
      <c r="B357">
        <v>0.21210000000000001</v>
      </c>
      <c r="C357">
        <v>0.56000000000000005</v>
      </c>
      <c r="D357">
        <v>0.29849999999999999</v>
      </c>
      <c r="E357">
        <v>0</v>
      </c>
      <c r="F357">
        <v>3</v>
      </c>
      <c r="G357">
        <v>3</v>
      </c>
    </row>
    <row r="358" spans="1:7" x14ac:dyDescent="0.3">
      <c r="A358">
        <v>357</v>
      </c>
      <c r="B358">
        <v>0.21210000000000001</v>
      </c>
      <c r="C358">
        <v>0.55000000000000004</v>
      </c>
      <c r="D358">
        <v>0.28360000000000002</v>
      </c>
      <c r="E358">
        <v>0</v>
      </c>
      <c r="F358">
        <v>18</v>
      </c>
      <c r="G358">
        <v>18</v>
      </c>
    </row>
    <row r="359" spans="1:7" x14ac:dyDescent="0.3">
      <c r="A359">
        <v>358</v>
      </c>
      <c r="B359">
        <v>0.21210000000000001</v>
      </c>
      <c r="C359">
        <v>0.51</v>
      </c>
      <c r="D359">
        <v>0.25369999999999998</v>
      </c>
      <c r="E359">
        <v>3</v>
      </c>
      <c r="F359">
        <v>29</v>
      </c>
      <c r="G359">
        <v>32</v>
      </c>
    </row>
    <row r="360" spans="1:7" x14ac:dyDescent="0.3">
      <c r="A360">
        <v>359</v>
      </c>
      <c r="B360">
        <v>0.21210000000000001</v>
      </c>
      <c r="C360">
        <v>0.51</v>
      </c>
      <c r="D360">
        <v>0.28360000000000002</v>
      </c>
      <c r="E360">
        <v>8</v>
      </c>
      <c r="F360">
        <v>71</v>
      </c>
      <c r="G360">
        <v>79</v>
      </c>
    </row>
    <row r="361" spans="1:7" x14ac:dyDescent="0.3">
      <c r="A361">
        <v>360</v>
      </c>
      <c r="B361">
        <v>0.2273</v>
      </c>
      <c r="C361">
        <v>0.44</v>
      </c>
      <c r="D361">
        <v>0.25369999999999998</v>
      </c>
      <c r="E361">
        <v>23</v>
      </c>
      <c r="F361">
        <v>70</v>
      </c>
      <c r="G361">
        <v>93</v>
      </c>
    </row>
    <row r="362" spans="1:7" x14ac:dyDescent="0.3">
      <c r="A362">
        <v>361</v>
      </c>
      <c r="B362">
        <v>0.21210000000000001</v>
      </c>
      <c r="C362">
        <v>0.41</v>
      </c>
      <c r="D362">
        <v>0.28360000000000002</v>
      </c>
      <c r="E362">
        <v>29</v>
      </c>
      <c r="F362">
        <v>75</v>
      </c>
      <c r="G362">
        <v>104</v>
      </c>
    </row>
    <row r="363" spans="1:7" x14ac:dyDescent="0.3">
      <c r="A363">
        <v>362</v>
      </c>
      <c r="B363">
        <v>0.2273</v>
      </c>
      <c r="C363">
        <v>0.35</v>
      </c>
      <c r="D363">
        <v>0.29849999999999999</v>
      </c>
      <c r="E363">
        <v>23</v>
      </c>
      <c r="F363">
        <v>95</v>
      </c>
      <c r="G363">
        <v>118</v>
      </c>
    </row>
    <row r="364" spans="1:7" x14ac:dyDescent="0.3">
      <c r="A364">
        <v>363</v>
      </c>
      <c r="B364">
        <v>0.2727</v>
      </c>
      <c r="C364">
        <v>0.36</v>
      </c>
      <c r="D364">
        <v>0.25369999999999998</v>
      </c>
      <c r="E364">
        <v>22</v>
      </c>
      <c r="F364">
        <v>69</v>
      </c>
      <c r="G364">
        <v>91</v>
      </c>
    </row>
    <row r="365" spans="1:7" x14ac:dyDescent="0.3">
      <c r="A365">
        <v>364</v>
      </c>
      <c r="B365">
        <v>0.2424</v>
      </c>
      <c r="C365">
        <v>0.38</v>
      </c>
      <c r="D365">
        <v>0.25369999999999998</v>
      </c>
      <c r="E365">
        <v>35</v>
      </c>
      <c r="F365">
        <v>78</v>
      </c>
      <c r="G365">
        <v>113</v>
      </c>
    </row>
    <row r="366" spans="1:7" x14ac:dyDescent="0.3">
      <c r="A366">
        <v>365</v>
      </c>
      <c r="B366">
        <v>0.2273</v>
      </c>
      <c r="C366">
        <v>0.38</v>
      </c>
      <c r="D366">
        <v>0.22389999999999999</v>
      </c>
      <c r="E366">
        <v>22</v>
      </c>
      <c r="F366">
        <v>77</v>
      </c>
      <c r="G366">
        <v>99</v>
      </c>
    </row>
    <row r="367" spans="1:7" x14ac:dyDescent="0.3">
      <c r="A367">
        <v>366</v>
      </c>
      <c r="B367">
        <v>0.21210000000000001</v>
      </c>
      <c r="C367">
        <v>0.37</v>
      </c>
      <c r="D367">
        <v>0.25369999999999998</v>
      </c>
      <c r="E367">
        <v>23</v>
      </c>
      <c r="F367">
        <v>82</v>
      </c>
      <c r="G367">
        <v>105</v>
      </c>
    </row>
    <row r="368" spans="1:7" x14ac:dyDescent="0.3">
      <c r="A368">
        <v>367</v>
      </c>
      <c r="B368">
        <v>0.21210000000000001</v>
      </c>
      <c r="C368">
        <v>0.4</v>
      </c>
      <c r="D368">
        <v>0.16420000000000001</v>
      </c>
      <c r="E368">
        <v>11</v>
      </c>
      <c r="F368">
        <v>56</v>
      </c>
      <c r="G368">
        <v>67</v>
      </c>
    </row>
    <row r="369" spans="1:7" x14ac:dyDescent="0.3">
      <c r="A369">
        <v>368</v>
      </c>
      <c r="B369">
        <v>0.19700000000000001</v>
      </c>
      <c r="C369">
        <v>0.47</v>
      </c>
      <c r="D369">
        <v>0.1343</v>
      </c>
      <c r="E369">
        <v>14</v>
      </c>
      <c r="F369">
        <v>47</v>
      </c>
      <c r="G369">
        <v>61</v>
      </c>
    </row>
    <row r="370" spans="1:7" x14ac:dyDescent="0.3">
      <c r="A370">
        <v>369</v>
      </c>
      <c r="B370">
        <v>0.19700000000000001</v>
      </c>
      <c r="C370">
        <v>0.47</v>
      </c>
      <c r="D370">
        <v>0.16420000000000001</v>
      </c>
      <c r="E370">
        <v>7</v>
      </c>
      <c r="F370">
        <v>50</v>
      </c>
      <c r="G370">
        <v>57</v>
      </c>
    </row>
    <row r="371" spans="1:7" x14ac:dyDescent="0.3">
      <c r="A371">
        <v>370</v>
      </c>
      <c r="B371">
        <v>0.19700000000000001</v>
      </c>
      <c r="C371">
        <v>0.51</v>
      </c>
      <c r="D371">
        <v>0.16420000000000001</v>
      </c>
      <c r="E371">
        <v>6</v>
      </c>
      <c r="F371">
        <v>22</v>
      </c>
      <c r="G371">
        <v>28</v>
      </c>
    </row>
    <row r="372" spans="1:7" x14ac:dyDescent="0.3">
      <c r="A372">
        <v>371</v>
      </c>
      <c r="B372">
        <v>0.21210000000000001</v>
      </c>
      <c r="C372">
        <v>0.49</v>
      </c>
      <c r="D372">
        <v>0.1343</v>
      </c>
      <c r="E372">
        <v>2</v>
      </c>
      <c r="F372">
        <v>19</v>
      </c>
      <c r="G372">
        <v>21</v>
      </c>
    </row>
    <row r="373" spans="1:7" x14ac:dyDescent="0.3">
      <c r="A373">
        <v>372</v>
      </c>
      <c r="B373">
        <v>0.2273</v>
      </c>
      <c r="C373">
        <v>0.4</v>
      </c>
      <c r="D373">
        <v>0.1045</v>
      </c>
      <c r="E373">
        <v>0</v>
      </c>
      <c r="F373">
        <v>18</v>
      </c>
      <c r="G373">
        <v>18</v>
      </c>
    </row>
    <row r="374" spans="1:7" x14ac:dyDescent="0.3">
      <c r="A374">
        <v>373</v>
      </c>
      <c r="B374">
        <v>0.19700000000000001</v>
      </c>
      <c r="C374">
        <v>0.47</v>
      </c>
      <c r="D374">
        <v>0.22389999999999999</v>
      </c>
      <c r="E374">
        <v>1</v>
      </c>
      <c r="F374">
        <v>16</v>
      </c>
      <c r="G374">
        <v>17</v>
      </c>
    </row>
    <row r="375" spans="1:7" x14ac:dyDescent="0.3">
      <c r="A375">
        <v>374</v>
      </c>
      <c r="B375">
        <v>0.19700000000000001</v>
      </c>
      <c r="C375">
        <v>0.44</v>
      </c>
      <c r="D375">
        <v>0.19400000000000001</v>
      </c>
      <c r="E375">
        <v>1</v>
      </c>
      <c r="F375">
        <v>15</v>
      </c>
      <c r="G375">
        <v>16</v>
      </c>
    </row>
    <row r="376" spans="1:7" x14ac:dyDescent="0.3">
      <c r="A376">
        <v>375</v>
      </c>
      <c r="B376">
        <v>0.16669999999999999</v>
      </c>
      <c r="C376">
        <v>0.43</v>
      </c>
      <c r="D376">
        <v>0.25369999999999998</v>
      </c>
      <c r="E376">
        <v>0</v>
      </c>
      <c r="F376">
        <v>8</v>
      </c>
      <c r="G376">
        <v>8</v>
      </c>
    </row>
    <row r="377" spans="1:7" x14ac:dyDescent="0.3">
      <c r="A377">
        <v>376</v>
      </c>
      <c r="B377">
        <v>0.18179999999999999</v>
      </c>
      <c r="C377">
        <v>0.43</v>
      </c>
      <c r="D377">
        <v>0.19400000000000001</v>
      </c>
      <c r="E377">
        <v>0</v>
      </c>
      <c r="F377">
        <v>2</v>
      </c>
      <c r="G377">
        <v>2</v>
      </c>
    </row>
    <row r="378" spans="1:7" x14ac:dyDescent="0.3">
      <c r="A378">
        <v>377</v>
      </c>
      <c r="B378">
        <v>0.19700000000000001</v>
      </c>
      <c r="C378">
        <v>0.43</v>
      </c>
      <c r="D378">
        <v>0.1343</v>
      </c>
      <c r="E378">
        <v>1</v>
      </c>
      <c r="F378">
        <v>2</v>
      </c>
      <c r="G378">
        <v>3</v>
      </c>
    </row>
    <row r="379" spans="1:7" x14ac:dyDescent="0.3">
      <c r="A379">
        <v>378</v>
      </c>
      <c r="B379">
        <v>0.19700000000000001</v>
      </c>
      <c r="C379">
        <v>0.43</v>
      </c>
      <c r="D379">
        <v>0.16420000000000001</v>
      </c>
      <c r="E379">
        <v>0</v>
      </c>
      <c r="F379">
        <v>1</v>
      </c>
      <c r="G379">
        <v>1</v>
      </c>
    </row>
    <row r="380" spans="1:7" x14ac:dyDescent="0.3">
      <c r="A380">
        <v>379</v>
      </c>
      <c r="B380">
        <v>0.18179999999999999</v>
      </c>
      <c r="C380">
        <v>0.43</v>
      </c>
      <c r="D380">
        <v>0.19400000000000001</v>
      </c>
      <c r="E380">
        <v>0</v>
      </c>
      <c r="F380">
        <v>5</v>
      </c>
      <c r="G380">
        <v>5</v>
      </c>
    </row>
    <row r="381" spans="1:7" x14ac:dyDescent="0.3">
      <c r="A381">
        <v>380</v>
      </c>
      <c r="B381">
        <v>0.18179999999999999</v>
      </c>
      <c r="C381">
        <v>0.5</v>
      </c>
      <c r="D381">
        <v>0.1343</v>
      </c>
      <c r="E381">
        <v>4</v>
      </c>
      <c r="F381">
        <v>9</v>
      </c>
      <c r="G381">
        <v>13</v>
      </c>
    </row>
    <row r="382" spans="1:7" x14ac:dyDescent="0.3">
      <c r="A382">
        <v>381</v>
      </c>
      <c r="B382">
        <v>0.1515</v>
      </c>
      <c r="C382">
        <v>0.47</v>
      </c>
      <c r="D382">
        <v>0.22389999999999999</v>
      </c>
      <c r="E382">
        <v>3</v>
      </c>
      <c r="F382">
        <v>30</v>
      </c>
      <c r="G382">
        <v>33</v>
      </c>
    </row>
    <row r="383" spans="1:7" x14ac:dyDescent="0.3">
      <c r="A383">
        <v>382</v>
      </c>
      <c r="B383">
        <v>0.1515</v>
      </c>
      <c r="C383">
        <v>0.47</v>
      </c>
      <c r="D383">
        <v>0.22389999999999999</v>
      </c>
      <c r="E383">
        <v>8</v>
      </c>
      <c r="F383">
        <v>39</v>
      </c>
      <c r="G383">
        <v>47</v>
      </c>
    </row>
    <row r="384" spans="1:7" x14ac:dyDescent="0.3">
      <c r="A384">
        <v>383</v>
      </c>
      <c r="B384">
        <v>0.1515</v>
      </c>
      <c r="C384">
        <v>0.5</v>
      </c>
      <c r="D384">
        <v>0.25369999999999998</v>
      </c>
      <c r="E384">
        <v>7</v>
      </c>
      <c r="F384">
        <v>50</v>
      </c>
      <c r="G384">
        <v>57</v>
      </c>
    </row>
    <row r="385" spans="1:7" x14ac:dyDescent="0.3">
      <c r="A385">
        <v>384</v>
      </c>
      <c r="B385">
        <v>0.1515</v>
      </c>
      <c r="C385">
        <v>0.55000000000000004</v>
      </c>
      <c r="D385">
        <v>0.19400000000000001</v>
      </c>
      <c r="E385">
        <v>9</v>
      </c>
      <c r="F385">
        <v>55</v>
      </c>
      <c r="G385">
        <v>64</v>
      </c>
    </row>
    <row r="386" spans="1:7" x14ac:dyDescent="0.3">
      <c r="A386">
        <v>385</v>
      </c>
      <c r="B386">
        <v>0.19700000000000001</v>
      </c>
      <c r="C386">
        <v>0.47</v>
      </c>
      <c r="D386">
        <v>0.1343</v>
      </c>
      <c r="E386">
        <v>10</v>
      </c>
      <c r="F386">
        <v>70</v>
      </c>
      <c r="G386">
        <v>80</v>
      </c>
    </row>
    <row r="387" spans="1:7" x14ac:dyDescent="0.3">
      <c r="A387">
        <v>386</v>
      </c>
      <c r="B387">
        <v>0.19700000000000001</v>
      </c>
      <c r="C387">
        <v>0.47</v>
      </c>
      <c r="D387">
        <v>0.1343</v>
      </c>
      <c r="E387">
        <v>13</v>
      </c>
      <c r="F387">
        <v>80</v>
      </c>
      <c r="G387">
        <v>93</v>
      </c>
    </row>
    <row r="388" spans="1:7" x14ac:dyDescent="0.3">
      <c r="A388">
        <v>387</v>
      </c>
      <c r="B388">
        <v>0.21210000000000001</v>
      </c>
      <c r="C388">
        <v>0.43</v>
      </c>
      <c r="D388">
        <v>0.1045</v>
      </c>
      <c r="E388">
        <v>12</v>
      </c>
      <c r="F388">
        <v>74</v>
      </c>
      <c r="G388">
        <v>86</v>
      </c>
    </row>
    <row r="389" spans="1:7" x14ac:dyDescent="0.3">
      <c r="A389">
        <v>388</v>
      </c>
      <c r="B389">
        <v>0.21210000000000001</v>
      </c>
      <c r="C389">
        <v>0.47</v>
      </c>
      <c r="D389">
        <v>0.16420000000000001</v>
      </c>
      <c r="E389">
        <v>21</v>
      </c>
      <c r="F389">
        <v>72</v>
      </c>
      <c r="G389">
        <v>93</v>
      </c>
    </row>
    <row r="390" spans="1:7" x14ac:dyDescent="0.3">
      <c r="A390">
        <v>389</v>
      </c>
      <c r="B390">
        <v>0.21210000000000001</v>
      </c>
      <c r="C390">
        <v>0.47</v>
      </c>
      <c r="D390">
        <v>0.16420000000000001</v>
      </c>
      <c r="E390">
        <v>6</v>
      </c>
      <c r="F390">
        <v>76</v>
      </c>
      <c r="G390">
        <v>82</v>
      </c>
    </row>
    <row r="391" spans="1:7" x14ac:dyDescent="0.3">
      <c r="A391">
        <v>390</v>
      </c>
      <c r="B391">
        <v>0.19700000000000001</v>
      </c>
      <c r="C391">
        <v>0.51</v>
      </c>
      <c r="D391">
        <v>0.19400000000000001</v>
      </c>
      <c r="E391">
        <v>4</v>
      </c>
      <c r="F391">
        <v>67</v>
      </c>
      <c r="G391">
        <v>71</v>
      </c>
    </row>
    <row r="392" spans="1:7" x14ac:dyDescent="0.3">
      <c r="A392">
        <v>391</v>
      </c>
      <c r="B392">
        <v>0.16669999999999999</v>
      </c>
      <c r="C392">
        <v>0.55000000000000004</v>
      </c>
      <c r="D392">
        <v>0.25369999999999998</v>
      </c>
      <c r="E392">
        <v>7</v>
      </c>
      <c r="F392">
        <v>85</v>
      </c>
      <c r="G392">
        <v>92</v>
      </c>
    </row>
    <row r="393" spans="1:7" x14ac:dyDescent="0.3">
      <c r="A393">
        <v>392</v>
      </c>
      <c r="B393">
        <v>0.18179999999999999</v>
      </c>
      <c r="C393">
        <v>0.59</v>
      </c>
      <c r="D393">
        <v>0.19400000000000001</v>
      </c>
      <c r="E393">
        <v>2</v>
      </c>
      <c r="F393">
        <v>58</v>
      </c>
      <c r="G393">
        <v>60</v>
      </c>
    </row>
    <row r="394" spans="1:7" x14ac:dyDescent="0.3">
      <c r="A394">
        <v>393</v>
      </c>
      <c r="B394">
        <v>0.1515</v>
      </c>
      <c r="C394">
        <v>0.8</v>
      </c>
      <c r="D394">
        <v>0.19400000000000001</v>
      </c>
      <c r="E394">
        <v>4</v>
      </c>
      <c r="F394">
        <v>29</v>
      </c>
      <c r="G394">
        <v>33</v>
      </c>
    </row>
    <row r="395" spans="1:7" x14ac:dyDescent="0.3">
      <c r="A395">
        <v>394</v>
      </c>
      <c r="B395">
        <v>0.1515</v>
      </c>
      <c r="C395">
        <v>0.8</v>
      </c>
      <c r="D395">
        <v>0.19400000000000001</v>
      </c>
      <c r="E395">
        <v>3</v>
      </c>
      <c r="F395">
        <v>24</v>
      </c>
      <c r="G395">
        <v>27</v>
      </c>
    </row>
    <row r="396" spans="1:7" x14ac:dyDescent="0.3">
      <c r="A396">
        <v>395</v>
      </c>
      <c r="B396">
        <v>0.1212</v>
      </c>
      <c r="C396">
        <v>0.93</v>
      </c>
      <c r="D396">
        <v>0.25369999999999998</v>
      </c>
      <c r="E396">
        <v>0</v>
      </c>
      <c r="F396">
        <v>13</v>
      </c>
      <c r="G396">
        <v>13</v>
      </c>
    </row>
    <row r="397" spans="1:7" x14ac:dyDescent="0.3">
      <c r="A397">
        <v>396</v>
      </c>
      <c r="B397">
        <v>0.13639999999999999</v>
      </c>
      <c r="C397">
        <v>0.86</v>
      </c>
      <c r="D397">
        <v>0.28360000000000002</v>
      </c>
      <c r="E397">
        <v>1</v>
      </c>
      <c r="F397">
        <v>3</v>
      </c>
      <c r="G397">
        <v>4</v>
      </c>
    </row>
    <row r="398" spans="1:7" x14ac:dyDescent="0.3">
      <c r="A398">
        <v>397</v>
      </c>
      <c r="B398">
        <v>0.18179999999999999</v>
      </c>
      <c r="C398">
        <v>0.86</v>
      </c>
      <c r="D398">
        <v>0.32840000000000003</v>
      </c>
      <c r="E398">
        <v>0</v>
      </c>
      <c r="F398">
        <v>3</v>
      </c>
      <c r="G398">
        <v>3</v>
      </c>
    </row>
    <row r="399" spans="1:7" x14ac:dyDescent="0.3">
      <c r="A399">
        <v>398</v>
      </c>
      <c r="B399">
        <v>0.19700000000000001</v>
      </c>
      <c r="C399">
        <v>0.86</v>
      </c>
      <c r="D399">
        <v>0.22389999999999999</v>
      </c>
      <c r="E399">
        <v>0</v>
      </c>
      <c r="F399">
        <v>22</v>
      </c>
      <c r="G399">
        <v>22</v>
      </c>
    </row>
    <row r="400" spans="1:7" x14ac:dyDescent="0.3">
      <c r="A400">
        <v>399</v>
      </c>
      <c r="B400">
        <v>0.2273</v>
      </c>
      <c r="C400">
        <v>0.8</v>
      </c>
      <c r="D400">
        <v>0.16420000000000001</v>
      </c>
      <c r="E400">
        <v>2</v>
      </c>
      <c r="F400">
        <v>26</v>
      </c>
      <c r="G400">
        <v>28</v>
      </c>
    </row>
    <row r="401" spans="1:7" x14ac:dyDescent="0.3">
      <c r="A401">
        <v>400</v>
      </c>
      <c r="B401">
        <v>0.2273</v>
      </c>
      <c r="C401">
        <v>0.87</v>
      </c>
      <c r="D401">
        <v>0.16420000000000001</v>
      </c>
      <c r="E401">
        <v>3</v>
      </c>
      <c r="F401">
        <v>32</v>
      </c>
      <c r="G401">
        <v>35</v>
      </c>
    </row>
    <row r="402" spans="1:7" x14ac:dyDescent="0.3">
      <c r="A402">
        <v>401</v>
      </c>
      <c r="B402">
        <v>0.2273</v>
      </c>
      <c r="C402">
        <v>0.87</v>
      </c>
      <c r="D402">
        <v>0.19400000000000001</v>
      </c>
      <c r="E402">
        <v>0</v>
      </c>
      <c r="F402">
        <v>61</v>
      </c>
      <c r="G402">
        <v>61</v>
      </c>
    </row>
    <row r="403" spans="1:7" x14ac:dyDescent="0.3">
      <c r="A403">
        <v>402</v>
      </c>
      <c r="B403">
        <v>0.2273</v>
      </c>
      <c r="C403">
        <v>0.82</v>
      </c>
      <c r="D403">
        <v>0.19400000000000001</v>
      </c>
      <c r="E403">
        <v>1</v>
      </c>
      <c r="F403">
        <v>124</v>
      </c>
      <c r="G403">
        <v>125</v>
      </c>
    </row>
    <row r="404" spans="1:7" x14ac:dyDescent="0.3">
      <c r="A404">
        <v>403</v>
      </c>
      <c r="B404">
        <v>0.2273</v>
      </c>
      <c r="C404">
        <v>0.8</v>
      </c>
      <c r="D404">
        <v>0.16420000000000001</v>
      </c>
      <c r="E404">
        <v>1</v>
      </c>
      <c r="F404">
        <v>132</v>
      </c>
      <c r="G404">
        <v>133</v>
      </c>
    </row>
    <row r="405" spans="1:7" x14ac:dyDescent="0.3">
      <c r="A405">
        <v>404</v>
      </c>
      <c r="B405">
        <v>0.2273</v>
      </c>
      <c r="C405">
        <v>0.8</v>
      </c>
      <c r="D405">
        <v>0.1343</v>
      </c>
      <c r="E405">
        <v>1</v>
      </c>
      <c r="F405">
        <v>98</v>
      </c>
      <c r="G405">
        <v>99</v>
      </c>
    </row>
    <row r="406" spans="1:7" x14ac:dyDescent="0.3">
      <c r="A406">
        <v>405</v>
      </c>
      <c r="B406">
        <v>0.2727</v>
      </c>
      <c r="C406">
        <v>0.87</v>
      </c>
      <c r="D406">
        <v>0</v>
      </c>
      <c r="E406">
        <v>0</v>
      </c>
      <c r="F406">
        <v>83</v>
      </c>
      <c r="G406">
        <v>83</v>
      </c>
    </row>
    <row r="407" spans="1:7" x14ac:dyDescent="0.3">
      <c r="A407">
        <v>406</v>
      </c>
      <c r="B407">
        <v>0.2424</v>
      </c>
      <c r="C407">
        <v>0.93</v>
      </c>
      <c r="D407">
        <v>0.1045</v>
      </c>
      <c r="E407">
        <v>0</v>
      </c>
      <c r="F407">
        <v>41</v>
      </c>
      <c r="G407">
        <v>41</v>
      </c>
    </row>
    <row r="408" spans="1:7" x14ac:dyDescent="0.3">
      <c r="A408">
        <v>407</v>
      </c>
      <c r="B408">
        <v>0.2576</v>
      </c>
      <c r="C408">
        <v>0.93</v>
      </c>
      <c r="D408">
        <v>8.9599999999999999E-2</v>
      </c>
      <c r="E408">
        <v>0</v>
      </c>
      <c r="F408">
        <v>33</v>
      </c>
      <c r="G408">
        <v>33</v>
      </c>
    </row>
    <row r="409" spans="1:7" x14ac:dyDescent="0.3">
      <c r="A409">
        <v>408</v>
      </c>
      <c r="B409">
        <v>0.2727</v>
      </c>
      <c r="C409">
        <v>0.93</v>
      </c>
      <c r="D409">
        <v>0</v>
      </c>
      <c r="E409">
        <v>1</v>
      </c>
      <c r="F409">
        <v>19</v>
      </c>
      <c r="G409">
        <v>20</v>
      </c>
    </row>
    <row r="410" spans="1:7" x14ac:dyDescent="0.3">
      <c r="A410">
        <v>409</v>
      </c>
      <c r="B410">
        <v>0.2727</v>
      </c>
      <c r="C410">
        <v>0.93</v>
      </c>
      <c r="D410">
        <v>0</v>
      </c>
      <c r="E410">
        <v>0</v>
      </c>
      <c r="F410">
        <v>3</v>
      </c>
      <c r="G410">
        <v>3</v>
      </c>
    </row>
    <row r="411" spans="1:7" x14ac:dyDescent="0.3">
      <c r="A411">
        <v>410</v>
      </c>
      <c r="B411">
        <v>0.2273</v>
      </c>
      <c r="C411">
        <v>0.93</v>
      </c>
      <c r="D411">
        <v>0.1343</v>
      </c>
      <c r="E411">
        <v>1</v>
      </c>
      <c r="F411">
        <v>6</v>
      </c>
      <c r="G411">
        <v>7</v>
      </c>
    </row>
    <row r="412" spans="1:7" x14ac:dyDescent="0.3">
      <c r="A412">
        <v>411</v>
      </c>
      <c r="B412">
        <v>0.2273</v>
      </c>
      <c r="C412">
        <v>0.93</v>
      </c>
      <c r="D412">
        <v>0.1343</v>
      </c>
      <c r="E412">
        <v>0</v>
      </c>
      <c r="F412">
        <v>3</v>
      </c>
      <c r="G412">
        <v>3</v>
      </c>
    </row>
    <row r="413" spans="1:7" x14ac:dyDescent="0.3">
      <c r="A413">
        <v>412</v>
      </c>
      <c r="B413">
        <v>0.2273</v>
      </c>
      <c r="C413">
        <v>0.93</v>
      </c>
      <c r="D413">
        <v>0.1343</v>
      </c>
      <c r="E413">
        <v>1</v>
      </c>
      <c r="F413">
        <v>1</v>
      </c>
      <c r="G413">
        <v>2</v>
      </c>
    </row>
    <row r="414" spans="1:7" x14ac:dyDescent="0.3">
      <c r="A414">
        <v>413</v>
      </c>
      <c r="B414">
        <v>0.2576</v>
      </c>
      <c r="C414">
        <v>0.93</v>
      </c>
      <c r="D414">
        <v>8.9599999999999999E-2</v>
      </c>
      <c r="E414">
        <v>0</v>
      </c>
      <c r="F414">
        <v>7</v>
      </c>
      <c r="G414">
        <v>7</v>
      </c>
    </row>
    <row r="415" spans="1:7" x14ac:dyDescent="0.3">
      <c r="A415">
        <v>414</v>
      </c>
      <c r="B415">
        <v>0.2576</v>
      </c>
      <c r="C415">
        <v>0.93</v>
      </c>
      <c r="D415">
        <v>8.9599999999999999E-2</v>
      </c>
      <c r="E415">
        <v>0</v>
      </c>
      <c r="F415">
        <v>32</v>
      </c>
      <c r="G415">
        <v>32</v>
      </c>
    </row>
    <row r="416" spans="1:7" x14ac:dyDescent="0.3">
      <c r="A416">
        <v>415</v>
      </c>
      <c r="B416">
        <v>0.2576</v>
      </c>
      <c r="C416">
        <v>0.92</v>
      </c>
      <c r="D416">
        <v>0.1045</v>
      </c>
      <c r="E416">
        <v>1</v>
      </c>
      <c r="F416">
        <v>89</v>
      </c>
      <c r="G416">
        <v>90</v>
      </c>
    </row>
    <row r="417" spans="1:7" x14ac:dyDescent="0.3">
      <c r="A417">
        <v>416</v>
      </c>
      <c r="B417">
        <v>0.2576</v>
      </c>
      <c r="C417">
        <v>0.93</v>
      </c>
      <c r="D417">
        <v>0.1045</v>
      </c>
      <c r="E417">
        <v>1</v>
      </c>
      <c r="F417">
        <v>196</v>
      </c>
      <c r="G417">
        <v>197</v>
      </c>
    </row>
    <row r="418" spans="1:7" x14ac:dyDescent="0.3">
      <c r="A418">
        <v>417</v>
      </c>
      <c r="B418">
        <v>0.2576</v>
      </c>
      <c r="C418">
        <v>0.93</v>
      </c>
      <c r="D418">
        <v>0.1045</v>
      </c>
      <c r="E418">
        <v>2</v>
      </c>
      <c r="F418">
        <v>107</v>
      </c>
      <c r="G418">
        <v>109</v>
      </c>
    </row>
    <row r="419" spans="1:7" x14ac:dyDescent="0.3">
      <c r="A419">
        <v>418</v>
      </c>
      <c r="B419">
        <v>0.2727</v>
      </c>
      <c r="C419">
        <v>0.93</v>
      </c>
      <c r="D419">
        <v>0.1343</v>
      </c>
      <c r="E419">
        <v>1</v>
      </c>
      <c r="F419">
        <v>46</v>
      </c>
      <c r="G419">
        <v>47</v>
      </c>
    </row>
    <row r="420" spans="1:7" x14ac:dyDescent="0.3">
      <c r="A420">
        <v>419</v>
      </c>
      <c r="B420">
        <v>0.30299999999999999</v>
      </c>
      <c r="C420">
        <v>0.87</v>
      </c>
      <c r="D420">
        <v>8.9599999999999999E-2</v>
      </c>
      <c r="E420">
        <v>5</v>
      </c>
      <c r="F420">
        <v>47</v>
      </c>
      <c r="G420">
        <v>52</v>
      </c>
    </row>
    <row r="421" spans="1:7" x14ac:dyDescent="0.3">
      <c r="A421">
        <v>420</v>
      </c>
      <c r="B421">
        <v>0.31819999999999998</v>
      </c>
      <c r="C421">
        <v>0.81</v>
      </c>
      <c r="D421">
        <v>8.9599999999999999E-2</v>
      </c>
      <c r="E421">
        <v>5</v>
      </c>
      <c r="F421">
        <v>65</v>
      </c>
      <c r="G421">
        <v>70</v>
      </c>
    </row>
    <row r="422" spans="1:7" x14ac:dyDescent="0.3">
      <c r="A422">
        <v>421</v>
      </c>
      <c r="B422">
        <v>0.40910000000000002</v>
      </c>
      <c r="C422">
        <v>0.62</v>
      </c>
      <c r="D422">
        <v>0.28360000000000002</v>
      </c>
      <c r="E422">
        <v>11</v>
      </c>
      <c r="F422">
        <v>67</v>
      </c>
      <c r="G422">
        <v>78</v>
      </c>
    </row>
    <row r="423" spans="1:7" x14ac:dyDescent="0.3">
      <c r="A423">
        <v>422</v>
      </c>
      <c r="B423">
        <v>0.40910000000000002</v>
      </c>
      <c r="C423">
        <v>0.57999999999999996</v>
      </c>
      <c r="D423">
        <v>0.25369999999999998</v>
      </c>
      <c r="E423">
        <v>7</v>
      </c>
      <c r="F423">
        <v>68</v>
      </c>
      <c r="G423">
        <v>75</v>
      </c>
    </row>
    <row r="424" spans="1:7" x14ac:dyDescent="0.3">
      <c r="A424">
        <v>423</v>
      </c>
      <c r="B424">
        <v>0.40910000000000002</v>
      </c>
      <c r="C424">
        <v>0.54</v>
      </c>
      <c r="D424">
        <v>0.28360000000000002</v>
      </c>
      <c r="E424">
        <v>4</v>
      </c>
      <c r="F424">
        <v>78</v>
      </c>
      <c r="G424">
        <v>82</v>
      </c>
    </row>
    <row r="425" spans="1:7" x14ac:dyDescent="0.3">
      <c r="A425">
        <v>424</v>
      </c>
      <c r="B425">
        <v>0.39389999999999997</v>
      </c>
      <c r="C425">
        <v>0.57999999999999996</v>
      </c>
      <c r="D425">
        <v>0.3881</v>
      </c>
      <c r="E425">
        <v>10</v>
      </c>
      <c r="F425">
        <v>94</v>
      </c>
      <c r="G425">
        <v>104</v>
      </c>
    </row>
    <row r="426" spans="1:7" x14ac:dyDescent="0.3">
      <c r="A426">
        <v>425</v>
      </c>
      <c r="B426">
        <v>0.33329999999999999</v>
      </c>
      <c r="C426">
        <v>0.56999999999999995</v>
      </c>
      <c r="D426">
        <v>0.32840000000000003</v>
      </c>
      <c r="E426">
        <v>7</v>
      </c>
      <c r="F426">
        <v>190</v>
      </c>
      <c r="G426">
        <v>197</v>
      </c>
    </row>
    <row r="427" spans="1:7" x14ac:dyDescent="0.3">
      <c r="A427">
        <v>426</v>
      </c>
      <c r="B427">
        <v>0.31819999999999998</v>
      </c>
      <c r="C427">
        <v>0.61</v>
      </c>
      <c r="D427">
        <v>0.28360000000000002</v>
      </c>
      <c r="E427">
        <v>5</v>
      </c>
      <c r="F427">
        <v>156</v>
      </c>
      <c r="G427">
        <v>161</v>
      </c>
    </row>
    <row r="428" spans="1:7" x14ac:dyDescent="0.3">
      <c r="A428">
        <v>427</v>
      </c>
      <c r="B428">
        <v>0.28789999999999999</v>
      </c>
      <c r="C428">
        <v>0.56999999999999995</v>
      </c>
      <c r="D428">
        <v>0.41789999999999999</v>
      </c>
      <c r="E428">
        <v>4</v>
      </c>
      <c r="F428">
        <v>108</v>
      </c>
      <c r="G428">
        <v>112</v>
      </c>
    </row>
    <row r="429" spans="1:7" x14ac:dyDescent="0.3">
      <c r="A429">
        <v>428</v>
      </c>
      <c r="B429">
        <v>0.30299999999999999</v>
      </c>
      <c r="C429">
        <v>0.49</v>
      </c>
      <c r="D429">
        <v>0.29849999999999999</v>
      </c>
      <c r="E429">
        <v>2</v>
      </c>
      <c r="F429">
        <v>74</v>
      </c>
      <c r="G429">
        <v>76</v>
      </c>
    </row>
    <row r="430" spans="1:7" x14ac:dyDescent="0.3">
      <c r="A430">
        <v>429</v>
      </c>
      <c r="B430">
        <v>0.28789999999999999</v>
      </c>
      <c r="C430">
        <v>0.49</v>
      </c>
      <c r="D430">
        <v>0.41789999999999999</v>
      </c>
      <c r="E430">
        <v>4</v>
      </c>
      <c r="F430">
        <v>55</v>
      </c>
      <c r="G430">
        <v>59</v>
      </c>
    </row>
    <row r="431" spans="1:7" x14ac:dyDescent="0.3">
      <c r="A431">
        <v>430</v>
      </c>
      <c r="B431">
        <v>0.30299999999999999</v>
      </c>
      <c r="C431">
        <v>0.52</v>
      </c>
      <c r="D431">
        <v>0.16420000000000001</v>
      </c>
      <c r="E431">
        <v>6</v>
      </c>
      <c r="F431">
        <v>53</v>
      </c>
      <c r="G431">
        <v>59</v>
      </c>
    </row>
    <row r="432" spans="1:7" x14ac:dyDescent="0.3">
      <c r="A432">
        <v>431</v>
      </c>
      <c r="B432">
        <v>0.2727</v>
      </c>
      <c r="C432">
        <v>0.52</v>
      </c>
      <c r="D432">
        <v>0.4627</v>
      </c>
      <c r="E432">
        <v>1</v>
      </c>
      <c r="F432">
        <v>27</v>
      </c>
      <c r="G432">
        <v>28</v>
      </c>
    </row>
    <row r="433" spans="1:7" x14ac:dyDescent="0.3">
      <c r="A433">
        <v>432</v>
      </c>
      <c r="B433">
        <v>0.2273</v>
      </c>
      <c r="C433">
        <v>0.56000000000000005</v>
      </c>
      <c r="D433">
        <v>0.3881</v>
      </c>
      <c r="E433">
        <v>5</v>
      </c>
      <c r="F433">
        <v>8</v>
      </c>
      <c r="G433">
        <v>13</v>
      </c>
    </row>
    <row r="434" spans="1:7" x14ac:dyDescent="0.3">
      <c r="A434">
        <v>433</v>
      </c>
      <c r="B434">
        <v>0.2727</v>
      </c>
      <c r="C434">
        <v>0.56000000000000005</v>
      </c>
      <c r="D434">
        <v>0</v>
      </c>
      <c r="E434">
        <v>2</v>
      </c>
      <c r="F434">
        <v>3</v>
      </c>
      <c r="G434">
        <v>5</v>
      </c>
    </row>
    <row r="435" spans="1:7" x14ac:dyDescent="0.3">
      <c r="A435">
        <v>434</v>
      </c>
      <c r="B435">
        <v>0.2727</v>
      </c>
      <c r="C435">
        <v>0.56000000000000005</v>
      </c>
      <c r="D435">
        <v>0</v>
      </c>
      <c r="E435">
        <v>0</v>
      </c>
      <c r="F435">
        <v>2</v>
      </c>
      <c r="G435">
        <v>2</v>
      </c>
    </row>
    <row r="436" spans="1:7" x14ac:dyDescent="0.3">
      <c r="A436">
        <v>435</v>
      </c>
      <c r="B436">
        <v>0.2576</v>
      </c>
      <c r="C436">
        <v>0.56000000000000005</v>
      </c>
      <c r="D436">
        <v>0.16420000000000001</v>
      </c>
      <c r="E436">
        <v>0</v>
      </c>
      <c r="F436">
        <v>1</v>
      </c>
      <c r="G436">
        <v>1</v>
      </c>
    </row>
    <row r="437" spans="1:7" x14ac:dyDescent="0.3">
      <c r="A437">
        <v>436</v>
      </c>
      <c r="B437">
        <v>0.2576</v>
      </c>
      <c r="C437">
        <v>0.56000000000000005</v>
      </c>
      <c r="D437">
        <v>0.16420000000000001</v>
      </c>
      <c r="E437">
        <v>0</v>
      </c>
      <c r="F437">
        <v>1</v>
      </c>
      <c r="G437">
        <v>1</v>
      </c>
    </row>
    <row r="438" spans="1:7" x14ac:dyDescent="0.3">
      <c r="A438">
        <v>437</v>
      </c>
      <c r="B438">
        <v>0.2273</v>
      </c>
      <c r="C438">
        <v>0.6</v>
      </c>
      <c r="D438">
        <v>0.22389999999999999</v>
      </c>
      <c r="E438">
        <v>0</v>
      </c>
      <c r="F438">
        <v>6</v>
      </c>
      <c r="G438">
        <v>6</v>
      </c>
    </row>
    <row r="439" spans="1:7" x14ac:dyDescent="0.3">
      <c r="A439">
        <v>438</v>
      </c>
      <c r="B439">
        <v>0.21210000000000001</v>
      </c>
      <c r="C439">
        <v>0.6</v>
      </c>
      <c r="D439">
        <v>0.22389999999999999</v>
      </c>
      <c r="E439">
        <v>0</v>
      </c>
      <c r="F439">
        <v>35</v>
      </c>
      <c r="G439">
        <v>35</v>
      </c>
    </row>
    <row r="440" spans="1:7" x14ac:dyDescent="0.3">
      <c r="A440">
        <v>439</v>
      </c>
      <c r="B440">
        <v>0.21210000000000001</v>
      </c>
      <c r="C440">
        <v>0.55000000000000004</v>
      </c>
      <c r="D440">
        <v>0.22389999999999999</v>
      </c>
      <c r="E440">
        <v>1</v>
      </c>
      <c r="F440">
        <v>100</v>
      </c>
      <c r="G440">
        <v>101</v>
      </c>
    </row>
    <row r="441" spans="1:7" x14ac:dyDescent="0.3">
      <c r="A441">
        <v>440</v>
      </c>
      <c r="B441">
        <v>0.21210000000000001</v>
      </c>
      <c r="C441">
        <v>0.55000000000000004</v>
      </c>
      <c r="D441">
        <v>0.28360000000000002</v>
      </c>
      <c r="E441">
        <v>2</v>
      </c>
      <c r="F441">
        <v>247</v>
      </c>
      <c r="G441">
        <v>249</v>
      </c>
    </row>
    <row r="442" spans="1:7" x14ac:dyDescent="0.3">
      <c r="A442">
        <v>441</v>
      </c>
      <c r="B442">
        <v>0.2273</v>
      </c>
      <c r="C442">
        <v>0.52</v>
      </c>
      <c r="D442">
        <v>0.22389999999999999</v>
      </c>
      <c r="E442">
        <v>3</v>
      </c>
      <c r="F442">
        <v>140</v>
      </c>
      <c r="G442">
        <v>143</v>
      </c>
    </row>
    <row r="443" spans="1:7" x14ac:dyDescent="0.3">
      <c r="A443">
        <v>442</v>
      </c>
      <c r="B443">
        <v>0.2273</v>
      </c>
      <c r="C443">
        <v>0.48</v>
      </c>
      <c r="D443">
        <v>0.29849999999999999</v>
      </c>
      <c r="E443">
        <v>1</v>
      </c>
      <c r="F443">
        <v>56</v>
      </c>
      <c r="G443">
        <v>57</v>
      </c>
    </row>
    <row r="444" spans="1:7" x14ac:dyDescent="0.3">
      <c r="A444">
        <v>443</v>
      </c>
      <c r="B444">
        <v>0.2727</v>
      </c>
      <c r="C444">
        <v>0.45</v>
      </c>
      <c r="D444">
        <v>0.16420000000000001</v>
      </c>
      <c r="E444">
        <v>5</v>
      </c>
      <c r="F444">
        <v>63</v>
      </c>
      <c r="G444">
        <v>68</v>
      </c>
    </row>
    <row r="445" spans="1:7" x14ac:dyDescent="0.3">
      <c r="A445">
        <v>444</v>
      </c>
      <c r="B445">
        <v>0.33329999999999999</v>
      </c>
      <c r="C445">
        <v>0.42</v>
      </c>
      <c r="D445">
        <v>0</v>
      </c>
      <c r="E445">
        <v>7</v>
      </c>
      <c r="F445">
        <v>77</v>
      </c>
      <c r="G445">
        <v>84</v>
      </c>
    </row>
    <row r="446" spans="1:7" x14ac:dyDescent="0.3">
      <c r="A446">
        <v>445</v>
      </c>
      <c r="B446">
        <v>0.28789999999999999</v>
      </c>
      <c r="C446">
        <v>0.45</v>
      </c>
      <c r="D446">
        <v>0.1045</v>
      </c>
      <c r="E446">
        <v>12</v>
      </c>
      <c r="F446">
        <v>86</v>
      </c>
      <c r="G446">
        <v>98</v>
      </c>
    </row>
    <row r="447" spans="1:7" x14ac:dyDescent="0.3">
      <c r="A447">
        <v>446</v>
      </c>
      <c r="B447">
        <v>0.30299999999999999</v>
      </c>
      <c r="C447">
        <v>0.45</v>
      </c>
      <c r="D447">
        <v>0.1343</v>
      </c>
      <c r="E447">
        <v>6</v>
      </c>
      <c r="F447">
        <v>75</v>
      </c>
      <c r="G447">
        <v>81</v>
      </c>
    </row>
    <row r="448" spans="1:7" x14ac:dyDescent="0.3">
      <c r="A448">
        <v>447</v>
      </c>
      <c r="B448">
        <v>0.31819999999999998</v>
      </c>
      <c r="C448">
        <v>0.45</v>
      </c>
      <c r="D448">
        <v>0.19400000000000001</v>
      </c>
      <c r="E448">
        <v>8</v>
      </c>
      <c r="F448">
        <v>62</v>
      </c>
      <c r="G448">
        <v>70</v>
      </c>
    </row>
    <row r="449" spans="1:7" x14ac:dyDescent="0.3">
      <c r="A449">
        <v>448</v>
      </c>
      <c r="B449">
        <v>0.30299999999999999</v>
      </c>
      <c r="C449">
        <v>0.49</v>
      </c>
      <c r="D449">
        <v>0.1343</v>
      </c>
      <c r="E449">
        <v>8</v>
      </c>
      <c r="F449">
        <v>83</v>
      </c>
      <c r="G449">
        <v>91</v>
      </c>
    </row>
    <row r="450" spans="1:7" x14ac:dyDescent="0.3">
      <c r="A450">
        <v>449</v>
      </c>
      <c r="B450">
        <v>0.31819999999999998</v>
      </c>
      <c r="C450">
        <v>0.49</v>
      </c>
      <c r="D450">
        <v>0.1045</v>
      </c>
      <c r="E450">
        <v>8</v>
      </c>
      <c r="F450">
        <v>207</v>
      </c>
      <c r="G450">
        <v>215</v>
      </c>
    </row>
    <row r="451" spans="1:7" x14ac:dyDescent="0.3">
      <c r="A451">
        <v>450</v>
      </c>
      <c r="B451">
        <v>0.2576</v>
      </c>
      <c r="C451">
        <v>0.56000000000000005</v>
      </c>
      <c r="D451">
        <v>0.19400000000000001</v>
      </c>
      <c r="E451">
        <v>1</v>
      </c>
      <c r="F451">
        <v>184</v>
      </c>
      <c r="G451">
        <v>185</v>
      </c>
    </row>
    <row r="452" spans="1:7" x14ac:dyDescent="0.3">
      <c r="A452">
        <v>451</v>
      </c>
      <c r="B452">
        <v>0.2273</v>
      </c>
      <c r="C452">
        <v>0.56000000000000005</v>
      </c>
      <c r="D452">
        <v>0.32840000000000003</v>
      </c>
      <c r="E452">
        <v>6</v>
      </c>
      <c r="F452">
        <v>146</v>
      </c>
      <c r="G452">
        <v>152</v>
      </c>
    </row>
    <row r="453" spans="1:7" x14ac:dyDescent="0.3">
      <c r="A453">
        <v>452</v>
      </c>
      <c r="B453">
        <v>0.2424</v>
      </c>
      <c r="C453">
        <v>0.6</v>
      </c>
      <c r="D453">
        <v>0.28360000000000002</v>
      </c>
      <c r="E453">
        <v>2</v>
      </c>
      <c r="F453">
        <v>124</v>
      </c>
      <c r="G453">
        <v>126</v>
      </c>
    </row>
    <row r="454" spans="1:7" x14ac:dyDescent="0.3">
      <c r="A454">
        <v>453</v>
      </c>
      <c r="B454">
        <v>0.2273</v>
      </c>
      <c r="C454">
        <v>0.6</v>
      </c>
      <c r="D454">
        <v>0.25369999999999998</v>
      </c>
      <c r="E454">
        <v>3</v>
      </c>
      <c r="F454">
        <v>54</v>
      </c>
      <c r="G454">
        <v>57</v>
      </c>
    </row>
    <row r="455" spans="1:7" x14ac:dyDescent="0.3">
      <c r="A455">
        <v>454</v>
      </c>
      <c r="B455">
        <v>0.21210000000000001</v>
      </c>
      <c r="C455">
        <v>0.65</v>
      </c>
      <c r="D455">
        <v>0.28360000000000002</v>
      </c>
      <c r="E455">
        <v>0</v>
      </c>
      <c r="F455">
        <v>56</v>
      </c>
      <c r="G455">
        <v>56</v>
      </c>
    </row>
    <row r="456" spans="1:7" x14ac:dyDescent="0.3">
      <c r="A456">
        <v>455</v>
      </c>
      <c r="B456">
        <v>0.21210000000000001</v>
      </c>
      <c r="C456">
        <v>0.65</v>
      </c>
      <c r="D456">
        <v>0.32840000000000003</v>
      </c>
      <c r="E456">
        <v>3</v>
      </c>
      <c r="F456">
        <v>28</v>
      </c>
      <c r="G456">
        <v>31</v>
      </c>
    </row>
    <row r="457" spans="1:7" x14ac:dyDescent="0.3">
      <c r="A457">
        <v>456</v>
      </c>
      <c r="B457">
        <v>0.2273</v>
      </c>
      <c r="C457">
        <v>0.7</v>
      </c>
      <c r="D457">
        <v>0.25369999999999998</v>
      </c>
      <c r="E457">
        <v>1</v>
      </c>
      <c r="F457">
        <v>20</v>
      </c>
      <c r="G457">
        <v>21</v>
      </c>
    </row>
    <row r="458" spans="1:7" x14ac:dyDescent="0.3">
      <c r="A458">
        <v>457</v>
      </c>
      <c r="B458">
        <v>0.2273</v>
      </c>
      <c r="C458">
        <v>0.7</v>
      </c>
      <c r="D458">
        <v>0.25369999999999998</v>
      </c>
      <c r="E458">
        <v>0</v>
      </c>
      <c r="F458">
        <v>6</v>
      </c>
      <c r="G458">
        <v>6</v>
      </c>
    </row>
    <row r="459" spans="1:7" x14ac:dyDescent="0.3">
      <c r="A459">
        <v>458</v>
      </c>
      <c r="B459">
        <v>0.2424</v>
      </c>
      <c r="C459">
        <v>0.75</v>
      </c>
      <c r="D459">
        <v>0.16420000000000001</v>
      </c>
      <c r="E459">
        <v>0</v>
      </c>
      <c r="F459">
        <v>2</v>
      </c>
      <c r="G459">
        <v>2</v>
      </c>
    </row>
    <row r="460" spans="1:7" x14ac:dyDescent="0.3">
      <c r="A460">
        <v>459</v>
      </c>
      <c r="B460">
        <v>0.21210000000000001</v>
      </c>
      <c r="C460">
        <v>0.8</v>
      </c>
      <c r="D460">
        <v>0.29849999999999999</v>
      </c>
      <c r="E460">
        <v>0</v>
      </c>
      <c r="F460">
        <v>1</v>
      </c>
      <c r="G460">
        <v>1</v>
      </c>
    </row>
    <row r="461" spans="1:7" x14ac:dyDescent="0.3">
      <c r="A461">
        <v>460</v>
      </c>
      <c r="B461">
        <v>0.2576</v>
      </c>
      <c r="C461">
        <v>0.87</v>
      </c>
      <c r="D461">
        <v>8.9599999999999999E-2</v>
      </c>
      <c r="E461">
        <v>0</v>
      </c>
      <c r="F461">
        <v>1</v>
      </c>
      <c r="G461">
        <v>1</v>
      </c>
    </row>
    <row r="462" spans="1:7" x14ac:dyDescent="0.3">
      <c r="A462">
        <v>461</v>
      </c>
      <c r="B462">
        <v>0.19700000000000001</v>
      </c>
      <c r="C462">
        <v>0.6</v>
      </c>
      <c r="D462">
        <v>0.41789999999999999</v>
      </c>
      <c r="E462">
        <v>1</v>
      </c>
      <c r="F462">
        <v>4</v>
      </c>
      <c r="G462">
        <v>5</v>
      </c>
    </row>
    <row r="463" spans="1:7" x14ac:dyDescent="0.3">
      <c r="A463">
        <v>462</v>
      </c>
      <c r="B463">
        <v>0.21210000000000001</v>
      </c>
      <c r="C463">
        <v>0.55000000000000004</v>
      </c>
      <c r="D463">
        <v>0.25369999999999998</v>
      </c>
      <c r="E463">
        <v>0</v>
      </c>
      <c r="F463">
        <v>27</v>
      </c>
      <c r="G463">
        <v>27</v>
      </c>
    </row>
    <row r="464" spans="1:7" x14ac:dyDescent="0.3">
      <c r="A464">
        <v>463</v>
      </c>
      <c r="B464">
        <v>0.18179999999999999</v>
      </c>
      <c r="C464">
        <v>0.51</v>
      </c>
      <c r="D464">
        <v>0.28360000000000002</v>
      </c>
      <c r="E464">
        <v>2</v>
      </c>
      <c r="F464">
        <v>66</v>
      </c>
      <c r="G464">
        <v>68</v>
      </c>
    </row>
    <row r="465" spans="1:7" x14ac:dyDescent="0.3">
      <c r="A465">
        <v>464</v>
      </c>
      <c r="B465">
        <v>0.18179999999999999</v>
      </c>
      <c r="C465">
        <v>0.47</v>
      </c>
      <c r="D465">
        <v>0.32840000000000003</v>
      </c>
      <c r="E465">
        <v>7</v>
      </c>
      <c r="F465">
        <v>210</v>
      </c>
      <c r="G465">
        <v>217</v>
      </c>
    </row>
    <row r="466" spans="1:7" x14ac:dyDescent="0.3">
      <c r="A466">
        <v>465</v>
      </c>
      <c r="B466">
        <v>0.18179999999999999</v>
      </c>
      <c r="C466">
        <v>0.51</v>
      </c>
      <c r="D466">
        <v>0.35820000000000002</v>
      </c>
      <c r="E466">
        <v>7</v>
      </c>
      <c r="F466">
        <v>159</v>
      </c>
      <c r="G466">
        <v>166</v>
      </c>
    </row>
    <row r="467" spans="1:7" x14ac:dyDescent="0.3">
      <c r="A467">
        <v>466</v>
      </c>
      <c r="B467">
        <v>0.16669999999999999</v>
      </c>
      <c r="C467">
        <v>0.47</v>
      </c>
      <c r="D467">
        <v>0.4627</v>
      </c>
      <c r="E467">
        <v>6</v>
      </c>
      <c r="F467">
        <v>57</v>
      </c>
      <c r="G467">
        <v>63</v>
      </c>
    </row>
    <row r="468" spans="1:7" x14ac:dyDescent="0.3">
      <c r="A468">
        <v>467</v>
      </c>
      <c r="B468">
        <v>0.18179999999999999</v>
      </c>
      <c r="C468">
        <v>0.41</v>
      </c>
      <c r="D468">
        <v>0.4627</v>
      </c>
      <c r="E468">
        <v>6</v>
      </c>
      <c r="F468">
        <v>53</v>
      </c>
      <c r="G468">
        <v>59</v>
      </c>
    </row>
    <row r="469" spans="1:7" x14ac:dyDescent="0.3">
      <c r="A469">
        <v>468</v>
      </c>
      <c r="B469">
        <v>0.18179999999999999</v>
      </c>
      <c r="C469">
        <v>0.27</v>
      </c>
      <c r="D469">
        <v>0.58209999999999995</v>
      </c>
      <c r="E469">
        <v>11</v>
      </c>
      <c r="F469">
        <v>67</v>
      </c>
      <c r="G469">
        <v>78</v>
      </c>
    </row>
    <row r="470" spans="1:7" x14ac:dyDescent="0.3">
      <c r="A470">
        <v>469</v>
      </c>
      <c r="B470">
        <v>0.1515</v>
      </c>
      <c r="C470">
        <v>0.21</v>
      </c>
      <c r="D470">
        <v>0.58209999999999995</v>
      </c>
      <c r="E470">
        <v>8</v>
      </c>
      <c r="F470">
        <v>65</v>
      </c>
      <c r="G470">
        <v>73</v>
      </c>
    </row>
    <row r="471" spans="1:7" x14ac:dyDescent="0.3">
      <c r="A471">
        <v>470</v>
      </c>
      <c r="B471">
        <v>0.1515</v>
      </c>
      <c r="C471">
        <v>0.25</v>
      </c>
      <c r="D471">
        <v>0.52239999999999998</v>
      </c>
      <c r="E471">
        <v>6</v>
      </c>
      <c r="F471">
        <v>56</v>
      </c>
      <c r="G471">
        <v>62</v>
      </c>
    </row>
    <row r="472" spans="1:7" x14ac:dyDescent="0.3">
      <c r="A472">
        <v>471</v>
      </c>
      <c r="B472">
        <v>0.1212</v>
      </c>
      <c r="C472">
        <v>0.26</v>
      </c>
      <c r="D472">
        <v>0.44779999999999998</v>
      </c>
      <c r="E472">
        <v>4</v>
      </c>
      <c r="F472">
        <v>61</v>
      </c>
      <c r="G472">
        <v>65</v>
      </c>
    </row>
    <row r="473" spans="1:7" x14ac:dyDescent="0.3">
      <c r="A473">
        <v>472</v>
      </c>
      <c r="B473">
        <v>0.13639999999999999</v>
      </c>
      <c r="C473">
        <v>0.26</v>
      </c>
      <c r="D473">
        <v>0.35820000000000002</v>
      </c>
      <c r="E473">
        <v>0</v>
      </c>
      <c r="F473">
        <v>97</v>
      </c>
      <c r="G473">
        <v>97</v>
      </c>
    </row>
    <row r="474" spans="1:7" x14ac:dyDescent="0.3">
      <c r="A474">
        <v>473</v>
      </c>
      <c r="B474">
        <v>0.1212</v>
      </c>
      <c r="C474">
        <v>0.28000000000000003</v>
      </c>
      <c r="D474">
        <v>0.35820000000000002</v>
      </c>
      <c r="E474">
        <v>10</v>
      </c>
      <c r="F474">
        <v>151</v>
      </c>
      <c r="G474">
        <v>161</v>
      </c>
    </row>
    <row r="475" spans="1:7" x14ac:dyDescent="0.3">
      <c r="A475">
        <v>474</v>
      </c>
      <c r="B475">
        <v>0.1212</v>
      </c>
      <c r="C475">
        <v>0.3</v>
      </c>
      <c r="D475">
        <v>0.25369999999999998</v>
      </c>
      <c r="E475">
        <v>1</v>
      </c>
      <c r="F475">
        <v>119</v>
      </c>
      <c r="G475">
        <v>120</v>
      </c>
    </row>
    <row r="476" spans="1:7" x14ac:dyDescent="0.3">
      <c r="A476">
        <v>475</v>
      </c>
      <c r="B476">
        <v>0.1061</v>
      </c>
      <c r="C476">
        <v>0.3</v>
      </c>
      <c r="D476">
        <v>0.32840000000000003</v>
      </c>
      <c r="E476">
        <v>3</v>
      </c>
      <c r="F476">
        <v>93</v>
      </c>
      <c r="G476">
        <v>96</v>
      </c>
    </row>
    <row r="477" spans="1:7" x14ac:dyDescent="0.3">
      <c r="A477">
        <v>476</v>
      </c>
      <c r="B477">
        <v>7.5800000000000006E-2</v>
      </c>
      <c r="C477">
        <v>0.33</v>
      </c>
      <c r="D477">
        <v>0.41789999999999999</v>
      </c>
      <c r="E477">
        <v>1</v>
      </c>
      <c r="F477">
        <v>52</v>
      </c>
      <c r="G477">
        <v>53</v>
      </c>
    </row>
    <row r="478" spans="1:7" x14ac:dyDescent="0.3">
      <c r="A478">
        <v>477</v>
      </c>
      <c r="B478">
        <v>7.5800000000000006E-2</v>
      </c>
      <c r="C478">
        <v>0.38</v>
      </c>
      <c r="D478">
        <v>0.28360000000000002</v>
      </c>
      <c r="E478">
        <v>0</v>
      </c>
      <c r="F478">
        <v>41</v>
      </c>
      <c r="G478">
        <v>41</v>
      </c>
    </row>
    <row r="479" spans="1:7" x14ac:dyDescent="0.3">
      <c r="A479">
        <v>478</v>
      </c>
      <c r="B479">
        <v>3.0300000000000001E-2</v>
      </c>
      <c r="C479">
        <v>0.41</v>
      </c>
      <c r="D479">
        <v>0.3881</v>
      </c>
      <c r="E479">
        <v>1</v>
      </c>
      <c r="F479">
        <v>33</v>
      </c>
      <c r="G479">
        <v>34</v>
      </c>
    </row>
    <row r="480" spans="1:7" x14ac:dyDescent="0.3">
      <c r="A480">
        <v>479</v>
      </c>
      <c r="B480">
        <v>4.5499999999999999E-2</v>
      </c>
      <c r="C480">
        <v>0.38</v>
      </c>
      <c r="D480">
        <v>0.32840000000000003</v>
      </c>
      <c r="E480">
        <v>0</v>
      </c>
      <c r="F480">
        <v>27</v>
      </c>
      <c r="G480">
        <v>27</v>
      </c>
    </row>
    <row r="481" spans="1:7" x14ac:dyDescent="0.3">
      <c r="A481">
        <v>480</v>
      </c>
      <c r="B481">
        <v>3.0300000000000001E-2</v>
      </c>
      <c r="C481">
        <v>0.45</v>
      </c>
      <c r="D481">
        <v>0.25369999999999998</v>
      </c>
      <c r="E481">
        <v>0</v>
      </c>
      <c r="F481">
        <v>13</v>
      </c>
      <c r="G481">
        <v>13</v>
      </c>
    </row>
    <row r="482" spans="1:7" x14ac:dyDescent="0.3">
      <c r="A482">
        <v>481</v>
      </c>
      <c r="B482">
        <v>0</v>
      </c>
      <c r="C482">
        <v>0.41</v>
      </c>
      <c r="D482">
        <v>0.3881</v>
      </c>
      <c r="E482">
        <v>3</v>
      </c>
      <c r="F482">
        <v>9</v>
      </c>
      <c r="G482">
        <v>12</v>
      </c>
    </row>
    <row r="483" spans="1:7" x14ac:dyDescent="0.3">
      <c r="A483">
        <v>482</v>
      </c>
      <c r="B483">
        <v>3.0300000000000001E-2</v>
      </c>
      <c r="C483">
        <v>0.41</v>
      </c>
      <c r="D483">
        <v>0.25369999999999998</v>
      </c>
      <c r="E483">
        <v>0</v>
      </c>
      <c r="F483">
        <v>11</v>
      </c>
      <c r="G483">
        <v>11</v>
      </c>
    </row>
    <row r="484" spans="1:7" x14ac:dyDescent="0.3">
      <c r="A484">
        <v>483</v>
      </c>
      <c r="B484">
        <v>3.0300000000000001E-2</v>
      </c>
      <c r="C484">
        <v>0.41</v>
      </c>
      <c r="D484">
        <v>0.28360000000000002</v>
      </c>
      <c r="E484">
        <v>1</v>
      </c>
      <c r="F484">
        <v>6</v>
      </c>
      <c r="G484">
        <v>7</v>
      </c>
    </row>
    <row r="485" spans="1:7" x14ac:dyDescent="0.3">
      <c r="A485">
        <v>484</v>
      </c>
      <c r="B485">
        <v>1.52E-2</v>
      </c>
      <c r="C485">
        <v>0.48</v>
      </c>
      <c r="D485">
        <v>0.29849999999999999</v>
      </c>
      <c r="E485">
        <v>0</v>
      </c>
      <c r="F485">
        <v>3</v>
      </c>
      <c r="G485">
        <v>3</v>
      </c>
    </row>
    <row r="486" spans="1:7" x14ac:dyDescent="0.3">
      <c r="A486">
        <v>485</v>
      </c>
      <c r="B486">
        <v>3.0300000000000001E-2</v>
      </c>
      <c r="C486">
        <v>0.44</v>
      </c>
      <c r="D486">
        <v>0.22389999999999999</v>
      </c>
      <c r="E486">
        <v>0</v>
      </c>
      <c r="F486">
        <v>2</v>
      </c>
      <c r="G486">
        <v>2</v>
      </c>
    </row>
    <row r="487" spans="1:7" x14ac:dyDescent="0.3">
      <c r="A487">
        <v>486</v>
      </c>
      <c r="B487">
        <v>1.52E-2</v>
      </c>
      <c r="C487">
        <v>0.44</v>
      </c>
      <c r="D487">
        <v>0.28360000000000002</v>
      </c>
      <c r="E487">
        <v>0</v>
      </c>
      <c r="F487">
        <v>8</v>
      </c>
      <c r="G487">
        <v>8</v>
      </c>
    </row>
    <row r="488" spans="1:7" x14ac:dyDescent="0.3">
      <c r="A488">
        <v>487</v>
      </c>
      <c r="B488">
        <v>0</v>
      </c>
      <c r="C488">
        <v>0.44</v>
      </c>
      <c r="D488">
        <v>0.32840000000000003</v>
      </c>
      <c r="E488">
        <v>1</v>
      </c>
      <c r="F488">
        <v>26</v>
      </c>
      <c r="G488">
        <v>27</v>
      </c>
    </row>
    <row r="489" spans="1:7" x14ac:dyDescent="0.3">
      <c r="A489">
        <v>488</v>
      </c>
      <c r="B489">
        <v>3.0300000000000001E-2</v>
      </c>
      <c r="C489">
        <v>0.41</v>
      </c>
      <c r="D489">
        <v>0.25369999999999998</v>
      </c>
      <c r="E489">
        <v>3</v>
      </c>
      <c r="F489">
        <v>37</v>
      </c>
      <c r="G489">
        <v>40</v>
      </c>
    </row>
    <row r="490" spans="1:7" x14ac:dyDescent="0.3">
      <c r="A490">
        <v>489</v>
      </c>
      <c r="B490">
        <v>6.0600000000000001E-2</v>
      </c>
      <c r="C490">
        <v>0.41</v>
      </c>
      <c r="D490">
        <v>0.16420000000000001</v>
      </c>
      <c r="E490">
        <v>3</v>
      </c>
      <c r="F490">
        <v>50</v>
      </c>
      <c r="G490">
        <v>53</v>
      </c>
    </row>
    <row r="491" spans="1:7" x14ac:dyDescent="0.3">
      <c r="A491">
        <v>490</v>
      </c>
      <c r="B491">
        <v>7.5800000000000006E-2</v>
      </c>
      <c r="C491">
        <v>0.38</v>
      </c>
      <c r="D491">
        <v>0.1343</v>
      </c>
      <c r="E491">
        <v>4</v>
      </c>
      <c r="F491">
        <v>59</v>
      </c>
      <c r="G491">
        <v>63</v>
      </c>
    </row>
    <row r="492" spans="1:7" x14ac:dyDescent="0.3">
      <c r="A492">
        <v>491</v>
      </c>
      <c r="B492">
        <v>0.1061</v>
      </c>
      <c r="C492">
        <v>0.38</v>
      </c>
      <c r="D492">
        <v>0.1045</v>
      </c>
      <c r="E492">
        <v>10</v>
      </c>
      <c r="F492">
        <v>60</v>
      </c>
      <c r="G492">
        <v>70</v>
      </c>
    </row>
    <row r="493" spans="1:7" x14ac:dyDescent="0.3">
      <c r="A493">
        <v>492</v>
      </c>
      <c r="B493">
        <v>0.16669999999999999</v>
      </c>
      <c r="C493">
        <v>0.35</v>
      </c>
      <c r="D493">
        <v>0</v>
      </c>
      <c r="E493">
        <v>12</v>
      </c>
      <c r="F493">
        <v>72</v>
      </c>
      <c r="G493">
        <v>84</v>
      </c>
    </row>
    <row r="494" spans="1:7" x14ac:dyDescent="0.3">
      <c r="A494">
        <v>493</v>
      </c>
      <c r="B494">
        <v>0.13639999999999999</v>
      </c>
      <c r="C494">
        <v>0.33</v>
      </c>
      <c r="D494">
        <v>0.1045</v>
      </c>
      <c r="E494">
        <v>11</v>
      </c>
      <c r="F494">
        <v>64</v>
      </c>
      <c r="G494">
        <v>75</v>
      </c>
    </row>
    <row r="495" spans="1:7" x14ac:dyDescent="0.3">
      <c r="A495">
        <v>494</v>
      </c>
      <c r="B495">
        <v>0.1515</v>
      </c>
      <c r="C495">
        <v>0.28000000000000003</v>
      </c>
      <c r="D495">
        <v>0</v>
      </c>
      <c r="E495">
        <v>10</v>
      </c>
      <c r="F495">
        <v>93</v>
      </c>
      <c r="G495">
        <v>103</v>
      </c>
    </row>
    <row r="496" spans="1:7" x14ac:dyDescent="0.3">
      <c r="A496">
        <v>495</v>
      </c>
      <c r="B496">
        <v>0.13639999999999999</v>
      </c>
      <c r="C496">
        <v>0.28000000000000003</v>
      </c>
      <c r="D496">
        <v>0.19400000000000001</v>
      </c>
      <c r="E496">
        <v>11</v>
      </c>
      <c r="F496">
        <v>72</v>
      </c>
      <c r="G496">
        <v>83</v>
      </c>
    </row>
    <row r="497" spans="1:7" x14ac:dyDescent="0.3">
      <c r="A497">
        <v>496</v>
      </c>
      <c r="B497">
        <v>0.19700000000000001</v>
      </c>
      <c r="C497">
        <v>0.28000000000000003</v>
      </c>
      <c r="D497">
        <v>0</v>
      </c>
      <c r="E497">
        <v>8</v>
      </c>
      <c r="F497">
        <v>59</v>
      </c>
      <c r="G497">
        <v>67</v>
      </c>
    </row>
    <row r="498" spans="1:7" x14ac:dyDescent="0.3">
      <c r="A498">
        <v>497</v>
      </c>
      <c r="B498">
        <v>9.0899999999999995E-2</v>
      </c>
      <c r="C498">
        <v>0.35</v>
      </c>
      <c r="D498">
        <v>0.19400000000000001</v>
      </c>
      <c r="E498">
        <v>0</v>
      </c>
      <c r="F498">
        <v>54</v>
      </c>
      <c r="G498">
        <v>54</v>
      </c>
    </row>
    <row r="499" spans="1:7" x14ac:dyDescent="0.3">
      <c r="A499">
        <v>498</v>
      </c>
      <c r="B499">
        <v>0.1061</v>
      </c>
      <c r="C499">
        <v>0.35</v>
      </c>
      <c r="D499">
        <v>0.1343</v>
      </c>
      <c r="E499">
        <v>6</v>
      </c>
      <c r="F499">
        <v>53</v>
      </c>
      <c r="G499">
        <v>59</v>
      </c>
    </row>
    <row r="500" spans="1:7" x14ac:dyDescent="0.3">
      <c r="A500">
        <v>499</v>
      </c>
      <c r="B500">
        <v>7.5800000000000006E-2</v>
      </c>
      <c r="C500">
        <v>0.45</v>
      </c>
      <c r="D500">
        <v>0.16420000000000001</v>
      </c>
      <c r="E500">
        <v>1</v>
      </c>
      <c r="F500">
        <v>44</v>
      </c>
      <c r="G500">
        <v>45</v>
      </c>
    </row>
    <row r="501" spans="1:7" x14ac:dyDescent="0.3">
      <c r="A501">
        <v>500</v>
      </c>
      <c r="B501">
        <v>0.1061</v>
      </c>
      <c r="C501">
        <v>0.41</v>
      </c>
      <c r="D501">
        <v>8.9599999999999999E-2</v>
      </c>
      <c r="E501">
        <v>0</v>
      </c>
      <c r="F501">
        <v>39</v>
      </c>
      <c r="G501">
        <v>39</v>
      </c>
    </row>
    <row r="502" spans="1:7" x14ac:dyDescent="0.3">
      <c r="A502">
        <v>501</v>
      </c>
      <c r="B502">
        <v>0.1515</v>
      </c>
      <c r="C502">
        <v>0.49</v>
      </c>
      <c r="D502">
        <v>0</v>
      </c>
      <c r="E502">
        <v>7</v>
      </c>
      <c r="F502">
        <v>23</v>
      </c>
      <c r="G502">
        <v>30</v>
      </c>
    </row>
    <row r="503" spans="1:7" x14ac:dyDescent="0.3">
      <c r="A503">
        <v>502</v>
      </c>
      <c r="B503">
        <v>7.5800000000000006E-2</v>
      </c>
      <c r="C503">
        <v>0.56999999999999995</v>
      </c>
      <c r="D503">
        <v>0.1045</v>
      </c>
      <c r="E503">
        <v>2</v>
      </c>
      <c r="F503">
        <v>31</v>
      </c>
      <c r="G503">
        <v>33</v>
      </c>
    </row>
    <row r="504" spans="1:7" x14ac:dyDescent="0.3">
      <c r="A504">
        <v>503</v>
      </c>
      <c r="B504">
        <v>7.5800000000000006E-2</v>
      </c>
      <c r="C504">
        <v>0.56999999999999995</v>
      </c>
      <c r="D504">
        <v>0.1045</v>
      </c>
      <c r="E504">
        <v>2</v>
      </c>
      <c r="F504">
        <v>20</v>
      </c>
      <c r="G504">
        <v>22</v>
      </c>
    </row>
    <row r="505" spans="1:7" x14ac:dyDescent="0.3">
      <c r="A505">
        <v>504</v>
      </c>
      <c r="B505">
        <v>7.5800000000000006E-2</v>
      </c>
      <c r="C505">
        <v>0.56999999999999995</v>
      </c>
      <c r="D505">
        <v>0.1045</v>
      </c>
      <c r="E505">
        <v>1</v>
      </c>
      <c r="F505">
        <v>12</v>
      </c>
      <c r="G505">
        <v>13</v>
      </c>
    </row>
    <row r="506" spans="1:7" x14ac:dyDescent="0.3">
      <c r="A506">
        <v>505</v>
      </c>
      <c r="B506">
        <v>6.0600000000000001E-2</v>
      </c>
      <c r="C506">
        <v>0.62</v>
      </c>
      <c r="D506">
        <v>0.1343</v>
      </c>
      <c r="E506">
        <v>3</v>
      </c>
      <c r="F506">
        <v>15</v>
      </c>
      <c r="G506">
        <v>18</v>
      </c>
    </row>
    <row r="507" spans="1:7" x14ac:dyDescent="0.3">
      <c r="A507">
        <v>506</v>
      </c>
      <c r="B507">
        <v>6.0600000000000001E-2</v>
      </c>
      <c r="C507">
        <v>0.62</v>
      </c>
      <c r="D507">
        <v>0.1343</v>
      </c>
      <c r="E507">
        <v>1</v>
      </c>
      <c r="F507">
        <v>4</v>
      </c>
      <c r="G507">
        <v>5</v>
      </c>
    </row>
    <row r="508" spans="1:7" x14ac:dyDescent="0.3">
      <c r="A508">
        <v>507</v>
      </c>
      <c r="B508">
        <v>7.5800000000000006E-2</v>
      </c>
      <c r="C508">
        <v>0.56999999999999995</v>
      </c>
      <c r="D508">
        <v>0.1045</v>
      </c>
      <c r="E508">
        <v>0</v>
      </c>
      <c r="F508">
        <v>3</v>
      </c>
      <c r="G508">
        <v>3</v>
      </c>
    </row>
    <row r="509" spans="1:7" x14ac:dyDescent="0.3">
      <c r="A509">
        <v>508</v>
      </c>
      <c r="B509">
        <v>7.5800000000000006E-2</v>
      </c>
      <c r="C509">
        <v>0.56999999999999995</v>
      </c>
      <c r="D509">
        <v>0.1045</v>
      </c>
      <c r="E509">
        <v>0</v>
      </c>
      <c r="F509">
        <v>1</v>
      </c>
      <c r="G509">
        <v>1</v>
      </c>
    </row>
    <row r="510" spans="1:7" x14ac:dyDescent="0.3">
      <c r="A510">
        <v>509</v>
      </c>
      <c r="B510">
        <v>0.1061</v>
      </c>
      <c r="C510">
        <v>0.57999999999999996</v>
      </c>
      <c r="D510">
        <v>0.16420000000000001</v>
      </c>
      <c r="E510">
        <v>1</v>
      </c>
      <c r="F510">
        <v>1</v>
      </c>
      <c r="G510">
        <v>2</v>
      </c>
    </row>
    <row r="511" spans="1:7" x14ac:dyDescent="0.3">
      <c r="A511">
        <v>510</v>
      </c>
      <c r="B511">
        <v>7.5800000000000006E-2</v>
      </c>
      <c r="C511">
        <v>0.62</v>
      </c>
      <c r="D511">
        <v>0.16420000000000001</v>
      </c>
      <c r="E511">
        <v>2</v>
      </c>
      <c r="F511">
        <v>17</v>
      </c>
      <c r="G511">
        <v>19</v>
      </c>
    </row>
    <row r="512" spans="1:7" x14ac:dyDescent="0.3">
      <c r="A512">
        <v>511</v>
      </c>
      <c r="B512">
        <v>7.5800000000000006E-2</v>
      </c>
      <c r="C512">
        <v>0.54</v>
      </c>
      <c r="D512">
        <v>0.35820000000000002</v>
      </c>
      <c r="E512">
        <v>3</v>
      </c>
      <c r="F512">
        <v>25</v>
      </c>
      <c r="G512">
        <v>28</v>
      </c>
    </row>
    <row r="513" spans="1:7" x14ac:dyDescent="0.3">
      <c r="A513">
        <v>512</v>
      </c>
      <c r="B513">
        <v>0.1061</v>
      </c>
      <c r="C513">
        <v>0.46</v>
      </c>
      <c r="D513">
        <v>0.3881</v>
      </c>
      <c r="E513">
        <v>7</v>
      </c>
      <c r="F513">
        <v>51</v>
      </c>
      <c r="G513">
        <v>58</v>
      </c>
    </row>
    <row r="514" spans="1:7" x14ac:dyDescent="0.3">
      <c r="A514">
        <v>513</v>
      </c>
      <c r="B514">
        <v>0.13639999999999999</v>
      </c>
      <c r="C514">
        <v>0.43</v>
      </c>
      <c r="D514">
        <v>0.22389999999999999</v>
      </c>
      <c r="E514">
        <v>22</v>
      </c>
      <c r="F514">
        <v>77</v>
      </c>
      <c r="G514">
        <v>99</v>
      </c>
    </row>
    <row r="515" spans="1:7" x14ac:dyDescent="0.3">
      <c r="A515">
        <v>514</v>
      </c>
      <c r="B515">
        <v>0.1212</v>
      </c>
      <c r="C515">
        <v>0.37</v>
      </c>
      <c r="D515">
        <v>0.4627</v>
      </c>
      <c r="E515">
        <v>24</v>
      </c>
      <c r="F515">
        <v>92</v>
      </c>
      <c r="G515">
        <v>116</v>
      </c>
    </row>
    <row r="516" spans="1:7" x14ac:dyDescent="0.3">
      <c r="A516">
        <v>515</v>
      </c>
      <c r="B516">
        <v>0.1061</v>
      </c>
      <c r="C516">
        <v>0.33</v>
      </c>
      <c r="D516">
        <v>0.3881</v>
      </c>
      <c r="E516">
        <v>12</v>
      </c>
      <c r="F516">
        <v>75</v>
      </c>
      <c r="G516">
        <v>87</v>
      </c>
    </row>
    <row r="517" spans="1:7" x14ac:dyDescent="0.3">
      <c r="A517">
        <v>516</v>
      </c>
      <c r="B517">
        <v>0.13639999999999999</v>
      </c>
      <c r="C517">
        <v>0.28000000000000003</v>
      </c>
      <c r="D517">
        <v>0.35820000000000002</v>
      </c>
      <c r="E517">
        <v>17</v>
      </c>
      <c r="F517">
        <v>93</v>
      </c>
      <c r="G517">
        <v>110</v>
      </c>
    </row>
    <row r="518" spans="1:7" x14ac:dyDescent="0.3">
      <c r="A518">
        <v>517</v>
      </c>
      <c r="B518">
        <v>0.13639999999999999</v>
      </c>
      <c r="C518">
        <v>0.28000000000000003</v>
      </c>
      <c r="D518">
        <v>0.35820000000000002</v>
      </c>
      <c r="E518">
        <v>13</v>
      </c>
      <c r="F518">
        <v>64</v>
      </c>
      <c r="G518">
        <v>77</v>
      </c>
    </row>
    <row r="519" spans="1:7" x14ac:dyDescent="0.3">
      <c r="A519">
        <v>518</v>
      </c>
      <c r="B519">
        <v>0.13639999999999999</v>
      </c>
      <c r="C519">
        <v>0.26</v>
      </c>
      <c r="D519">
        <v>0.32840000000000003</v>
      </c>
      <c r="E519">
        <v>9</v>
      </c>
      <c r="F519">
        <v>56</v>
      </c>
      <c r="G519">
        <v>65</v>
      </c>
    </row>
    <row r="520" spans="1:7" x14ac:dyDescent="0.3">
      <c r="A520">
        <v>519</v>
      </c>
      <c r="B520">
        <v>0.1061</v>
      </c>
      <c r="C520">
        <v>0.26</v>
      </c>
      <c r="D520">
        <v>0.3881</v>
      </c>
      <c r="E520">
        <v>5</v>
      </c>
      <c r="F520">
        <v>50</v>
      </c>
      <c r="G520">
        <v>55</v>
      </c>
    </row>
    <row r="521" spans="1:7" x14ac:dyDescent="0.3">
      <c r="A521">
        <v>520</v>
      </c>
      <c r="B521">
        <v>0.1212</v>
      </c>
      <c r="C521">
        <v>0.3</v>
      </c>
      <c r="D521">
        <v>0.25369999999999998</v>
      </c>
      <c r="E521">
        <v>5</v>
      </c>
      <c r="F521">
        <v>44</v>
      </c>
      <c r="G521">
        <v>49</v>
      </c>
    </row>
    <row r="522" spans="1:7" x14ac:dyDescent="0.3">
      <c r="A522">
        <v>521</v>
      </c>
      <c r="B522">
        <v>0.1212</v>
      </c>
      <c r="C522">
        <v>0.3</v>
      </c>
      <c r="D522">
        <v>0.28360000000000002</v>
      </c>
      <c r="E522">
        <v>5</v>
      </c>
      <c r="F522">
        <v>45</v>
      </c>
      <c r="G522">
        <v>50</v>
      </c>
    </row>
    <row r="523" spans="1:7" x14ac:dyDescent="0.3">
      <c r="A523">
        <v>522</v>
      </c>
      <c r="B523">
        <v>0.1061</v>
      </c>
      <c r="C523">
        <v>0.36</v>
      </c>
      <c r="D523">
        <v>0.25369999999999998</v>
      </c>
      <c r="E523">
        <v>4</v>
      </c>
      <c r="F523">
        <v>31</v>
      </c>
      <c r="G523">
        <v>35</v>
      </c>
    </row>
    <row r="524" spans="1:7" x14ac:dyDescent="0.3">
      <c r="A524">
        <v>523</v>
      </c>
      <c r="B524">
        <v>0.1061</v>
      </c>
      <c r="C524">
        <v>0.36</v>
      </c>
      <c r="D524">
        <v>0.19400000000000001</v>
      </c>
      <c r="E524">
        <v>5</v>
      </c>
      <c r="F524">
        <v>20</v>
      </c>
      <c r="G524">
        <v>25</v>
      </c>
    </row>
    <row r="525" spans="1:7" x14ac:dyDescent="0.3">
      <c r="A525">
        <v>524</v>
      </c>
      <c r="B525">
        <v>9.0899999999999995E-2</v>
      </c>
      <c r="C525">
        <v>0.38</v>
      </c>
      <c r="D525">
        <v>0.19400000000000001</v>
      </c>
      <c r="E525">
        <v>5</v>
      </c>
      <c r="F525">
        <v>23</v>
      </c>
      <c r="G525">
        <v>28</v>
      </c>
    </row>
    <row r="526" spans="1:7" x14ac:dyDescent="0.3">
      <c r="A526">
        <v>525</v>
      </c>
      <c r="B526">
        <v>6.0600000000000001E-2</v>
      </c>
      <c r="C526">
        <v>0.41</v>
      </c>
      <c r="D526">
        <v>0.22389999999999999</v>
      </c>
      <c r="E526">
        <v>4</v>
      </c>
      <c r="F526">
        <v>17</v>
      </c>
      <c r="G526">
        <v>21</v>
      </c>
    </row>
    <row r="527" spans="1:7" x14ac:dyDescent="0.3">
      <c r="A527">
        <v>526</v>
      </c>
      <c r="B527">
        <v>6.0600000000000001E-2</v>
      </c>
      <c r="C527">
        <v>0.41</v>
      </c>
      <c r="D527">
        <v>0.19400000000000001</v>
      </c>
      <c r="E527">
        <v>0</v>
      </c>
      <c r="F527">
        <v>7</v>
      </c>
      <c r="G527">
        <v>7</v>
      </c>
    </row>
    <row r="528" spans="1:7" x14ac:dyDescent="0.3">
      <c r="A528">
        <v>527</v>
      </c>
      <c r="B528">
        <v>4.5499999999999999E-2</v>
      </c>
      <c r="C528">
        <v>0.45</v>
      </c>
      <c r="D528">
        <v>0.19400000000000001</v>
      </c>
      <c r="E528">
        <v>0</v>
      </c>
      <c r="F528">
        <v>1</v>
      </c>
      <c r="G528">
        <v>1</v>
      </c>
    </row>
    <row r="529" spans="1:7" x14ac:dyDescent="0.3">
      <c r="A529">
        <v>528</v>
      </c>
      <c r="B529">
        <v>3.0300000000000001E-2</v>
      </c>
      <c r="C529">
        <v>0.45</v>
      </c>
      <c r="D529">
        <v>0.25369999999999998</v>
      </c>
      <c r="E529">
        <v>0</v>
      </c>
      <c r="F529">
        <v>1</v>
      </c>
      <c r="G529">
        <v>1</v>
      </c>
    </row>
    <row r="530" spans="1:7" x14ac:dyDescent="0.3">
      <c r="A530">
        <v>529</v>
      </c>
      <c r="B530">
        <v>6.0600000000000001E-2</v>
      </c>
      <c r="C530">
        <v>0.48</v>
      </c>
      <c r="D530">
        <v>0.1343</v>
      </c>
      <c r="E530">
        <v>0</v>
      </c>
      <c r="F530">
        <v>1</v>
      </c>
      <c r="G530">
        <v>1</v>
      </c>
    </row>
    <row r="531" spans="1:7" x14ac:dyDescent="0.3">
      <c r="A531">
        <v>530</v>
      </c>
      <c r="B531">
        <v>6.0600000000000001E-2</v>
      </c>
      <c r="C531">
        <v>0.48</v>
      </c>
      <c r="D531">
        <v>0.1343</v>
      </c>
      <c r="E531">
        <v>0</v>
      </c>
      <c r="F531">
        <v>5</v>
      </c>
      <c r="G531">
        <v>5</v>
      </c>
    </row>
    <row r="532" spans="1:7" x14ac:dyDescent="0.3">
      <c r="A532">
        <v>531</v>
      </c>
      <c r="B532">
        <v>7.5800000000000006E-2</v>
      </c>
      <c r="C532">
        <v>0.48</v>
      </c>
      <c r="D532">
        <v>8.9599999999999999E-2</v>
      </c>
      <c r="E532">
        <v>0</v>
      </c>
      <c r="F532">
        <v>15</v>
      </c>
      <c r="G532">
        <v>15</v>
      </c>
    </row>
    <row r="533" spans="1:7" x14ac:dyDescent="0.3">
      <c r="A533">
        <v>532</v>
      </c>
      <c r="B533">
        <v>0.1212</v>
      </c>
      <c r="C533">
        <v>0.48</v>
      </c>
      <c r="D533">
        <v>0</v>
      </c>
      <c r="E533">
        <v>5</v>
      </c>
      <c r="F533">
        <v>79</v>
      </c>
      <c r="G533">
        <v>84</v>
      </c>
    </row>
    <row r="534" spans="1:7" x14ac:dyDescent="0.3">
      <c r="A534">
        <v>533</v>
      </c>
      <c r="B534">
        <v>0.13639999999999999</v>
      </c>
      <c r="C534">
        <v>0.49</v>
      </c>
      <c r="D534">
        <v>0</v>
      </c>
      <c r="E534">
        <v>6</v>
      </c>
      <c r="F534">
        <v>171</v>
      </c>
      <c r="G534">
        <v>177</v>
      </c>
    </row>
    <row r="535" spans="1:7" x14ac:dyDescent="0.3">
      <c r="A535">
        <v>534</v>
      </c>
      <c r="B535">
        <v>0.1515</v>
      </c>
      <c r="C535">
        <v>0.41</v>
      </c>
      <c r="D535">
        <v>0</v>
      </c>
      <c r="E535">
        <v>4</v>
      </c>
      <c r="F535">
        <v>98</v>
      </c>
      <c r="G535">
        <v>102</v>
      </c>
    </row>
    <row r="536" spans="1:7" x14ac:dyDescent="0.3">
      <c r="A536">
        <v>535</v>
      </c>
      <c r="B536">
        <v>0.13639999999999999</v>
      </c>
      <c r="C536">
        <v>0.42</v>
      </c>
      <c r="D536">
        <v>0</v>
      </c>
      <c r="E536">
        <v>6</v>
      </c>
      <c r="F536">
        <v>34</v>
      </c>
      <c r="G536">
        <v>40</v>
      </c>
    </row>
    <row r="537" spans="1:7" x14ac:dyDescent="0.3">
      <c r="A537">
        <v>536</v>
      </c>
      <c r="B537">
        <v>0.1212</v>
      </c>
      <c r="C537">
        <v>0.46</v>
      </c>
      <c r="D537">
        <v>0.1343</v>
      </c>
      <c r="E537">
        <v>3</v>
      </c>
      <c r="F537">
        <v>43</v>
      </c>
      <c r="G537">
        <v>46</v>
      </c>
    </row>
    <row r="538" spans="1:7" x14ac:dyDescent="0.3">
      <c r="A538">
        <v>537</v>
      </c>
      <c r="B538">
        <v>0.13639999999999999</v>
      </c>
      <c r="C538">
        <v>0.42</v>
      </c>
      <c r="D538">
        <v>0.19400000000000001</v>
      </c>
      <c r="E538">
        <v>11</v>
      </c>
      <c r="F538">
        <v>52</v>
      </c>
      <c r="G538">
        <v>63</v>
      </c>
    </row>
    <row r="539" spans="1:7" x14ac:dyDescent="0.3">
      <c r="A539">
        <v>538</v>
      </c>
      <c r="B539">
        <v>0.13639999999999999</v>
      </c>
      <c r="C539">
        <v>0.43</v>
      </c>
      <c r="D539">
        <v>0.22389999999999999</v>
      </c>
      <c r="E539">
        <v>6</v>
      </c>
      <c r="F539">
        <v>54</v>
      </c>
      <c r="G539">
        <v>60</v>
      </c>
    </row>
    <row r="540" spans="1:7" x14ac:dyDescent="0.3">
      <c r="A540">
        <v>539</v>
      </c>
      <c r="B540">
        <v>0.13639999999999999</v>
      </c>
      <c r="C540">
        <v>0.46</v>
      </c>
      <c r="D540">
        <v>0.22389999999999999</v>
      </c>
      <c r="E540">
        <v>2</v>
      </c>
      <c r="F540">
        <v>43</v>
      </c>
      <c r="G540">
        <v>45</v>
      </c>
    </row>
    <row r="541" spans="1:7" x14ac:dyDescent="0.3">
      <c r="A541">
        <v>540</v>
      </c>
      <c r="B541">
        <v>0.16669999999999999</v>
      </c>
      <c r="C541">
        <v>0.4</v>
      </c>
      <c r="D541">
        <v>0.16420000000000001</v>
      </c>
      <c r="E541">
        <v>7</v>
      </c>
      <c r="F541">
        <v>50</v>
      </c>
      <c r="G541">
        <v>57</v>
      </c>
    </row>
    <row r="542" spans="1:7" x14ac:dyDescent="0.3">
      <c r="A542">
        <v>541</v>
      </c>
      <c r="B542">
        <v>0.1515</v>
      </c>
      <c r="C542">
        <v>0.47</v>
      </c>
      <c r="D542">
        <v>0.25369999999999998</v>
      </c>
      <c r="E542">
        <v>4</v>
      </c>
      <c r="F542">
        <v>66</v>
      </c>
      <c r="G542">
        <v>70</v>
      </c>
    </row>
    <row r="543" spans="1:7" x14ac:dyDescent="0.3">
      <c r="A543">
        <v>542</v>
      </c>
      <c r="B543">
        <v>0.1212</v>
      </c>
      <c r="C543">
        <v>0.5</v>
      </c>
      <c r="D543">
        <v>0.25369999999999998</v>
      </c>
      <c r="E543">
        <v>6</v>
      </c>
      <c r="F543">
        <v>178</v>
      </c>
      <c r="G543">
        <v>184</v>
      </c>
    </row>
    <row r="544" spans="1:7" x14ac:dyDescent="0.3">
      <c r="A544">
        <v>543</v>
      </c>
      <c r="B544">
        <v>0.13639999999999999</v>
      </c>
      <c r="C544">
        <v>0.59</v>
      </c>
      <c r="D544">
        <v>0.19400000000000001</v>
      </c>
      <c r="E544">
        <v>8</v>
      </c>
      <c r="F544">
        <v>145</v>
      </c>
      <c r="G544">
        <v>153</v>
      </c>
    </row>
    <row r="545" spans="1:7" x14ac:dyDescent="0.3">
      <c r="A545">
        <v>544</v>
      </c>
      <c r="B545">
        <v>0.1515</v>
      </c>
      <c r="C545">
        <v>0.54</v>
      </c>
      <c r="D545">
        <v>0.16420000000000001</v>
      </c>
      <c r="E545">
        <v>5</v>
      </c>
      <c r="F545">
        <v>101</v>
      </c>
      <c r="G545">
        <v>106</v>
      </c>
    </row>
    <row r="546" spans="1:7" x14ac:dyDescent="0.3">
      <c r="A546">
        <v>545</v>
      </c>
      <c r="B546">
        <v>0.13639999999999999</v>
      </c>
      <c r="C546">
        <v>0.59</v>
      </c>
      <c r="D546">
        <v>0.19400000000000001</v>
      </c>
      <c r="E546">
        <v>1</v>
      </c>
      <c r="F546">
        <v>80</v>
      </c>
      <c r="G546">
        <v>81</v>
      </c>
    </row>
    <row r="547" spans="1:7" x14ac:dyDescent="0.3">
      <c r="A547">
        <v>546</v>
      </c>
      <c r="B547">
        <v>0.1515</v>
      </c>
      <c r="C547">
        <v>0.63</v>
      </c>
      <c r="D547">
        <v>0.16420000000000001</v>
      </c>
      <c r="E547">
        <v>6</v>
      </c>
      <c r="F547">
        <v>53</v>
      </c>
      <c r="G547">
        <v>59</v>
      </c>
    </row>
    <row r="548" spans="1:7" x14ac:dyDescent="0.3">
      <c r="A548">
        <v>547</v>
      </c>
      <c r="B548">
        <v>0.13639999999999999</v>
      </c>
      <c r="C548">
        <v>0.63</v>
      </c>
      <c r="D548">
        <v>0.22389999999999999</v>
      </c>
      <c r="E548">
        <v>3</v>
      </c>
      <c r="F548">
        <v>32</v>
      </c>
      <c r="G548">
        <v>35</v>
      </c>
    </row>
    <row r="549" spans="1:7" x14ac:dyDescent="0.3">
      <c r="A549">
        <v>548</v>
      </c>
      <c r="B549">
        <v>0.1515</v>
      </c>
      <c r="C549">
        <v>0.64</v>
      </c>
      <c r="D549">
        <v>0.25369999999999998</v>
      </c>
      <c r="E549">
        <v>3</v>
      </c>
      <c r="F549">
        <v>21</v>
      </c>
      <c r="G549">
        <v>24</v>
      </c>
    </row>
    <row r="550" spans="1:7" x14ac:dyDescent="0.3">
      <c r="A550">
        <v>549</v>
      </c>
      <c r="B550">
        <v>0.13639999999999999</v>
      </c>
      <c r="C550">
        <v>0.69</v>
      </c>
      <c r="D550">
        <v>0.28360000000000002</v>
      </c>
      <c r="E550">
        <v>3</v>
      </c>
      <c r="F550">
        <v>6</v>
      </c>
      <c r="G550">
        <v>9</v>
      </c>
    </row>
    <row r="551" spans="1:7" x14ac:dyDescent="0.3">
      <c r="A551">
        <v>550</v>
      </c>
      <c r="B551">
        <v>0.16669999999999999</v>
      </c>
      <c r="C551">
        <v>0.69</v>
      </c>
      <c r="D551">
        <v>0.16420000000000001</v>
      </c>
      <c r="E551">
        <v>0</v>
      </c>
      <c r="F551">
        <v>5</v>
      </c>
      <c r="G551">
        <v>5</v>
      </c>
    </row>
    <row r="552" spans="1:7" x14ac:dyDescent="0.3">
      <c r="A552">
        <v>551</v>
      </c>
      <c r="B552">
        <v>0.1515</v>
      </c>
      <c r="C552">
        <v>0.69</v>
      </c>
      <c r="D552">
        <v>0.22389999999999999</v>
      </c>
      <c r="E552">
        <v>0</v>
      </c>
      <c r="F552">
        <v>2</v>
      </c>
      <c r="G552">
        <v>2</v>
      </c>
    </row>
    <row r="553" spans="1:7" x14ac:dyDescent="0.3">
      <c r="A553">
        <v>552</v>
      </c>
      <c r="B553">
        <v>0.16669999999999999</v>
      </c>
      <c r="C553">
        <v>0.74</v>
      </c>
      <c r="D553">
        <v>0.1045</v>
      </c>
      <c r="E553">
        <v>0</v>
      </c>
      <c r="F553">
        <v>1</v>
      </c>
      <c r="G553">
        <v>1</v>
      </c>
    </row>
    <row r="554" spans="1:7" x14ac:dyDescent="0.3">
      <c r="A554">
        <v>553</v>
      </c>
      <c r="B554">
        <v>0.13639999999999999</v>
      </c>
      <c r="C554">
        <v>0.74</v>
      </c>
      <c r="D554">
        <v>0.22389999999999999</v>
      </c>
      <c r="E554">
        <v>0</v>
      </c>
      <c r="F554">
        <v>9</v>
      </c>
      <c r="G554">
        <v>9</v>
      </c>
    </row>
    <row r="555" spans="1:7" x14ac:dyDescent="0.3">
      <c r="A555">
        <v>554</v>
      </c>
      <c r="B555">
        <v>0.18179999999999999</v>
      </c>
      <c r="C555">
        <v>0.74</v>
      </c>
      <c r="D555">
        <v>0.1045</v>
      </c>
      <c r="E555">
        <v>1</v>
      </c>
      <c r="F555">
        <v>35</v>
      </c>
      <c r="G555">
        <v>36</v>
      </c>
    </row>
    <row r="556" spans="1:7" x14ac:dyDescent="0.3">
      <c r="A556">
        <v>555</v>
      </c>
      <c r="B556">
        <v>0.1515</v>
      </c>
      <c r="C556">
        <v>0.74</v>
      </c>
      <c r="D556">
        <v>0.22389999999999999</v>
      </c>
      <c r="E556">
        <v>5</v>
      </c>
      <c r="F556">
        <v>103</v>
      </c>
      <c r="G556">
        <v>108</v>
      </c>
    </row>
    <row r="557" spans="1:7" x14ac:dyDescent="0.3">
      <c r="A557">
        <v>556</v>
      </c>
      <c r="B557">
        <v>0.18179999999999999</v>
      </c>
      <c r="C557">
        <v>0.74</v>
      </c>
      <c r="D557">
        <v>0.1343</v>
      </c>
      <c r="E557">
        <v>5</v>
      </c>
      <c r="F557">
        <v>233</v>
      </c>
      <c r="G557">
        <v>238</v>
      </c>
    </row>
    <row r="558" spans="1:7" x14ac:dyDescent="0.3">
      <c r="A558">
        <v>557</v>
      </c>
      <c r="B558">
        <v>0.2273</v>
      </c>
      <c r="C558">
        <v>0.64</v>
      </c>
      <c r="D558">
        <v>8.9599999999999999E-2</v>
      </c>
      <c r="E558">
        <v>10</v>
      </c>
      <c r="F558">
        <v>134</v>
      </c>
      <c r="G558">
        <v>144</v>
      </c>
    </row>
    <row r="559" spans="1:7" x14ac:dyDescent="0.3">
      <c r="A559">
        <v>558</v>
      </c>
      <c r="B559">
        <v>0.2424</v>
      </c>
      <c r="C559">
        <v>0.6</v>
      </c>
      <c r="D559">
        <v>0.1045</v>
      </c>
      <c r="E559">
        <v>6</v>
      </c>
      <c r="F559">
        <v>49</v>
      </c>
      <c r="G559">
        <v>55</v>
      </c>
    </row>
    <row r="560" spans="1:7" x14ac:dyDescent="0.3">
      <c r="A560">
        <v>559</v>
      </c>
      <c r="B560">
        <v>0.2424</v>
      </c>
      <c r="C560">
        <v>0.6</v>
      </c>
      <c r="D560">
        <v>0.1343</v>
      </c>
      <c r="E560">
        <v>6</v>
      </c>
      <c r="F560">
        <v>55</v>
      </c>
      <c r="G560">
        <v>61</v>
      </c>
    </row>
    <row r="561" spans="1:7" x14ac:dyDescent="0.3">
      <c r="A561">
        <v>560</v>
      </c>
      <c r="B561">
        <v>0.28789999999999999</v>
      </c>
      <c r="C561">
        <v>0.56000000000000005</v>
      </c>
      <c r="D561">
        <v>8.9599999999999999E-2</v>
      </c>
      <c r="E561">
        <v>21</v>
      </c>
      <c r="F561">
        <v>85</v>
      </c>
      <c r="G561">
        <v>106</v>
      </c>
    </row>
    <row r="562" spans="1:7" x14ac:dyDescent="0.3">
      <c r="A562">
        <v>561</v>
      </c>
      <c r="B562">
        <v>0.2727</v>
      </c>
      <c r="C562">
        <v>0.56000000000000005</v>
      </c>
      <c r="D562">
        <v>0.1343</v>
      </c>
      <c r="E562">
        <v>21</v>
      </c>
      <c r="F562">
        <v>72</v>
      </c>
      <c r="G562">
        <v>93</v>
      </c>
    </row>
    <row r="563" spans="1:7" x14ac:dyDescent="0.3">
      <c r="A563">
        <v>562</v>
      </c>
      <c r="B563">
        <v>0.33329999999999999</v>
      </c>
      <c r="C563">
        <v>0.45</v>
      </c>
      <c r="D563">
        <v>0</v>
      </c>
      <c r="E563">
        <v>11</v>
      </c>
      <c r="F563">
        <v>57</v>
      </c>
      <c r="G563">
        <v>68</v>
      </c>
    </row>
    <row r="564" spans="1:7" x14ac:dyDescent="0.3">
      <c r="A564">
        <v>563</v>
      </c>
      <c r="B564">
        <v>0.34849999999999998</v>
      </c>
      <c r="C564">
        <v>0.42</v>
      </c>
      <c r="D564">
        <v>0</v>
      </c>
      <c r="E564">
        <v>21</v>
      </c>
      <c r="F564">
        <v>63</v>
      </c>
      <c r="G564">
        <v>84</v>
      </c>
    </row>
    <row r="565" spans="1:7" x14ac:dyDescent="0.3">
      <c r="A565">
        <v>564</v>
      </c>
      <c r="B565">
        <v>0.34849999999999998</v>
      </c>
      <c r="C565">
        <v>0.42</v>
      </c>
      <c r="D565">
        <v>0</v>
      </c>
      <c r="E565">
        <v>14</v>
      </c>
      <c r="F565">
        <v>102</v>
      </c>
      <c r="G565">
        <v>116</v>
      </c>
    </row>
    <row r="566" spans="1:7" x14ac:dyDescent="0.3">
      <c r="A566">
        <v>565</v>
      </c>
      <c r="B566">
        <v>0.33329999999999999</v>
      </c>
      <c r="C566">
        <v>0.45</v>
      </c>
      <c r="D566">
        <v>0</v>
      </c>
      <c r="E566">
        <v>14</v>
      </c>
      <c r="F566">
        <v>208</v>
      </c>
      <c r="G566">
        <v>222</v>
      </c>
    </row>
    <row r="567" spans="1:7" x14ac:dyDescent="0.3">
      <c r="A567">
        <v>566</v>
      </c>
      <c r="B567">
        <v>0.31819999999999998</v>
      </c>
      <c r="C567">
        <v>0.49</v>
      </c>
      <c r="D567">
        <v>8.9599999999999999E-2</v>
      </c>
      <c r="E567">
        <v>7</v>
      </c>
      <c r="F567">
        <v>218</v>
      </c>
      <c r="G567">
        <v>225</v>
      </c>
    </row>
    <row r="568" spans="1:7" x14ac:dyDescent="0.3">
      <c r="A568">
        <v>567</v>
      </c>
      <c r="B568">
        <v>0.2576</v>
      </c>
      <c r="C568">
        <v>0.65</v>
      </c>
      <c r="D568">
        <v>0.16420000000000001</v>
      </c>
      <c r="E568">
        <v>13</v>
      </c>
      <c r="F568">
        <v>133</v>
      </c>
      <c r="G568">
        <v>146</v>
      </c>
    </row>
    <row r="569" spans="1:7" x14ac:dyDescent="0.3">
      <c r="A569">
        <v>568</v>
      </c>
      <c r="B569">
        <v>0.2273</v>
      </c>
      <c r="C569">
        <v>0.65</v>
      </c>
      <c r="D569">
        <v>0.19400000000000001</v>
      </c>
      <c r="E569">
        <v>16</v>
      </c>
      <c r="F569">
        <v>103</v>
      </c>
      <c r="G569">
        <v>119</v>
      </c>
    </row>
    <row r="570" spans="1:7" x14ac:dyDescent="0.3">
      <c r="A570">
        <v>569</v>
      </c>
      <c r="B570">
        <v>0.2273</v>
      </c>
      <c r="C570">
        <v>0.65</v>
      </c>
      <c r="D570">
        <v>0.19400000000000001</v>
      </c>
      <c r="E570">
        <v>5</v>
      </c>
      <c r="F570">
        <v>40</v>
      </c>
      <c r="G570">
        <v>45</v>
      </c>
    </row>
    <row r="571" spans="1:7" x14ac:dyDescent="0.3">
      <c r="A571">
        <v>570</v>
      </c>
      <c r="B571">
        <v>0.2273</v>
      </c>
      <c r="C571">
        <v>0.64</v>
      </c>
      <c r="D571">
        <v>0.16420000000000001</v>
      </c>
      <c r="E571">
        <v>4</v>
      </c>
      <c r="F571">
        <v>49</v>
      </c>
      <c r="G571">
        <v>53</v>
      </c>
    </row>
    <row r="572" spans="1:7" x14ac:dyDescent="0.3">
      <c r="A572">
        <v>571</v>
      </c>
      <c r="B572">
        <v>0.2273</v>
      </c>
      <c r="C572">
        <v>0.64</v>
      </c>
      <c r="D572">
        <v>0.16420000000000001</v>
      </c>
      <c r="E572">
        <v>3</v>
      </c>
      <c r="F572">
        <v>37</v>
      </c>
      <c r="G572">
        <v>40</v>
      </c>
    </row>
    <row r="573" spans="1:7" x14ac:dyDescent="0.3">
      <c r="A573">
        <v>572</v>
      </c>
      <c r="B573">
        <v>0.2273</v>
      </c>
      <c r="C573">
        <v>0.69</v>
      </c>
      <c r="D573">
        <v>0.1343</v>
      </c>
      <c r="E573">
        <v>3</v>
      </c>
      <c r="F573">
        <v>14</v>
      </c>
      <c r="G573">
        <v>17</v>
      </c>
    </row>
    <row r="574" spans="1:7" x14ac:dyDescent="0.3">
      <c r="A574">
        <v>573</v>
      </c>
      <c r="B574">
        <v>0.2424</v>
      </c>
      <c r="C574">
        <v>0.65</v>
      </c>
      <c r="D574">
        <v>0.1343</v>
      </c>
      <c r="E574">
        <v>0</v>
      </c>
      <c r="F574">
        <v>5</v>
      </c>
      <c r="G574">
        <v>5</v>
      </c>
    </row>
    <row r="575" spans="1:7" x14ac:dyDescent="0.3">
      <c r="A575">
        <v>574</v>
      </c>
      <c r="B575">
        <v>0.2273</v>
      </c>
      <c r="C575">
        <v>0.69</v>
      </c>
      <c r="D575">
        <v>0.19400000000000001</v>
      </c>
      <c r="E575">
        <v>3</v>
      </c>
      <c r="F575">
        <v>7</v>
      </c>
      <c r="G575">
        <v>10</v>
      </c>
    </row>
    <row r="576" spans="1:7" x14ac:dyDescent="0.3">
      <c r="A576">
        <v>575</v>
      </c>
      <c r="B576">
        <v>0.18179999999999999</v>
      </c>
      <c r="C576">
        <v>0.86</v>
      </c>
      <c r="D576">
        <v>0.28360000000000002</v>
      </c>
      <c r="E576">
        <v>0</v>
      </c>
      <c r="F576">
        <v>1</v>
      </c>
      <c r="G576">
        <v>1</v>
      </c>
    </row>
    <row r="577" spans="1:7" x14ac:dyDescent="0.3">
      <c r="A577">
        <v>576</v>
      </c>
      <c r="B577">
        <v>0.18179999999999999</v>
      </c>
      <c r="C577">
        <v>0.86</v>
      </c>
      <c r="D577">
        <v>0.28360000000000002</v>
      </c>
      <c r="E577">
        <v>0</v>
      </c>
      <c r="F577">
        <v>8</v>
      </c>
      <c r="G577">
        <v>8</v>
      </c>
    </row>
    <row r="578" spans="1:7" x14ac:dyDescent="0.3">
      <c r="A578">
        <v>577</v>
      </c>
      <c r="B578">
        <v>0.21210000000000001</v>
      </c>
      <c r="C578">
        <v>0.87</v>
      </c>
      <c r="D578">
        <v>0.29849999999999999</v>
      </c>
      <c r="E578">
        <v>1</v>
      </c>
      <c r="F578">
        <v>29</v>
      </c>
      <c r="G578">
        <v>30</v>
      </c>
    </row>
    <row r="579" spans="1:7" x14ac:dyDescent="0.3">
      <c r="A579">
        <v>578</v>
      </c>
      <c r="B579">
        <v>0.21210000000000001</v>
      </c>
      <c r="C579">
        <v>0.87</v>
      </c>
      <c r="D579">
        <v>0.29849999999999999</v>
      </c>
      <c r="E579">
        <v>3</v>
      </c>
      <c r="F579">
        <v>69</v>
      </c>
      <c r="G579">
        <v>72</v>
      </c>
    </row>
    <row r="580" spans="1:7" x14ac:dyDescent="0.3">
      <c r="A580">
        <v>579</v>
      </c>
      <c r="B580">
        <v>0.21210000000000001</v>
      </c>
      <c r="C580">
        <v>0.87</v>
      </c>
      <c r="D580">
        <v>0.29849999999999999</v>
      </c>
      <c r="E580">
        <v>3</v>
      </c>
      <c r="F580">
        <v>55</v>
      </c>
      <c r="G580">
        <v>58</v>
      </c>
    </row>
    <row r="581" spans="1:7" x14ac:dyDescent="0.3">
      <c r="A581">
        <v>580</v>
      </c>
      <c r="B581">
        <v>0.21210000000000001</v>
      </c>
      <c r="C581">
        <v>0.93</v>
      </c>
      <c r="D581">
        <v>0.28360000000000002</v>
      </c>
      <c r="E581">
        <v>2</v>
      </c>
      <c r="F581">
        <v>26</v>
      </c>
      <c r="G581">
        <v>28</v>
      </c>
    </row>
    <row r="582" spans="1:7" x14ac:dyDescent="0.3">
      <c r="A582">
        <v>581</v>
      </c>
      <c r="B582">
        <v>0.19700000000000001</v>
      </c>
      <c r="C582">
        <v>0.93</v>
      </c>
      <c r="D582">
        <v>0.32840000000000003</v>
      </c>
      <c r="E582">
        <v>6</v>
      </c>
      <c r="F582">
        <v>35</v>
      </c>
      <c r="G582">
        <v>41</v>
      </c>
    </row>
    <row r="583" spans="1:7" x14ac:dyDescent="0.3">
      <c r="A583">
        <v>582</v>
      </c>
      <c r="B583">
        <v>0.19700000000000001</v>
      </c>
      <c r="C583">
        <v>0.93</v>
      </c>
      <c r="D583">
        <v>0.32840000000000003</v>
      </c>
      <c r="E583">
        <v>7</v>
      </c>
      <c r="F583">
        <v>41</v>
      </c>
      <c r="G583">
        <v>48</v>
      </c>
    </row>
    <row r="584" spans="1:7" x14ac:dyDescent="0.3">
      <c r="A584">
        <v>583</v>
      </c>
      <c r="B584">
        <v>0.19700000000000001</v>
      </c>
      <c r="C584">
        <v>0.93</v>
      </c>
      <c r="D584">
        <v>0.32840000000000003</v>
      </c>
      <c r="E584">
        <v>4</v>
      </c>
      <c r="F584">
        <v>43</v>
      </c>
      <c r="G584">
        <v>47</v>
      </c>
    </row>
    <row r="585" spans="1:7" x14ac:dyDescent="0.3">
      <c r="A585">
        <v>584</v>
      </c>
      <c r="B585">
        <v>0.19700000000000001</v>
      </c>
      <c r="C585">
        <v>0.93</v>
      </c>
      <c r="D585">
        <v>0.35820000000000002</v>
      </c>
      <c r="E585">
        <v>0</v>
      </c>
      <c r="F585">
        <v>36</v>
      </c>
      <c r="G585">
        <v>36</v>
      </c>
    </row>
    <row r="586" spans="1:7" x14ac:dyDescent="0.3">
      <c r="A586">
        <v>585</v>
      </c>
      <c r="B586">
        <v>0.18179999999999999</v>
      </c>
      <c r="C586">
        <v>0.93</v>
      </c>
      <c r="D586">
        <v>0.4627</v>
      </c>
      <c r="E586">
        <v>1</v>
      </c>
      <c r="F586">
        <v>42</v>
      </c>
      <c r="G586">
        <v>43</v>
      </c>
    </row>
    <row r="587" spans="1:7" x14ac:dyDescent="0.3">
      <c r="A587">
        <v>586</v>
      </c>
      <c r="B587">
        <v>0.19700000000000001</v>
      </c>
      <c r="C587">
        <v>0.93</v>
      </c>
      <c r="D587">
        <v>0.32840000000000003</v>
      </c>
      <c r="E587">
        <v>1</v>
      </c>
      <c r="F587">
        <v>35</v>
      </c>
      <c r="G587">
        <v>36</v>
      </c>
    </row>
    <row r="588" spans="1:7" x14ac:dyDescent="0.3">
      <c r="A588">
        <v>587</v>
      </c>
      <c r="B588">
        <v>0.18179999999999999</v>
      </c>
      <c r="C588">
        <v>0.93</v>
      </c>
      <c r="D588">
        <v>0.35820000000000002</v>
      </c>
      <c r="E588">
        <v>0</v>
      </c>
      <c r="F588">
        <v>26</v>
      </c>
      <c r="G588">
        <v>26</v>
      </c>
    </row>
    <row r="589" spans="1:7" x14ac:dyDescent="0.3">
      <c r="A589">
        <v>588</v>
      </c>
      <c r="B589">
        <v>0.2273</v>
      </c>
      <c r="C589">
        <v>0.55000000000000004</v>
      </c>
      <c r="D589">
        <v>0.19400000000000001</v>
      </c>
      <c r="E589">
        <v>1</v>
      </c>
      <c r="F589">
        <v>23</v>
      </c>
      <c r="G589">
        <v>24</v>
      </c>
    </row>
    <row r="590" spans="1:7" x14ac:dyDescent="0.3">
      <c r="A590">
        <v>589</v>
      </c>
      <c r="B590">
        <v>0.2424</v>
      </c>
      <c r="C590">
        <v>0.55000000000000004</v>
      </c>
      <c r="D590">
        <v>0.1045</v>
      </c>
      <c r="E590">
        <v>2</v>
      </c>
      <c r="F590">
        <v>82</v>
      </c>
      <c r="G590">
        <v>84</v>
      </c>
    </row>
    <row r="591" spans="1:7" x14ac:dyDescent="0.3">
      <c r="A591">
        <v>590</v>
      </c>
      <c r="B591">
        <v>0.2273</v>
      </c>
      <c r="C591">
        <v>0.69</v>
      </c>
      <c r="D591">
        <v>8.9599999999999999E-2</v>
      </c>
      <c r="E591">
        <v>3</v>
      </c>
      <c r="F591">
        <v>101</v>
      </c>
      <c r="G591">
        <v>104</v>
      </c>
    </row>
    <row r="592" spans="1:7" x14ac:dyDescent="0.3">
      <c r="A592">
        <v>591</v>
      </c>
      <c r="B592">
        <v>0.2273</v>
      </c>
      <c r="C592">
        <v>0.69</v>
      </c>
      <c r="D592">
        <v>8.9599999999999999E-2</v>
      </c>
      <c r="E592">
        <v>3</v>
      </c>
      <c r="F592">
        <v>76</v>
      </c>
      <c r="G592">
        <v>79</v>
      </c>
    </row>
    <row r="593" spans="1:7" x14ac:dyDescent="0.3">
      <c r="A593">
        <v>592</v>
      </c>
      <c r="B593">
        <v>0.21210000000000001</v>
      </c>
      <c r="C593">
        <v>0.74</v>
      </c>
      <c r="D593">
        <v>8.9599999999999999E-2</v>
      </c>
      <c r="E593">
        <v>4</v>
      </c>
      <c r="F593">
        <v>55</v>
      </c>
      <c r="G593">
        <v>59</v>
      </c>
    </row>
    <row r="594" spans="1:7" x14ac:dyDescent="0.3">
      <c r="A594">
        <v>593</v>
      </c>
      <c r="B594">
        <v>0.21210000000000001</v>
      </c>
      <c r="C594">
        <v>0.74</v>
      </c>
      <c r="D594">
        <v>8.9599999999999999E-2</v>
      </c>
      <c r="E594">
        <v>2</v>
      </c>
      <c r="F594">
        <v>36</v>
      </c>
      <c r="G594">
        <v>38</v>
      </c>
    </row>
    <row r="595" spans="1:7" x14ac:dyDescent="0.3">
      <c r="A595">
        <v>594</v>
      </c>
      <c r="B595">
        <v>0.21210000000000001</v>
      </c>
      <c r="C595">
        <v>0.74</v>
      </c>
      <c r="D595">
        <v>8.9599999999999999E-2</v>
      </c>
      <c r="E595">
        <v>0</v>
      </c>
      <c r="F595">
        <v>27</v>
      </c>
      <c r="G595">
        <v>27</v>
      </c>
    </row>
    <row r="596" spans="1:7" x14ac:dyDescent="0.3">
      <c r="A596">
        <v>595</v>
      </c>
      <c r="B596">
        <v>0.19700000000000001</v>
      </c>
      <c r="C596">
        <v>0.8</v>
      </c>
      <c r="D596">
        <v>0.16420000000000001</v>
      </c>
      <c r="E596">
        <v>0</v>
      </c>
      <c r="F596">
        <v>16</v>
      </c>
      <c r="G596">
        <v>16</v>
      </c>
    </row>
    <row r="597" spans="1:7" x14ac:dyDescent="0.3">
      <c r="A597">
        <v>596</v>
      </c>
      <c r="B597">
        <v>0.21210000000000001</v>
      </c>
      <c r="C597">
        <v>0.75</v>
      </c>
      <c r="D597">
        <v>0.1343</v>
      </c>
      <c r="E597">
        <v>0</v>
      </c>
      <c r="F597">
        <v>9</v>
      </c>
      <c r="G597">
        <v>9</v>
      </c>
    </row>
    <row r="598" spans="1:7" x14ac:dyDescent="0.3">
      <c r="A598">
        <v>597</v>
      </c>
      <c r="B598">
        <v>0.21210000000000001</v>
      </c>
      <c r="C598">
        <v>0.75</v>
      </c>
      <c r="D598">
        <v>0.1343</v>
      </c>
      <c r="E598">
        <v>1</v>
      </c>
      <c r="F598">
        <v>2</v>
      </c>
      <c r="G598">
        <v>3</v>
      </c>
    </row>
    <row r="599" spans="1:7" x14ac:dyDescent="0.3">
      <c r="A599">
        <v>598</v>
      </c>
      <c r="B599">
        <v>0.21210000000000001</v>
      </c>
      <c r="C599">
        <v>0.75</v>
      </c>
      <c r="D599">
        <v>0.16420000000000001</v>
      </c>
      <c r="E599">
        <v>0</v>
      </c>
      <c r="F599">
        <v>2</v>
      </c>
      <c r="G599">
        <v>2</v>
      </c>
    </row>
    <row r="600" spans="1:7" x14ac:dyDescent="0.3">
      <c r="A600">
        <v>599</v>
      </c>
      <c r="B600">
        <v>0.2273</v>
      </c>
      <c r="C600">
        <v>0.75</v>
      </c>
      <c r="D600">
        <v>0.1045</v>
      </c>
      <c r="E600">
        <v>1</v>
      </c>
      <c r="F600">
        <v>0</v>
      </c>
      <c r="G600">
        <v>1</v>
      </c>
    </row>
    <row r="601" spans="1:7" x14ac:dyDescent="0.3">
      <c r="A601">
        <v>600</v>
      </c>
      <c r="B601">
        <v>0.21210000000000001</v>
      </c>
      <c r="C601">
        <v>0.8</v>
      </c>
      <c r="D601">
        <v>0.1045</v>
      </c>
      <c r="E601">
        <v>0</v>
      </c>
      <c r="F601">
        <v>4</v>
      </c>
      <c r="G601">
        <v>4</v>
      </c>
    </row>
    <row r="602" spans="1:7" x14ac:dyDescent="0.3">
      <c r="A602">
        <v>601</v>
      </c>
      <c r="B602">
        <v>0.19700000000000001</v>
      </c>
      <c r="C602">
        <v>0.8</v>
      </c>
      <c r="D602">
        <v>0.1343</v>
      </c>
      <c r="E602">
        <v>0</v>
      </c>
      <c r="F602">
        <v>16</v>
      </c>
      <c r="G602">
        <v>16</v>
      </c>
    </row>
    <row r="603" spans="1:7" x14ac:dyDescent="0.3">
      <c r="A603">
        <v>602</v>
      </c>
      <c r="B603">
        <v>0.19700000000000001</v>
      </c>
      <c r="C603">
        <v>0.86</v>
      </c>
      <c r="D603">
        <v>8.9599999999999999E-2</v>
      </c>
      <c r="E603">
        <v>2</v>
      </c>
      <c r="F603">
        <v>58</v>
      </c>
      <c r="G603">
        <v>60</v>
      </c>
    </row>
    <row r="604" spans="1:7" x14ac:dyDescent="0.3">
      <c r="A604">
        <v>603</v>
      </c>
      <c r="B604">
        <v>0.19700000000000001</v>
      </c>
      <c r="C604">
        <v>0.86</v>
      </c>
      <c r="D604">
        <v>8.9599999999999999E-2</v>
      </c>
      <c r="E604">
        <v>2</v>
      </c>
      <c r="F604">
        <v>155</v>
      </c>
      <c r="G604">
        <v>157</v>
      </c>
    </row>
    <row r="605" spans="1:7" x14ac:dyDescent="0.3">
      <c r="A605">
        <v>604</v>
      </c>
      <c r="B605">
        <v>0.21210000000000001</v>
      </c>
      <c r="C605">
        <v>0.86</v>
      </c>
      <c r="D605">
        <v>8.9599999999999999E-2</v>
      </c>
      <c r="E605">
        <v>6</v>
      </c>
      <c r="F605">
        <v>95</v>
      </c>
      <c r="G605">
        <v>101</v>
      </c>
    </row>
    <row r="606" spans="1:7" x14ac:dyDescent="0.3">
      <c r="A606">
        <v>605</v>
      </c>
      <c r="B606">
        <v>0.21210000000000001</v>
      </c>
      <c r="C606">
        <v>0.86</v>
      </c>
      <c r="D606">
        <v>0.1045</v>
      </c>
      <c r="E606">
        <v>0</v>
      </c>
      <c r="F606">
        <v>49</v>
      </c>
      <c r="G606">
        <v>49</v>
      </c>
    </row>
    <row r="607" spans="1:7" x14ac:dyDescent="0.3">
      <c r="A607">
        <v>606</v>
      </c>
      <c r="B607">
        <v>0.21210000000000001</v>
      </c>
      <c r="C607">
        <v>0.93</v>
      </c>
      <c r="D607">
        <v>0.1045</v>
      </c>
      <c r="E607">
        <v>0</v>
      </c>
      <c r="F607">
        <v>30</v>
      </c>
      <c r="G607">
        <v>30</v>
      </c>
    </row>
    <row r="608" spans="1:7" x14ac:dyDescent="0.3">
      <c r="A608">
        <v>607</v>
      </c>
      <c r="B608">
        <v>0.21210000000000001</v>
      </c>
      <c r="C608">
        <v>0.93</v>
      </c>
      <c r="D608">
        <v>0.1045</v>
      </c>
      <c r="E608">
        <v>1</v>
      </c>
      <c r="F608">
        <v>28</v>
      </c>
      <c r="G608">
        <v>29</v>
      </c>
    </row>
    <row r="609" spans="1:7" x14ac:dyDescent="0.3">
      <c r="A609">
        <v>608</v>
      </c>
      <c r="B609">
        <v>0.21210000000000001</v>
      </c>
      <c r="C609">
        <v>0.93</v>
      </c>
      <c r="D609">
        <v>0.1045</v>
      </c>
      <c r="E609">
        <v>0</v>
      </c>
      <c r="F609">
        <v>31</v>
      </c>
      <c r="G609">
        <v>31</v>
      </c>
    </row>
    <row r="610" spans="1:7" x14ac:dyDescent="0.3">
      <c r="A610">
        <v>609</v>
      </c>
      <c r="B610">
        <v>0.2727</v>
      </c>
      <c r="C610">
        <v>0.8</v>
      </c>
      <c r="D610">
        <v>0</v>
      </c>
      <c r="E610">
        <v>2</v>
      </c>
      <c r="F610">
        <v>36</v>
      </c>
      <c r="G610">
        <v>38</v>
      </c>
    </row>
    <row r="611" spans="1:7" x14ac:dyDescent="0.3">
      <c r="A611">
        <v>610</v>
      </c>
      <c r="B611">
        <v>0.2576</v>
      </c>
      <c r="C611">
        <v>0.86</v>
      </c>
      <c r="D611">
        <v>0</v>
      </c>
      <c r="E611">
        <v>1</v>
      </c>
      <c r="F611">
        <v>40</v>
      </c>
      <c r="G611">
        <v>41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B5FF6-331E-4CA8-BA7F-5CC8636EEFDB}">
  <dimension ref="A1:J611"/>
  <sheetViews>
    <sheetView topLeftCell="A2" workbookViewId="0">
      <selection activeCell="F2" sqref="F2:F611"/>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40544</v>
      </c>
      <c r="C2">
        <v>1</v>
      </c>
      <c r="D2">
        <v>0</v>
      </c>
      <c r="E2">
        <v>1</v>
      </c>
      <c r="F2">
        <v>0</v>
      </c>
      <c r="G2" t="b">
        <v>0</v>
      </c>
      <c r="H2">
        <v>6</v>
      </c>
      <c r="I2">
        <v>1</v>
      </c>
      <c r="J2">
        <v>0.24</v>
      </c>
    </row>
    <row r="3" spans="1:10" x14ac:dyDescent="0.3">
      <c r="A3">
        <v>2</v>
      </c>
      <c r="B3" s="1">
        <v>40544</v>
      </c>
      <c r="C3">
        <v>1</v>
      </c>
      <c r="D3">
        <v>0</v>
      </c>
      <c r="E3">
        <v>1</v>
      </c>
      <c r="F3">
        <v>1</v>
      </c>
      <c r="G3" t="b">
        <v>0</v>
      </c>
      <c r="H3">
        <v>6</v>
      </c>
      <c r="I3">
        <v>1</v>
      </c>
      <c r="J3">
        <v>0.22</v>
      </c>
    </row>
    <row r="4" spans="1:10" x14ac:dyDescent="0.3">
      <c r="A4">
        <v>3</v>
      </c>
      <c r="B4" s="1">
        <v>40544</v>
      </c>
      <c r="C4">
        <v>1</v>
      </c>
      <c r="D4">
        <v>0</v>
      </c>
      <c r="E4">
        <v>1</v>
      </c>
      <c r="F4">
        <v>2</v>
      </c>
      <c r="G4" t="b">
        <v>0</v>
      </c>
      <c r="H4">
        <v>6</v>
      </c>
      <c r="I4">
        <v>1</v>
      </c>
      <c r="J4">
        <v>0.22</v>
      </c>
    </row>
    <row r="5" spans="1:10" x14ac:dyDescent="0.3">
      <c r="A5">
        <v>4</v>
      </c>
      <c r="B5" s="1">
        <v>40544</v>
      </c>
      <c r="C5">
        <v>1</v>
      </c>
      <c r="D5">
        <v>0</v>
      </c>
      <c r="E5">
        <v>1</v>
      </c>
      <c r="F5">
        <v>3</v>
      </c>
      <c r="G5" t="b">
        <v>0</v>
      </c>
      <c r="H5">
        <v>6</v>
      </c>
      <c r="I5">
        <v>1</v>
      </c>
      <c r="J5">
        <v>0.24</v>
      </c>
    </row>
    <row r="6" spans="1:10" x14ac:dyDescent="0.3">
      <c r="A6">
        <v>5</v>
      </c>
      <c r="B6" s="1">
        <v>40544</v>
      </c>
      <c r="C6">
        <v>1</v>
      </c>
      <c r="D6">
        <v>0</v>
      </c>
      <c r="E6">
        <v>1</v>
      </c>
      <c r="F6">
        <v>4</v>
      </c>
      <c r="G6" t="b">
        <v>0</v>
      </c>
      <c r="H6">
        <v>6</v>
      </c>
      <c r="I6">
        <v>1</v>
      </c>
      <c r="J6">
        <v>0.24</v>
      </c>
    </row>
    <row r="7" spans="1:10" x14ac:dyDescent="0.3">
      <c r="A7">
        <v>6</v>
      </c>
      <c r="B7" s="1">
        <v>40544</v>
      </c>
      <c r="C7">
        <v>1</v>
      </c>
      <c r="D7">
        <v>0</v>
      </c>
      <c r="E7">
        <v>1</v>
      </c>
      <c r="F7">
        <v>5</v>
      </c>
      <c r="G7" t="b">
        <v>0</v>
      </c>
      <c r="H7">
        <v>6</v>
      </c>
      <c r="I7">
        <v>2</v>
      </c>
      <c r="J7">
        <v>0.24</v>
      </c>
    </row>
    <row r="8" spans="1:10" x14ac:dyDescent="0.3">
      <c r="A8">
        <v>7</v>
      </c>
      <c r="B8" s="1">
        <v>40544</v>
      </c>
      <c r="C8">
        <v>1</v>
      </c>
      <c r="D8">
        <v>0</v>
      </c>
      <c r="E8">
        <v>1</v>
      </c>
      <c r="F8">
        <v>6</v>
      </c>
      <c r="G8" t="b">
        <v>0</v>
      </c>
      <c r="H8">
        <v>6</v>
      </c>
      <c r="I8">
        <v>1</v>
      </c>
      <c r="J8">
        <v>0.22</v>
      </c>
    </row>
    <row r="9" spans="1:10" x14ac:dyDescent="0.3">
      <c r="A9">
        <v>8</v>
      </c>
      <c r="B9" s="1">
        <v>40544</v>
      </c>
      <c r="C9">
        <v>1</v>
      </c>
      <c r="D9">
        <v>0</v>
      </c>
      <c r="E9">
        <v>1</v>
      </c>
      <c r="F9">
        <v>7</v>
      </c>
      <c r="G9" t="b">
        <v>0</v>
      </c>
      <c r="H9">
        <v>6</v>
      </c>
      <c r="I9">
        <v>1</v>
      </c>
      <c r="J9">
        <v>0.2</v>
      </c>
    </row>
    <row r="10" spans="1:10" x14ac:dyDescent="0.3">
      <c r="A10">
        <v>9</v>
      </c>
      <c r="B10" s="1">
        <v>40544</v>
      </c>
      <c r="C10">
        <v>1</v>
      </c>
      <c r="D10">
        <v>0</v>
      </c>
      <c r="E10">
        <v>1</v>
      </c>
      <c r="F10">
        <v>8</v>
      </c>
      <c r="G10" t="b">
        <v>0</v>
      </c>
      <c r="H10">
        <v>6</v>
      </c>
      <c r="I10">
        <v>1</v>
      </c>
      <c r="J10">
        <v>0.24</v>
      </c>
    </row>
    <row r="11" spans="1:10" x14ac:dyDescent="0.3">
      <c r="A11">
        <v>10</v>
      </c>
      <c r="B11" s="1">
        <v>40544</v>
      </c>
      <c r="C11">
        <v>1</v>
      </c>
      <c r="D11">
        <v>0</v>
      </c>
      <c r="E11">
        <v>1</v>
      </c>
      <c r="F11">
        <v>9</v>
      </c>
      <c r="G11" t="b">
        <v>0</v>
      </c>
      <c r="H11">
        <v>6</v>
      </c>
      <c r="I11">
        <v>1</v>
      </c>
      <c r="J11">
        <v>0.32</v>
      </c>
    </row>
    <row r="12" spans="1:10" x14ac:dyDescent="0.3">
      <c r="A12">
        <v>11</v>
      </c>
      <c r="B12" s="1">
        <v>40544</v>
      </c>
      <c r="C12">
        <v>1</v>
      </c>
      <c r="D12">
        <v>0</v>
      </c>
      <c r="E12">
        <v>1</v>
      </c>
      <c r="F12">
        <v>10</v>
      </c>
      <c r="G12" t="b">
        <v>0</v>
      </c>
      <c r="H12">
        <v>6</v>
      </c>
      <c r="I12">
        <v>1</v>
      </c>
      <c r="J12">
        <v>0.38</v>
      </c>
    </row>
    <row r="13" spans="1:10" x14ac:dyDescent="0.3">
      <c r="A13">
        <v>12</v>
      </c>
      <c r="B13" s="1">
        <v>40544</v>
      </c>
      <c r="C13">
        <v>1</v>
      </c>
      <c r="D13">
        <v>0</v>
      </c>
      <c r="E13">
        <v>1</v>
      </c>
      <c r="F13">
        <v>11</v>
      </c>
      <c r="G13" t="b">
        <v>0</v>
      </c>
      <c r="H13">
        <v>6</v>
      </c>
      <c r="I13">
        <v>1</v>
      </c>
      <c r="J13">
        <v>0.36</v>
      </c>
    </row>
    <row r="14" spans="1:10" x14ac:dyDescent="0.3">
      <c r="A14">
        <v>13</v>
      </c>
      <c r="B14" s="1">
        <v>40544</v>
      </c>
      <c r="C14">
        <v>1</v>
      </c>
      <c r="D14">
        <v>0</v>
      </c>
      <c r="E14">
        <v>1</v>
      </c>
      <c r="F14">
        <v>12</v>
      </c>
      <c r="G14" t="b">
        <v>0</v>
      </c>
      <c r="H14">
        <v>6</v>
      </c>
      <c r="I14">
        <v>1</v>
      </c>
      <c r="J14">
        <v>0.42</v>
      </c>
    </row>
    <row r="15" spans="1:10" x14ac:dyDescent="0.3">
      <c r="A15">
        <v>14</v>
      </c>
      <c r="B15" s="1">
        <v>40544</v>
      </c>
      <c r="C15">
        <v>1</v>
      </c>
      <c r="D15">
        <v>0</v>
      </c>
      <c r="E15">
        <v>1</v>
      </c>
      <c r="F15">
        <v>13</v>
      </c>
      <c r="G15" t="b">
        <v>0</v>
      </c>
      <c r="H15">
        <v>6</v>
      </c>
      <c r="I15">
        <v>2</v>
      </c>
      <c r="J15">
        <v>0.46</v>
      </c>
    </row>
    <row r="16" spans="1:10" x14ac:dyDescent="0.3">
      <c r="A16">
        <v>15</v>
      </c>
      <c r="B16" s="1">
        <v>40544</v>
      </c>
      <c r="C16">
        <v>1</v>
      </c>
      <c r="D16">
        <v>0</v>
      </c>
      <c r="E16">
        <v>1</v>
      </c>
      <c r="F16">
        <v>14</v>
      </c>
      <c r="G16" t="b">
        <v>0</v>
      </c>
      <c r="H16">
        <v>6</v>
      </c>
      <c r="I16">
        <v>2</v>
      </c>
      <c r="J16">
        <v>0.46</v>
      </c>
    </row>
    <row r="17" spans="1:10" x14ac:dyDescent="0.3">
      <c r="A17">
        <v>16</v>
      </c>
      <c r="B17" s="1">
        <v>40544</v>
      </c>
      <c r="C17">
        <v>1</v>
      </c>
      <c r="D17">
        <v>0</v>
      </c>
      <c r="E17">
        <v>1</v>
      </c>
      <c r="F17">
        <v>15</v>
      </c>
      <c r="G17" t="b">
        <v>0</v>
      </c>
      <c r="H17">
        <v>6</v>
      </c>
      <c r="I17">
        <v>2</v>
      </c>
      <c r="J17">
        <v>0.44</v>
      </c>
    </row>
    <row r="18" spans="1:10" x14ac:dyDescent="0.3">
      <c r="A18">
        <v>17</v>
      </c>
      <c r="B18" s="1">
        <v>40544</v>
      </c>
      <c r="C18">
        <v>1</v>
      </c>
      <c r="D18">
        <v>0</v>
      </c>
      <c r="E18">
        <v>1</v>
      </c>
      <c r="F18">
        <v>16</v>
      </c>
      <c r="G18" t="b">
        <v>0</v>
      </c>
      <c r="H18">
        <v>6</v>
      </c>
      <c r="I18">
        <v>2</v>
      </c>
      <c r="J18">
        <v>0.42</v>
      </c>
    </row>
    <row r="19" spans="1:10" x14ac:dyDescent="0.3">
      <c r="A19">
        <v>18</v>
      </c>
      <c r="B19" s="1">
        <v>40544</v>
      </c>
      <c r="C19">
        <v>1</v>
      </c>
      <c r="D19">
        <v>0</v>
      </c>
      <c r="E19">
        <v>1</v>
      </c>
      <c r="F19">
        <v>17</v>
      </c>
      <c r="G19" t="b">
        <v>0</v>
      </c>
      <c r="H19">
        <v>6</v>
      </c>
      <c r="I19">
        <v>2</v>
      </c>
      <c r="J19">
        <v>0.44</v>
      </c>
    </row>
    <row r="20" spans="1:10" x14ac:dyDescent="0.3">
      <c r="A20">
        <v>19</v>
      </c>
      <c r="B20" s="1">
        <v>40544</v>
      </c>
      <c r="C20">
        <v>1</v>
      </c>
      <c r="D20">
        <v>0</v>
      </c>
      <c r="E20">
        <v>1</v>
      </c>
      <c r="F20">
        <v>18</v>
      </c>
      <c r="G20" t="b">
        <v>0</v>
      </c>
      <c r="H20">
        <v>6</v>
      </c>
      <c r="I20">
        <v>3</v>
      </c>
      <c r="J20">
        <v>0.42</v>
      </c>
    </row>
    <row r="21" spans="1:10" x14ac:dyDescent="0.3">
      <c r="A21">
        <v>20</v>
      </c>
      <c r="B21" s="1">
        <v>40544</v>
      </c>
      <c r="C21">
        <v>1</v>
      </c>
      <c r="D21">
        <v>0</v>
      </c>
      <c r="E21">
        <v>1</v>
      </c>
      <c r="F21">
        <v>19</v>
      </c>
      <c r="G21" t="b">
        <v>0</v>
      </c>
      <c r="H21">
        <v>6</v>
      </c>
      <c r="I21">
        <v>3</v>
      </c>
      <c r="J21">
        <v>0.42</v>
      </c>
    </row>
    <row r="22" spans="1:10" x14ac:dyDescent="0.3">
      <c r="A22">
        <v>21</v>
      </c>
      <c r="B22" s="1">
        <v>40544</v>
      </c>
      <c r="C22">
        <v>1</v>
      </c>
      <c r="D22">
        <v>0</v>
      </c>
      <c r="E22">
        <v>1</v>
      </c>
      <c r="F22">
        <v>20</v>
      </c>
      <c r="G22" t="b">
        <v>0</v>
      </c>
      <c r="H22">
        <v>6</v>
      </c>
      <c r="I22">
        <v>2</v>
      </c>
      <c r="J22">
        <v>0.4</v>
      </c>
    </row>
    <row r="23" spans="1:10" x14ac:dyDescent="0.3">
      <c r="A23">
        <v>22</v>
      </c>
      <c r="B23" s="1">
        <v>40544</v>
      </c>
      <c r="C23">
        <v>1</v>
      </c>
      <c r="D23">
        <v>0</v>
      </c>
      <c r="E23">
        <v>1</v>
      </c>
      <c r="F23">
        <v>21</v>
      </c>
      <c r="G23" t="b">
        <v>0</v>
      </c>
      <c r="H23">
        <v>6</v>
      </c>
      <c r="I23">
        <v>2</v>
      </c>
      <c r="J23">
        <v>0.4</v>
      </c>
    </row>
    <row r="24" spans="1:10" x14ac:dyDescent="0.3">
      <c r="A24">
        <v>23</v>
      </c>
      <c r="B24" s="1">
        <v>40544</v>
      </c>
      <c r="C24">
        <v>1</v>
      </c>
      <c r="D24">
        <v>0</v>
      </c>
      <c r="E24">
        <v>1</v>
      </c>
      <c r="F24">
        <v>22</v>
      </c>
      <c r="G24" t="b">
        <v>0</v>
      </c>
      <c r="H24">
        <v>6</v>
      </c>
      <c r="I24">
        <v>2</v>
      </c>
      <c r="J24">
        <v>0.4</v>
      </c>
    </row>
    <row r="25" spans="1:10" x14ac:dyDescent="0.3">
      <c r="A25">
        <v>24</v>
      </c>
      <c r="B25" s="1">
        <v>40544</v>
      </c>
      <c r="C25">
        <v>1</v>
      </c>
      <c r="D25">
        <v>0</v>
      </c>
      <c r="E25">
        <v>1</v>
      </c>
      <c r="F25">
        <v>23</v>
      </c>
      <c r="G25" t="b">
        <v>0</v>
      </c>
      <c r="H25">
        <v>6</v>
      </c>
      <c r="I25">
        <v>2</v>
      </c>
      <c r="J25">
        <v>0.46</v>
      </c>
    </row>
    <row r="26" spans="1:10" x14ac:dyDescent="0.3">
      <c r="A26">
        <v>25</v>
      </c>
      <c r="B26" s="1">
        <v>40545</v>
      </c>
      <c r="C26">
        <v>1</v>
      </c>
      <c r="D26">
        <v>0</v>
      </c>
      <c r="E26">
        <v>1</v>
      </c>
      <c r="F26">
        <v>0</v>
      </c>
      <c r="G26" t="b">
        <v>0</v>
      </c>
      <c r="H26">
        <v>0</v>
      </c>
      <c r="I26">
        <v>2</v>
      </c>
      <c r="J26">
        <v>0.46</v>
      </c>
    </row>
    <row r="27" spans="1:10" x14ac:dyDescent="0.3">
      <c r="A27">
        <v>26</v>
      </c>
      <c r="B27" s="1">
        <v>40545</v>
      </c>
      <c r="C27">
        <v>1</v>
      </c>
      <c r="D27">
        <v>0</v>
      </c>
      <c r="E27">
        <v>1</v>
      </c>
      <c r="F27">
        <v>1</v>
      </c>
      <c r="G27" t="b">
        <v>0</v>
      </c>
      <c r="H27">
        <v>0</v>
      </c>
      <c r="I27">
        <v>2</v>
      </c>
      <c r="J27">
        <v>0.44</v>
      </c>
    </row>
    <row r="28" spans="1:10" x14ac:dyDescent="0.3">
      <c r="A28">
        <v>27</v>
      </c>
      <c r="B28" s="1">
        <v>40545</v>
      </c>
      <c r="C28">
        <v>1</v>
      </c>
      <c r="D28">
        <v>0</v>
      </c>
      <c r="E28">
        <v>1</v>
      </c>
      <c r="F28">
        <v>2</v>
      </c>
      <c r="G28" t="b">
        <v>0</v>
      </c>
      <c r="H28">
        <v>0</v>
      </c>
      <c r="I28">
        <v>2</v>
      </c>
      <c r="J28">
        <v>0.42</v>
      </c>
    </row>
    <row r="29" spans="1:10" x14ac:dyDescent="0.3">
      <c r="A29">
        <v>28</v>
      </c>
      <c r="B29" s="1">
        <v>40545</v>
      </c>
      <c r="C29">
        <v>1</v>
      </c>
      <c r="D29">
        <v>0</v>
      </c>
      <c r="E29">
        <v>1</v>
      </c>
      <c r="F29">
        <v>3</v>
      </c>
      <c r="G29" t="b">
        <v>0</v>
      </c>
      <c r="H29">
        <v>0</v>
      </c>
      <c r="I29">
        <v>2</v>
      </c>
      <c r="J29">
        <v>0.46</v>
      </c>
    </row>
    <row r="30" spans="1:10" x14ac:dyDescent="0.3">
      <c r="A30">
        <v>29</v>
      </c>
      <c r="B30" s="1">
        <v>40545</v>
      </c>
      <c r="C30">
        <v>1</v>
      </c>
      <c r="D30">
        <v>0</v>
      </c>
      <c r="E30">
        <v>1</v>
      </c>
      <c r="F30">
        <v>4</v>
      </c>
      <c r="G30" t="b">
        <v>0</v>
      </c>
      <c r="H30">
        <v>0</v>
      </c>
      <c r="I30">
        <v>2</v>
      </c>
      <c r="J30">
        <v>0.46</v>
      </c>
    </row>
    <row r="31" spans="1:10" x14ac:dyDescent="0.3">
      <c r="A31">
        <v>30</v>
      </c>
      <c r="B31" s="1">
        <v>40545</v>
      </c>
      <c r="C31">
        <v>1</v>
      </c>
      <c r="D31">
        <v>0</v>
      </c>
      <c r="E31">
        <v>1</v>
      </c>
      <c r="F31">
        <v>6</v>
      </c>
      <c r="G31" t="b">
        <v>0</v>
      </c>
      <c r="H31">
        <v>0</v>
      </c>
      <c r="I31">
        <v>3</v>
      </c>
      <c r="J31">
        <v>0.42</v>
      </c>
    </row>
    <row r="32" spans="1:10" x14ac:dyDescent="0.3">
      <c r="A32">
        <v>31</v>
      </c>
      <c r="B32" s="1">
        <v>40545</v>
      </c>
      <c r="C32">
        <v>1</v>
      </c>
      <c r="D32">
        <v>0</v>
      </c>
      <c r="E32">
        <v>1</v>
      </c>
      <c r="F32">
        <v>7</v>
      </c>
      <c r="G32" t="b">
        <v>0</v>
      </c>
      <c r="H32">
        <v>0</v>
      </c>
      <c r="I32">
        <v>2</v>
      </c>
      <c r="J32">
        <v>0.4</v>
      </c>
    </row>
    <row r="33" spans="1:10" x14ac:dyDescent="0.3">
      <c r="A33">
        <v>32</v>
      </c>
      <c r="B33" s="1">
        <v>40545</v>
      </c>
      <c r="C33">
        <v>1</v>
      </c>
      <c r="D33">
        <v>0</v>
      </c>
      <c r="E33">
        <v>1</v>
      </c>
      <c r="F33">
        <v>8</v>
      </c>
      <c r="G33" t="b">
        <v>0</v>
      </c>
      <c r="H33">
        <v>0</v>
      </c>
      <c r="I33">
        <v>3</v>
      </c>
      <c r="J33">
        <v>0.4</v>
      </c>
    </row>
    <row r="34" spans="1:10" x14ac:dyDescent="0.3">
      <c r="A34">
        <v>33</v>
      </c>
      <c r="B34" s="1">
        <v>40545</v>
      </c>
      <c r="C34">
        <v>1</v>
      </c>
      <c r="D34">
        <v>0</v>
      </c>
      <c r="E34">
        <v>1</v>
      </c>
      <c r="F34">
        <v>9</v>
      </c>
      <c r="G34" t="b">
        <v>0</v>
      </c>
      <c r="H34">
        <v>0</v>
      </c>
      <c r="I34">
        <v>2</v>
      </c>
      <c r="J34">
        <v>0.38</v>
      </c>
    </row>
    <row r="35" spans="1:10" x14ac:dyDescent="0.3">
      <c r="A35">
        <v>34</v>
      </c>
      <c r="B35" s="1">
        <v>40545</v>
      </c>
      <c r="C35">
        <v>1</v>
      </c>
      <c r="D35">
        <v>0</v>
      </c>
      <c r="E35">
        <v>1</v>
      </c>
      <c r="F35">
        <v>10</v>
      </c>
      <c r="G35" t="b">
        <v>0</v>
      </c>
      <c r="H35">
        <v>0</v>
      </c>
      <c r="I35">
        <v>2</v>
      </c>
      <c r="J35">
        <v>0.36</v>
      </c>
    </row>
    <row r="36" spans="1:10" x14ac:dyDescent="0.3">
      <c r="A36">
        <v>35</v>
      </c>
      <c r="B36" s="1">
        <v>40545</v>
      </c>
      <c r="C36">
        <v>1</v>
      </c>
      <c r="D36">
        <v>0</v>
      </c>
      <c r="E36">
        <v>1</v>
      </c>
      <c r="F36">
        <v>11</v>
      </c>
      <c r="G36" t="b">
        <v>0</v>
      </c>
      <c r="H36">
        <v>0</v>
      </c>
      <c r="I36">
        <v>2</v>
      </c>
      <c r="J36">
        <v>0.36</v>
      </c>
    </row>
    <row r="37" spans="1:10" x14ac:dyDescent="0.3">
      <c r="A37">
        <v>36</v>
      </c>
      <c r="B37" s="1">
        <v>40545</v>
      </c>
      <c r="C37">
        <v>1</v>
      </c>
      <c r="D37">
        <v>0</v>
      </c>
      <c r="E37">
        <v>1</v>
      </c>
      <c r="F37">
        <v>12</v>
      </c>
      <c r="G37" t="b">
        <v>0</v>
      </c>
      <c r="H37">
        <v>0</v>
      </c>
      <c r="I37">
        <v>2</v>
      </c>
      <c r="J37">
        <v>0.36</v>
      </c>
    </row>
    <row r="38" spans="1:10" x14ac:dyDescent="0.3">
      <c r="A38">
        <v>37</v>
      </c>
      <c r="B38" s="1">
        <v>40545</v>
      </c>
      <c r="C38">
        <v>1</v>
      </c>
      <c r="D38">
        <v>0</v>
      </c>
      <c r="E38">
        <v>1</v>
      </c>
      <c r="F38">
        <v>13</v>
      </c>
      <c r="G38" t="b">
        <v>0</v>
      </c>
      <c r="H38">
        <v>0</v>
      </c>
      <c r="I38">
        <v>2</v>
      </c>
      <c r="J38">
        <v>0.36</v>
      </c>
    </row>
    <row r="39" spans="1:10" x14ac:dyDescent="0.3">
      <c r="A39">
        <v>38</v>
      </c>
      <c r="B39" s="1">
        <v>40545</v>
      </c>
      <c r="C39">
        <v>1</v>
      </c>
      <c r="D39">
        <v>0</v>
      </c>
      <c r="E39">
        <v>1</v>
      </c>
      <c r="F39">
        <v>14</v>
      </c>
      <c r="G39" t="b">
        <v>0</v>
      </c>
      <c r="H39">
        <v>0</v>
      </c>
      <c r="I39">
        <v>3</v>
      </c>
      <c r="J39">
        <v>0.36</v>
      </c>
    </row>
    <row r="40" spans="1:10" x14ac:dyDescent="0.3">
      <c r="A40">
        <v>39</v>
      </c>
      <c r="B40" s="1">
        <v>40545</v>
      </c>
      <c r="C40">
        <v>1</v>
      </c>
      <c r="D40">
        <v>0</v>
      </c>
      <c r="E40">
        <v>1</v>
      </c>
      <c r="F40">
        <v>15</v>
      </c>
      <c r="G40" t="b">
        <v>0</v>
      </c>
      <c r="H40">
        <v>0</v>
      </c>
      <c r="I40">
        <v>3</v>
      </c>
      <c r="J40">
        <v>0.34</v>
      </c>
    </row>
    <row r="41" spans="1:10" x14ac:dyDescent="0.3">
      <c r="A41">
        <v>40</v>
      </c>
      <c r="B41" s="1">
        <v>40545</v>
      </c>
      <c r="C41">
        <v>1</v>
      </c>
      <c r="D41">
        <v>0</v>
      </c>
      <c r="E41">
        <v>1</v>
      </c>
      <c r="F41">
        <v>16</v>
      </c>
      <c r="G41" t="b">
        <v>0</v>
      </c>
      <c r="H41">
        <v>0</v>
      </c>
      <c r="I41">
        <v>3</v>
      </c>
      <c r="J41">
        <v>0.34</v>
      </c>
    </row>
    <row r="42" spans="1:10" x14ac:dyDescent="0.3">
      <c r="A42">
        <v>41</v>
      </c>
      <c r="B42" s="1">
        <v>40545</v>
      </c>
      <c r="C42">
        <v>1</v>
      </c>
      <c r="D42">
        <v>0</v>
      </c>
      <c r="E42">
        <v>1</v>
      </c>
      <c r="F42">
        <v>17</v>
      </c>
      <c r="G42" t="b">
        <v>0</v>
      </c>
      <c r="H42">
        <v>0</v>
      </c>
      <c r="I42">
        <v>1</v>
      </c>
      <c r="J42">
        <v>0.34</v>
      </c>
    </row>
    <row r="43" spans="1:10" x14ac:dyDescent="0.3">
      <c r="A43">
        <v>42</v>
      </c>
      <c r="B43" s="1">
        <v>40545</v>
      </c>
      <c r="C43">
        <v>1</v>
      </c>
      <c r="D43">
        <v>0</v>
      </c>
      <c r="E43">
        <v>1</v>
      </c>
      <c r="F43">
        <v>18</v>
      </c>
      <c r="G43" t="b">
        <v>0</v>
      </c>
      <c r="H43">
        <v>0</v>
      </c>
      <c r="I43">
        <v>2</v>
      </c>
      <c r="J43">
        <v>0.36</v>
      </c>
    </row>
    <row r="44" spans="1:10" x14ac:dyDescent="0.3">
      <c r="A44">
        <v>43</v>
      </c>
      <c r="B44" s="1">
        <v>40545</v>
      </c>
      <c r="C44">
        <v>1</v>
      </c>
      <c r="D44">
        <v>0</v>
      </c>
      <c r="E44">
        <v>1</v>
      </c>
      <c r="F44">
        <v>19</v>
      </c>
      <c r="G44" t="b">
        <v>0</v>
      </c>
      <c r="H44">
        <v>0</v>
      </c>
      <c r="I44">
        <v>1</v>
      </c>
      <c r="J44">
        <v>0.32</v>
      </c>
    </row>
    <row r="45" spans="1:10" x14ac:dyDescent="0.3">
      <c r="A45">
        <v>44</v>
      </c>
      <c r="B45" s="1">
        <v>40545</v>
      </c>
      <c r="C45">
        <v>1</v>
      </c>
      <c r="D45">
        <v>0</v>
      </c>
      <c r="E45">
        <v>1</v>
      </c>
      <c r="F45">
        <v>20</v>
      </c>
      <c r="G45" t="b">
        <v>0</v>
      </c>
      <c r="H45">
        <v>0</v>
      </c>
      <c r="I45">
        <v>1</v>
      </c>
      <c r="J45">
        <v>0.3</v>
      </c>
    </row>
    <row r="46" spans="1:10" x14ac:dyDescent="0.3">
      <c r="A46">
        <v>45</v>
      </c>
      <c r="B46" s="1">
        <v>40545</v>
      </c>
      <c r="C46">
        <v>1</v>
      </c>
      <c r="D46">
        <v>0</v>
      </c>
      <c r="E46">
        <v>1</v>
      </c>
      <c r="F46">
        <v>21</v>
      </c>
      <c r="G46" t="b">
        <v>0</v>
      </c>
      <c r="H46">
        <v>0</v>
      </c>
      <c r="I46">
        <v>1</v>
      </c>
      <c r="J46">
        <v>0.26</v>
      </c>
    </row>
    <row r="47" spans="1:10" x14ac:dyDescent="0.3">
      <c r="A47">
        <v>46</v>
      </c>
      <c r="B47" s="1">
        <v>40545</v>
      </c>
      <c r="C47">
        <v>1</v>
      </c>
      <c r="D47">
        <v>0</v>
      </c>
      <c r="E47">
        <v>1</v>
      </c>
      <c r="F47">
        <v>22</v>
      </c>
      <c r="G47" t="b">
        <v>0</v>
      </c>
      <c r="H47">
        <v>0</v>
      </c>
      <c r="I47">
        <v>1</v>
      </c>
      <c r="J47">
        <v>0.24</v>
      </c>
    </row>
    <row r="48" spans="1:10" x14ac:dyDescent="0.3">
      <c r="A48">
        <v>47</v>
      </c>
      <c r="B48" s="1">
        <v>40545</v>
      </c>
      <c r="C48">
        <v>1</v>
      </c>
      <c r="D48">
        <v>0</v>
      </c>
      <c r="E48">
        <v>1</v>
      </c>
      <c r="F48">
        <v>23</v>
      </c>
      <c r="G48" t="b">
        <v>0</v>
      </c>
      <c r="H48">
        <v>0</v>
      </c>
      <c r="I48">
        <v>1</v>
      </c>
      <c r="J48">
        <v>0.22</v>
      </c>
    </row>
    <row r="49" spans="1:10" x14ac:dyDescent="0.3">
      <c r="A49">
        <v>48</v>
      </c>
      <c r="B49" s="1">
        <v>40546</v>
      </c>
      <c r="C49">
        <v>1</v>
      </c>
      <c r="D49">
        <v>0</v>
      </c>
      <c r="E49">
        <v>1</v>
      </c>
      <c r="F49">
        <v>0</v>
      </c>
      <c r="G49" t="b">
        <v>0</v>
      </c>
      <c r="H49">
        <v>1</v>
      </c>
      <c r="I49">
        <v>1</v>
      </c>
      <c r="J49">
        <v>0.22</v>
      </c>
    </row>
    <row r="50" spans="1:10" x14ac:dyDescent="0.3">
      <c r="A50">
        <v>49</v>
      </c>
      <c r="B50" s="1">
        <v>40546</v>
      </c>
      <c r="C50">
        <v>1</v>
      </c>
      <c r="D50">
        <v>0</v>
      </c>
      <c r="E50">
        <v>1</v>
      </c>
      <c r="F50">
        <v>1</v>
      </c>
      <c r="G50" t="b">
        <v>0</v>
      </c>
      <c r="H50">
        <v>1</v>
      </c>
      <c r="I50">
        <v>1</v>
      </c>
      <c r="J50">
        <v>0.2</v>
      </c>
    </row>
    <row r="51" spans="1:10" x14ac:dyDescent="0.3">
      <c r="A51">
        <v>50</v>
      </c>
      <c r="B51" s="1">
        <v>40546</v>
      </c>
      <c r="C51">
        <v>1</v>
      </c>
      <c r="D51">
        <v>0</v>
      </c>
      <c r="E51">
        <v>1</v>
      </c>
      <c r="F51">
        <v>4</v>
      </c>
      <c r="G51" t="b">
        <v>0</v>
      </c>
      <c r="H51">
        <v>1</v>
      </c>
      <c r="I51">
        <v>1</v>
      </c>
      <c r="J51">
        <v>0.16</v>
      </c>
    </row>
    <row r="52" spans="1:10" x14ac:dyDescent="0.3">
      <c r="A52">
        <v>51</v>
      </c>
      <c r="B52" s="1">
        <v>40546</v>
      </c>
      <c r="C52">
        <v>1</v>
      </c>
      <c r="D52">
        <v>0</v>
      </c>
      <c r="E52">
        <v>1</v>
      </c>
      <c r="F52">
        <v>5</v>
      </c>
      <c r="G52" t="b">
        <v>0</v>
      </c>
      <c r="H52">
        <v>1</v>
      </c>
      <c r="I52">
        <v>1</v>
      </c>
      <c r="J52">
        <v>0.16</v>
      </c>
    </row>
    <row r="53" spans="1:10" x14ac:dyDescent="0.3">
      <c r="A53">
        <v>52</v>
      </c>
      <c r="B53" s="1">
        <v>40546</v>
      </c>
      <c r="C53">
        <v>1</v>
      </c>
      <c r="D53">
        <v>0</v>
      </c>
      <c r="E53">
        <v>1</v>
      </c>
      <c r="F53">
        <v>6</v>
      </c>
      <c r="G53" t="b">
        <v>0</v>
      </c>
      <c r="H53">
        <v>1</v>
      </c>
      <c r="I53">
        <v>1</v>
      </c>
      <c r="J53">
        <v>0.14000000000000001</v>
      </c>
    </row>
    <row r="54" spans="1:10" x14ac:dyDescent="0.3">
      <c r="A54">
        <v>53</v>
      </c>
      <c r="B54" s="1">
        <v>40546</v>
      </c>
      <c r="C54">
        <v>1</v>
      </c>
      <c r="D54">
        <v>0</v>
      </c>
      <c r="E54">
        <v>1</v>
      </c>
      <c r="F54">
        <v>7</v>
      </c>
      <c r="G54" t="b">
        <v>0</v>
      </c>
      <c r="H54">
        <v>1</v>
      </c>
      <c r="I54">
        <v>1</v>
      </c>
      <c r="J54">
        <v>0.14000000000000001</v>
      </c>
    </row>
    <row r="55" spans="1:10" x14ac:dyDescent="0.3">
      <c r="A55">
        <v>54</v>
      </c>
      <c r="B55" s="1">
        <v>40546</v>
      </c>
      <c r="C55">
        <v>1</v>
      </c>
      <c r="D55">
        <v>0</v>
      </c>
      <c r="E55">
        <v>1</v>
      </c>
      <c r="F55">
        <v>8</v>
      </c>
      <c r="G55" t="b">
        <v>0</v>
      </c>
      <c r="H55">
        <v>1</v>
      </c>
      <c r="I55">
        <v>1</v>
      </c>
      <c r="J55">
        <v>0.14000000000000001</v>
      </c>
    </row>
    <row r="56" spans="1:10" x14ac:dyDescent="0.3">
      <c r="A56">
        <v>55</v>
      </c>
      <c r="B56" s="1">
        <v>40546</v>
      </c>
      <c r="C56">
        <v>1</v>
      </c>
      <c r="D56">
        <v>0</v>
      </c>
      <c r="E56">
        <v>1</v>
      </c>
      <c r="F56">
        <v>9</v>
      </c>
      <c r="G56" t="b">
        <v>0</v>
      </c>
      <c r="H56">
        <v>1</v>
      </c>
      <c r="I56">
        <v>1</v>
      </c>
      <c r="J56">
        <v>0.16</v>
      </c>
    </row>
    <row r="57" spans="1:10" x14ac:dyDescent="0.3">
      <c r="A57">
        <v>56</v>
      </c>
      <c r="B57" s="1">
        <v>40546</v>
      </c>
      <c r="C57">
        <v>1</v>
      </c>
      <c r="D57">
        <v>0</v>
      </c>
      <c r="E57">
        <v>1</v>
      </c>
      <c r="F57">
        <v>10</v>
      </c>
      <c r="G57" t="b">
        <v>0</v>
      </c>
      <c r="H57">
        <v>1</v>
      </c>
      <c r="I57">
        <v>1</v>
      </c>
      <c r="J57">
        <v>0.18</v>
      </c>
    </row>
    <row r="58" spans="1:10" x14ac:dyDescent="0.3">
      <c r="A58">
        <v>57</v>
      </c>
      <c r="B58" s="1">
        <v>40546</v>
      </c>
      <c r="C58">
        <v>1</v>
      </c>
      <c r="D58">
        <v>0</v>
      </c>
      <c r="E58">
        <v>1</v>
      </c>
      <c r="F58">
        <v>11</v>
      </c>
      <c r="G58" t="b">
        <v>0</v>
      </c>
      <c r="H58">
        <v>1</v>
      </c>
      <c r="I58">
        <v>1</v>
      </c>
      <c r="J58">
        <v>0.2</v>
      </c>
    </row>
    <row r="59" spans="1:10" x14ac:dyDescent="0.3">
      <c r="A59">
        <v>58</v>
      </c>
      <c r="B59" s="1">
        <v>40546</v>
      </c>
      <c r="C59">
        <v>1</v>
      </c>
      <c r="D59">
        <v>0</v>
      </c>
      <c r="E59">
        <v>1</v>
      </c>
      <c r="F59">
        <v>12</v>
      </c>
      <c r="G59" t="b">
        <v>0</v>
      </c>
      <c r="H59">
        <v>1</v>
      </c>
      <c r="I59">
        <v>1</v>
      </c>
      <c r="J59">
        <v>0.22</v>
      </c>
    </row>
    <row r="60" spans="1:10" x14ac:dyDescent="0.3">
      <c r="A60">
        <v>59</v>
      </c>
      <c r="B60" s="1">
        <v>40546</v>
      </c>
      <c r="C60">
        <v>1</v>
      </c>
      <c r="D60">
        <v>0</v>
      </c>
      <c r="E60">
        <v>1</v>
      </c>
      <c r="F60">
        <v>13</v>
      </c>
      <c r="G60" t="b">
        <v>0</v>
      </c>
      <c r="H60">
        <v>1</v>
      </c>
      <c r="I60">
        <v>1</v>
      </c>
      <c r="J60">
        <v>0.24</v>
      </c>
    </row>
    <row r="61" spans="1:10" x14ac:dyDescent="0.3">
      <c r="A61">
        <v>60</v>
      </c>
      <c r="B61" s="1">
        <v>40546</v>
      </c>
      <c r="C61">
        <v>1</v>
      </c>
      <c r="D61">
        <v>0</v>
      </c>
      <c r="E61">
        <v>1</v>
      </c>
      <c r="F61">
        <v>14</v>
      </c>
      <c r="G61" t="b">
        <v>0</v>
      </c>
      <c r="H61">
        <v>1</v>
      </c>
      <c r="I61">
        <v>1</v>
      </c>
      <c r="J61">
        <v>0.26</v>
      </c>
    </row>
    <row r="62" spans="1:10" x14ac:dyDescent="0.3">
      <c r="A62">
        <v>61</v>
      </c>
      <c r="B62" s="1">
        <v>40546</v>
      </c>
      <c r="C62">
        <v>1</v>
      </c>
      <c r="D62">
        <v>0</v>
      </c>
      <c r="E62">
        <v>1</v>
      </c>
      <c r="F62">
        <v>15</v>
      </c>
      <c r="G62" t="b">
        <v>0</v>
      </c>
      <c r="H62">
        <v>1</v>
      </c>
      <c r="I62">
        <v>1</v>
      </c>
      <c r="J62">
        <v>0.26</v>
      </c>
    </row>
    <row r="63" spans="1:10" x14ac:dyDescent="0.3">
      <c r="A63">
        <v>62</v>
      </c>
      <c r="B63" s="1">
        <v>40546</v>
      </c>
      <c r="C63">
        <v>1</v>
      </c>
      <c r="D63">
        <v>0</v>
      </c>
      <c r="E63">
        <v>1</v>
      </c>
      <c r="F63">
        <v>16</v>
      </c>
      <c r="G63" t="b">
        <v>0</v>
      </c>
      <c r="H63">
        <v>1</v>
      </c>
      <c r="I63">
        <v>1</v>
      </c>
      <c r="J63">
        <v>0.26</v>
      </c>
    </row>
    <row r="64" spans="1:10" x14ac:dyDescent="0.3">
      <c r="A64">
        <v>63</v>
      </c>
      <c r="B64" s="1">
        <v>40546</v>
      </c>
      <c r="C64">
        <v>1</v>
      </c>
      <c r="D64">
        <v>0</v>
      </c>
      <c r="E64">
        <v>1</v>
      </c>
      <c r="F64">
        <v>17</v>
      </c>
      <c r="G64" t="b">
        <v>0</v>
      </c>
      <c r="H64">
        <v>1</v>
      </c>
      <c r="I64">
        <v>1</v>
      </c>
      <c r="J64">
        <v>0.24</v>
      </c>
    </row>
    <row r="65" spans="1:10" x14ac:dyDescent="0.3">
      <c r="A65">
        <v>64</v>
      </c>
      <c r="B65" s="1">
        <v>40546</v>
      </c>
      <c r="C65">
        <v>1</v>
      </c>
      <c r="D65">
        <v>0</v>
      </c>
      <c r="E65">
        <v>1</v>
      </c>
      <c r="F65">
        <v>18</v>
      </c>
      <c r="G65" t="b">
        <v>0</v>
      </c>
      <c r="H65">
        <v>1</v>
      </c>
      <c r="I65">
        <v>1</v>
      </c>
      <c r="J65">
        <v>0.24</v>
      </c>
    </row>
    <row r="66" spans="1:10" x14ac:dyDescent="0.3">
      <c r="A66">
        <v>65</v>
      </c>
      <c r="B66" s="1">
        <v>40546</v>
      </c>
      <c r="C66">
        <v>1</v>
      </c>
      <c r="D66">
        <v>0</v>
      </c>
      <c r="E66">
        <v>1</v>
      </c>
      <c r="F66">
        <v>19</v>
      </c>
      <c r="G66" t="b">
        <v>0</v>
      </c>
      <c r="H66">
        <v>1</v>
      </c>
      <c r="I66">
        <v>1</v>
      </c>
      <c r="J66">
        <v>0.2</v>
      </c>
    </row>
    <row r="67" spans="1:10" x14ac:dyDescent="0.3">
      <c r="A67">
        <v>66</v>
      </c>
      <c r="B67" s="1">
        <v>40546</v>
      </c>
      <c r="C67">
        <v>1</v>
      </c>
      <c r="D67">
        <v>0</v>
      </c>
      <c r="E67">
        <v>1</v>
      </c>
      <c r="F67">
        <v>20</v>
      </c>
      <c r="G67" t="b">
        <v>0</v>
      </c>
      <c r="H67">
        <v>1</v>
      </c>
      <c r="I67">
        <v>1</v>
      </c>
      <c r="J67">
        <v>0.2</v>
      </c>
    </row>
    <row r="68" spans="1:10" x14ac:dyDescent="0.3">
      <c r="A68">
        <v>67</v>
      </c>
      <c r="B68" s="1">
        <v>40546</v>
      </c>
      <c r="C68">
        <v>1</v>
      </c>
      <c r="D68">
        <v>0</v>
      </c>
      <c r="E68">
        <v>1</v>
      </c>
      <c r="F68">
        <v>21</v>
      </c>
      <c r="G68" t="b">
        <v>0</v>
      </c>
      <c r="H68">
        <v>1</v>
      </c>
      <c r="I68">
        <v>1</v>
      </c>
      <c r="J68">
        <v>0.18</v>
      </c>
    </row>
    <row r="69" spans="1:10" x14ac:dyDescent="0.3">
      <c r="A69">
        <v>68</v>
      </c>
      <c r="B69" s="1">
        <v>40546</v>
      </c>
      <c r="C69">
        <v>1</v>
      </c>
      <c r="D69">
        <v>0</v>
      </c>
      <c r="E69">
        <v>1</v>
      </c>
      <c r="F69">
        <v>22</v>
      </c>
      <c r="G69" t="b">
        <v>0</v>
      </c>
      <c r="H69">
        <v>1</v>
      </c>
      <c r="I69">
        <v>1</v>
      </c>
      <c r="J69">
        <v>0.14000000000000001</v>
      </c>
    </row>
    <row r="70" spans="1:10" x14ac:dyDescent="0.3">
      <c r="A70">
        <v>69</v>
      </c>
      <c r="B70" s="1">
        <v>40546</v>
      </c>
      <c r="C70">
        <v>1</v>
      </c>
      <c r="D70">
        <v>0</v>
      </c>
      <c r="E70">
        <v>1</v>
      </c>
      <c r="F70">
        <v>23</v>
      </c>
      <c r="G70" t="b">
        <v>0</v>
      </c>
      <c r="H70">
        <v>1</v>
      </c>
      <c r="I70">
        <v>1</v>
      </c>
      <c r="J70">
        <v>0.18</v>
      </c>
    </row>
    <row r="71" spans="1:10" x14ac:dyDescent="0.3">
      <c r="A71">
        <v>70</v>
      </c>
      <c r="B71" s="1">
        <v>40547</v>
      </c>
      <c r="C71">
        <v>1</v>
      </c>
      <c r="D71">
        <v>0</v>
      </c>
      <c r="E71">
        <v>1</v>
      </c>
      <c r="F71">
        <v>0</v>
      </c>
      <c r="G71" t="b">
        <v>0</v>
      </c>
      <c r="H71">
        <v>2</v>
      </c>
      <c r="I71">
        <v>1</v>
      </c>
      <c r="J71">
        <v>0.16</v>
      </c>
    </row>
    <row r="72" spans="1:10" x14ac:dyDescent="0.3">
      <c r="A72">
        <v>71</v>
      </c>
      <c r="B72" s="1">
        <v>40547</v>
      </c>
      <c r="C72">
        <v>1</v>
      </c>
      <c r="D72">
        <v>0</v>
      </c>
      <c r="E72">
        <v>1</v>
      </c>
      <c r="F72">
        <v>1</v>
      </c>
      <c r="G72" t="b">
        <v>0</v>
      </c>
      <c r="H72">
        <v>2</v>
      </c>
      <c r="I72">
        <v>1</v>
      </c>
      <c r="J72">
        <v>0.16</v>
      </c>
    </row>
    <row r="73" spans="1:10" x14ac:dyDescent="0.3">
      <c r="A73">
        <v>72</v>
      </c>
      <c r="B73" s="1">
        <v>40547</v>
      </c>
      <c r="C73">
        <v>1</v>
      </c>
      <c r="D73">
        <v>0</v>
      </c>
      <c r="E73">
        <v>1</v>
      </c>
      <c r="F73">
        <v>2</v>
      </c>
      <c r="G73" t="b">
        <v>0</v>
      </c>
      <c r="H73">
        <v>2</v>
      </c>
      <c r="I73">
        <v>1</v>
      </c>
      <c r="J73">
        <v>0.14000000000000001</v>
      </c>
    </row>
    <row r="74" spans="1:10" x14ac:dyDescent="0.3">
      <c r="A74">
        <v>73</v>
      </c>
      <c r="B74" s="1">
        <v>40547</v>
      </c>
      <c r="C74">
        <v>1</v>
      </c>
      <c r="D74">
        <v>0</v>
      </c>
      <c r="E74">
        <v>1</v>
      </c>
      <c r="F74">
        <v>4</v>
      </c>
      <c r="G74" t="b">
        <v>0</v>
      </c>
      <c r="H74">
        <v>2</v>
      </c>
      <c r="I74">
        <v>1</v>
      </c>
      <c r="J74">
        <v>0.14000000000000001</v>
      </c>
    </row>
    <row r="75" spans="1:10" x14ac:dyDescent="0.3">
      <c r="A75">
        <v>74</v>
      </c>
      <c r="B75" s="1">
        <v>40547</v>
      </c>
      <c r="C75">
        <v>1</v>
      </c>
      <c r="D75">
        <v>0</v>
      </c>
      <c r="E75">
        <v>1</v>
      </c>
      <c r="F75">
        <v>5</v>
      </c>
      <c r="G75" t="b">
        <v>0</v>
      </c>
      <c r="H75">
        <v>2</v>
      </c>
      <c r="I75">
        <v>1</v>
      </c>
      <c r="J75">
        <v>0.12</v>
      </c>
    </row>
    <row r="76" spans="1:10" x14ac:dyDescent="0.3">
      <c r="A76">
        <v>75</v>
      </c>
      <c r="B76" s="1">
        <v>40547</v>
      </c>
      <c r="C76">
        <v>1</v>
      </c>
      <c r="D76">
        <v>0</v>
      </c>
      <c r="E76">
        <v>1</v>
      </c>
      <c r="F76">
        <v>6</v>
      </c>
      <c r="G76" t="b">
        <v>0</v>
      </c>
      <c r="H76">
        <v>2</v>
      </c>
      <c r="I76">
        <v>1</v>
      </c>
      <c r="J76">
        <v>0.12</v>
      </c>
    </row>
    <row r="77" spans="1:10" x14ac:dyDescent="0.3">
      <c r="A77">
        <v>76</v>
      </c>
      <c r="B77" s="1">
        <v>40547</v>
      </c>
      <c r="C77">
        <v>1</v>
      </c>
      <c r="D77">
        <v>0</v>
      </c>
      <c r="E77">
        <v>1</v>
      </c>
      <c r="F77">
        <v>7</v>
      </c>
      <c r="G77" t="b">
        <v>0</v>
      </c>
      <c r="H77">
        <v>2</v>
      </c>
      <c r="I77">
        <v>1</v>
      </c>
      <c r="J77">
        <v>0.12</v>
      </c>
    </row>
    <row r="78" spans="1:10" x14ac:dyDescent="0.3">
      <c r="A78">
        <v>77</v>
      </c>
      <c r="B78" s="1">
        <v>40547</v>
      </c>
      <c r="C78">
        <v>1</v>
      </c>
      <c r="D78">
        <v>0</v>
      </c>
      <c r="E78">
        <v>1</v>
      </c>
      <c r="F78">
        <v>8</v>
      </c>
      <c r="G78" t="b">
        <v>0</v>
      </c>
      <c r="H78">
        <v>2</v>
      </c>
      <c r="I78">
        <v>1</v>
      </c>
      <c r="J78">
        <v>0.14000000000000001</v>
      </c>
    </row>
    <row r="79" spans="1:10" x14ac:dyDescent="0.3">
      <c r="A79">
        <v>78</v>
      </c>
      <c r="B79" s="1">
        <v>40547</v>
      </c>
      <c r="C79">
        <v>1</v>
      </c>
      <c r="D79">
        <v>0</v>
      </c>
      <c r="E79">
        <v>1</v>
      </c>
      <c r="F79">
        <v>9</v>
      </c>
      <c r="G79" t="b">
        <v>0</v>
      </c>
      <c r="H79">
        <v>2</v>
      </c>
      <c r="I79">
        <v>1</v>
      </c>
      <c r="J79">
        <v>0.16</v>
      </c>
    </row>
    <row r="80" spans="1:10" x14ac:dyDescent="0.3">
      <c r="A80">
        <v>79</v>
      </c>
      <c r="B80" s="1">
        <v>40547</v>
      </c>
      <c r="C80">
        <v>1</v>
      </c>
      <c r="D80">
        <v>0</v>
      </c>
      <c r="E80">
        <v>1</v>
      </c>
      <c r="F80">
        <v>10</v>
      </c>
      <c r="G80" t="b">
        <v>0</v>
      </c>
      <c r="H80">
        <v>2</v>
      </c>
      <c r="I80">
        <v>2</v>
      </c>
      <c r="J80">
        <v>0.16</v>
      </c>
    </row>
    <row r="81" spans="1:10" x14ac:dyDescent="0.3">
      <c r="A81">
        <v>80</v>
      </c>
      <c r="B81" s="1">
        <v>40547</v>
      </c>
      <c r="C81">
        <v>1</v>
      </c>
      <c r="D81">
        <v>0</v>
      </c>
      <c r="E81">
        <v>1</v>
      </c>
      <c r="F81">
        <v>11</v>
      </c>
      <c r="G81" t="b">
        <v>0</v>
      </c>
      <c r="H81">
        <v>2</v>
      </c>
      <c r="I81">
        <v>1</v>
      </c>
      <c r="J81">
        <v>0.22</v>
      </c>
    </row>
    <row r="82" spans="1:10" x14ac:dyDescent="0.3">
      <c r="A82">
        <v>81</v>
      </c>
      <c r="B82" s="1">
        <v>40547</v>
      </c>
      <c r="C82">
        <v>1</v>
      </c>
      <c r="D82">
        <v>0</v>
      </c>
      <c r="E82">
        <v>1</v>
      </c>
      <c r="F82">
        <v>12</v>
      </c>
      <c r="G82" t="b">
        <v>0</v>
      </c>
      <c r="H82">
        <v>2</v>
      </c>
      <c r="I82">
        <v>1</v>
      </c>
      <c r="J82">
        <v>0.22</v>
      </c>
    </row>
    <row r="83" spans="1:10" x14ac:dyDescent="0.3">
      <c r="A83">
        <v>82</v>
      </c>
      <c r="B83" s="1">
        <v>40547</v>
      </c>
      <c r="C83">
        <v>1</v>
      </c>
      <c r="D83">
        <v>0</v>
      </c>
      <c r="E83">
        <v>1</v>
      </c>
      <c r="F83">
        <v>13</v>
      </c>
      <c r="G83" t="b">
        <v>0</v>
      </c>
      <c r="H83">
        <v>2</v>
      </c>
      <c r="I83">
        <v>1</v>
      </c>
      <c r="J83">
        <v>0.24</v>
      </c>
    </row>
    <row r="84" spans="1:10" x14ac:dyDescent="0.3">
      <c r="A84">
        <v>83</v>
      </c>
      <c r="B84" s="1">
        <v>40547</v>
      </c>
      <c r="C84">
        <v>1</v>
      </c>
      <c r="D84">
        <v>0</v>
      </c>
      <c r="E84">
        <v>1</v>
      </c>
      <c r="F84">
        <v>14</v>
      </c>
      <c r="G84" t="b">
        <v>0</v>
      </c>
      <c r="H84">
        <v>2</v>
      </c>
      <c r="I84">
        <v>1</v>
      </c>
      <c r="J84">
        <v>0.26</v>
      </c>
    </row>
    <row r="85" spans="1:10" x14ac:dyDescent="0.3">
      <c r="A85">
        <v>84</v>
      </c>
      <c r="B85" s="1">
        <v>40547</v>
      </c>
      <c r="C85">
        <v>1</v>
      </c>
      <c r="D85">
        <v>0</v>
      </c>
      <c r="E85">
        <v>1</v>
      </c>
      <c r="F85">
        <v>15</v>
      </c>
      <c r="G85" t="b">
        <v>0</v>
      </c>
      <c r="H85">
        <v>2</v>
      </c>
      <c r="I85">
        <v>1</v>
      </c>
      <c r="J85">
        <v>0.28000000000000003</v>
      </c>
    </row>
    <row r="86" spans="1:10" x14ac:dyDescent="0.3">
      <c r="A86">
        <v>85</v>
      </c>
      <c r="B86" s="1">
        <v>40547</v>
      </c>
      <c r="C86">
        <v>1</v>
      </c>
      <c r="D86">
        <v>0</v>
      </c>
      <c r="E86">
        <v>1</v>
      </c>
      <c r="F86">
        <v>16</v>
      </c>
      <c r="G86" t="b">
        <v>0</v>
      </c>
      <c r="H86">
        <v>2</v>
      </c>
      <c r="I86">
        <v>1</v>
      </c>
      <c r="J86">
        <v>0.3</v>
      </c>
    </row>
    <row r="87" spans="1:10" x14ac:dyDescent="0.3">
      <c r="A87">
        <v>86</v>
      </c>
      <c r="B87" s="1">
        <v>40547</v>
      </c>
      <c r="C87">
        <v>1</v>
      </c>
      <c r="D87">
        <v>0</v>
      </c>
      <c r="E87">
        <v>1</v>
      </c>
      <c r="F87">
        <v>17</v>
      </c>
      <c r="G87" t="b">
        <v>0</v>
      </c>
      <c r="H87">
        <v>2</v>
      </c>
      <c r="I87">
        <v>1</v>
      </c>
      <c r="J87">
        <v>0.28000000000000003</v>
      </c>
    </row>
    <row r="88" spans="1:10" x14ac:dyDescent="0.3">
      <c r="A88">
        <v>87</v>
      </c>
      <c r="B88" s="1">
        <v>40547</v>
      </c>
      <c r="C88">
        <v>1</v>
      </c>
      <c r="D88">
        <v>0</v>
      </c>
      <c r="E88">
        <v>1</v>
      </c>
      <c r="F88">
        <v>18</v>
      </c>
      <c r="G88" t="b">
        <v>0</v>
      </c>
      <c r="H88">
        <v>2</v>
      </c>
      <c r="I88">
        <v>1</v>
      </c>
      <c r="J88">
        <v>0.26</v>
      </c>
    </row>
    <row r="89" spans="1:10" x14ac:dyDescent="0.3">
      <c r="A89">
        <v>88</v>
      </c>
      <c r="B89" s="1">
        <v>40547</v>
      </c>
      <c r="C89">
        <v>1</v>
      </c>
      <c r="D89">
        <v>0</v>
      </c>
      <c r="E89">
        <v>1</v>
      </c>
      <c r="F89">
        <v>19</v>
      </c>
      <c r="G89" t="b">
        <v>0</v>
      </c>
      <c r="H89">
        <v>2</v>
      </c>
      <c r="I89">
        <v>1</v>
      </c>
      <c r="J89">
        <v>0.24</v>
      </c>
    </row>
    <row r="90" spans="1:10" x14ac:dyDescent="0.3">
      <c r="A90">
        <v>89</v>
      </c>
      <c r="B90" s="1">
        <v>40547</v>
      </c>
      <c r="C90">
        <v>1</v>
      </c>
      <c r="D90">
        <v>0</v>
      </c>
      <c r="E90">
        <v>1</v>
      </c>
      <c r="F90">
        <v>20</v>
      </c>
      <c r="G90" t="b">
        <v>0</v>
      </c>
      <c r="H90">
        <v>2</v>
      </c>
      <c r="I90">
        <v>1</v>
      </c>
      <c r="J90">
        <v>0.24</v>
      </c>
    </row>
    <row r="91" spans="1:10" x14ac:dyDescent="0.3">
      <c r="A91">
        <v>90</v>
      </c>
      <c r="B91" s="1">
        <v>40547</v>
      </c>
      <c r="C91">
        <v>1</v>
      </c>
      <c r="D91">
        <v>0</v>
      </c>
      <c r="E91">
        <v>1</v>
      </c>
      <c r="F91">
        <v>21</v>
      </c>
      <c r="G91" t="b">
        <v>0</v>
      </c>
      <c r="H91">
        <v>2</v>
      </c>
      <c r="I91">
        <v>1</v>
      </c>
      <c r="J91">
        <v>0.22</v>
      </c>
    </row>
    <row r="92" spans="1:10" x14ac:dyDescent="0.3">
      <c r="A92">
        <v>91</v>
      </c>
      <c r="B92" s="1">
        <v>40547</v>
      </c>
      <c r="C92">
        <v>1</v>
      </c>
      <c r="D92">
        <v>0</v>
      </c>
      <c r="E92">
        <v>1</v>
      </c>
      <c r="F92">
        <v>22</v>
      </c>
      <c r="G92" t="b">
        <v>0</v>
      </c>
      <c r="H92">
        <v>2</v>
      </c>
      <c r="I92">
        <v>1</v>
      </c>
      <c r="J92">
        <v>0.22</v>
      </c>
    </row>
    <row r="93" spans="1:10" x14ac:dyDescent="0.3">
      <c r="A93">
        <v>92</v>
      </c>
      <c r="B93" s="1">
        <v>40547</v>
      </c>
      <c r="C93">
        <v>1</v>
      </c>
      <c r="D93">
        <v>0</v>
      </c>
      <c r="E93">
        <v>1</v>
      </c>
      <c r="F93">
        <v>23</v>
      </c>
      <c r="G93" t="b">
        <v>0</v>
      </c>
      <c r="H93">
        <v>2</v>
      </c>
      <c r="I93">
        <v>1</v>
      </c>
      <c r="J93">
        <v>0.2</v>
      </c>
    </row>
    <row r="94" spans="1:10" x14ac:dyDescent="0.3">
      <c r="A94">
        <v>93</v>
      </c>
      <c r="B94" s="1">
        <v>40548</v>
      </c>
      <c r="C94">
        <v>1</v>
      </c>
      <c r="D94">
        <v>0</v>
      </c>
      <c r="E94">
        <v>1</v>
      </c>
      <c r="F94">
        <v>0</v>
      </c>
      <c r="G94" t="b">
        <v>0</v>
      </c>
      <c r="H94">
        <v>3</v>
      </c>
      <c r="I94">
        <v>1</v>
      </c>
      <c r="J94">
        <v>0.2</v>
      </c>
    </row>
    <row r="95" spans="1:10" x14ac:dyDescent="0.3">
      <c r="A95">
        <v>94</v>
      </c>
      <c r="B95" s="1">
        <v>40548</v>
      </c>
      <c r="C95">
        <v>1</v>
      </c>
      <c r="D95">
        <v>0</v>
      </c>
      <c r="E95">
        <v>1</v>
      </c>
      <c r="F95">
        <v>1</v>
      </c>
      <c r="G95" t="b">
        <v>0</v>
      </c>
      <c r="H95">
        <v>3</v>
      </c>
      <c r="I95">
        <v>1</v>
      </c>
      <c r="J95">
        <v>0.16</v>
      </c>
    </row>
    <row r="96" spans="1:10" x14ac:dyDescent="0.3">
      <c r="A96">
        <v>95</v>
      </c>
      <c r="B96" s="1">
        <v>40548</v>
      </c>
      <c r="C96">
        <v>1</v>
      </c>
      <c r="D96">
        <v>0</v>
      </c>
      <c r="E96">
        <v>1</v>
      </c>
      <c r="F96">
        <v>2</v>
      </c>
      <c r="G96" t="b">
        <v>0</v>
      </c>
      <c r="H96">
        <v>3</v>
      </c>
      <c r="I96">
        <v>1</v>
      </c>
      <c r="J96">
        <v>0.16</v>
      </c>
    </row>
    <row r="97" spans="1:10" x14ac:dyDescent="0.3">
      <c r="A97">
        <v>96</v>
      </c>
      <c r="B97" s="1">
        <v>40548</v>
      </c>
      <c r="C97">
        <v>1</v>
      </c>
      <c r="D97">
        <v>0</v>
      </c>
      <c r="E97">
        <v>1</v>
      </c>
      <c r="F97">
        <v>4</v>
      </c>
      <c r="G97" t="b">
        <v>0</v>
      </c>
      <c r="H97">
        <v>3</v>
      </c>
      <c r="I97">
        <v>1</v>
      </c>
      <c r="J97">
        <v>0.24</v>
      </c>
    </row>
    <row r="98" spans="1:10" x14ac:dyDescent="0.3">
      <c r="A98">
        <v>97</v>
      </c>
      <c r="B98" s="1">
        <v>40548</v>
      </c>
      <c r="C98">
        <v>1</v>
      </c>
      <c r="D98">
        <v>0</v>
      </c>
      <c r="E98">
        <v>1</v>
      </c>
      <c r="F98">
        <v>5</v>
      </c>
      <c r="G98" t="b">
        <v>0</v>
      </c>
      <c r="H98">
        <v>3</v>
      </c>
      <c r="I98">
        <v>1</v>
      </c>
      <c r="J98">
        <v>0.22</v>
      </c>
    </row>
    <row r="99" spans="1:10" x14ac:dyDescent="0.3">
      <c r="A99">
        <v>98</v>
      </c>
      <c r="B99" s="1">
        <v>40548</v>
      </c>
      <c r="C99">
        <v>1</v>
      </c>
      <c r="D99">
        <v>0</v>
      </c>
      <c r="E99">
        <v>1</v>
      </c>
      <c r="F99">
        <v>6</v>
      </c>
      <c r="G99" t="b">
        <v>0</v>
      </c>
      <c r="H99">
        <v>3</v>
      </c>
      <c r="I99">
        <v>1</v>
      </c>
      <c r="J99">
        <v>0.2</v>
      </c>
    </row>
    <row r="100" spans="1:10" x14ac:dyDescent="0.3">
      <c r="A100">
        <v>99</v>
      </c>
      <c r="B100" s="1">
        <v>40548</v>
      </c>
      <c r="C100">
        <v>1</v>
      </c>
      <c r="D100">
        <v>0</v>
      </c>
      <c r="E100">
        <v>1</v>
      </c>
      <c r="F100">
        <v>7</v>
      </c>
      <c r="G100" t="b">
        <v>0</v>
      </c>
      <c r="H100">
        <v>3</v>
      </c>
      <c r="I100">
        <v>1</v>
      </c>
      <c r="J100">
        <v>0.18</v>
      </c>
    </row>
    <row r="101" spans="1:10" x14ac:dyDescent="0.3">
      <c r="A101">
        <v>100</v>
      </c>
      <c r="B101" s="1">
        <v>40548</v>
      </c>
      <c r="C101">
        <v>1</v>
      </c>
      <c r="D101">
        <v>0</v>
      </c>
      <c r="E101">
        <v>1</v>
      </c>
      <c r="F101">
        <v>8</v>
      </c>
      <c r="G101" t="b">
        <v>0</v>
      </c>
      <c r="H101">
        <v>3</v>
      </c>
      <c r="I101">
        <v>1</v>
      </c>
      <c r="J101">
        <v>0.2</v>
      </c>
    </row>
    <row r="102" spans="1:10" x14ac:dyDescent="0.3">
      <c r="A102">
        <v>101</v>
      </c>
      <c r="B102" s="1">
        <v>40548</v>
      </c>
      <c r="C102">
        <v>1</v>
      </c>
      <c r="D102">
        <v>0</v>
      </c>
      <c r="E102">
        <v>1</v>
      </c>
      <c r="F102">
        <v>9</v>
      </c>
      <c r="G102" t="b">
        <v>0</v>
      </c>
      <c r="H102">
        <v>3</v>
      </c>
      <c r="I102">
        <v>1</v>
      </c>
      <c r="J102">
        <v>0.22</v>
      </c>
    </row>
    <row r="103" spans="1:10" x14ac:dyDescent="0.3">
      <c r="A103">
        <v>102</v>
      </c>
      <c r="B103" s="1">
        <v>40548</v>
      </c>
      <c r="C103">
        <v>1</v>
      </c>
      <c r="D103">
        <v>0</v>
      </c>
      <c r="E103">
        <v>1</v>
      </c>
      <c r="F103">
        <v>10</v>
      </c>
      <c r="G103" t="b">
        <v>0</v>
      </c>
      <c r="H103">
        <v>3</v>
      </c>
      <c r="I103">
        <v>1</v>
      </c>
      <c r="J103">
        <v>0.22</v>
      </c>
    </row>
    <row r="104" spans="1:10" x14ac:dyDescent="0.3">
      <c r="A104">
        <v>103</v>
      </c>
      <c r="B104" s="1">
        <v>40548</v>
      </c>
      <c r="C104">
        <v>1</v>
      </c>
      <c r="D104">
        <v>0</v>
      </c>
      <c r="E104">
        <v>1</v>
      </c>
      <c r="F104">
        <v>11</v>
      </c>
      <c r="G104" t="b">
        <v>0</v>
      </c>
      <c r="H104">
        <v>3</v>
      </c>
      <c r="I104">
        <v>1</v>
      </c>
      <c r="J104">
        <v>0.26</v>
      </c>
    </row>
    <row r="105" spans="1:10" x14ac:dyDescent="0.3">
      <c r="A105">
        <v>104</v>
      </c>
      <c r="B105" s="1">
        <v>40548</v>
      </c>
      <c r="C105">
        <v>1</v>
      </c>
      <c r="D105">
        <v>0</v>
      </c>
      <c r="E105">
        <v>1</v>
      </c>
      <c r="F105">
        <v>12</v>
      </c>
      <c r="G105" t="b">
        <v>0</v>
      </c>
      <c r="H105">
        <v>3</v>
      </c>
      <c r="I105">
        <v>1</v>
      </c>
      <c r="J105">
        <v>0.26</v>
      </c>
    </row>
    <row r="106" spans="1:10" x14ac:dyDescent="0.3">
      <c r="A106">
        <v>105</v>
      </c>
      <c r="B106" s="1">
        <v>40548</v>
      </c>
      <c r="C106">
        <v>1</v>
      </c>
      <c r="D106">
        <v>0</v>
      </c>
      <c r="E106">
        <v>1</v>
      </c>
      <c r="F106">
        <v>13</v>
      </c>
      <c r="G106" t="b">
        <v>0</v>
      </c>
      <c r="H106">
        <v>3</v>
      </c>
      <c r="I106">
        <v>1</v>
      </c>
      <c r="J106">
        <v>0.28000000000000003</v>
      </c>
    </row>
    <row r="107" spans="1:10" x14ac:dyDescent="0.3">
      <c r="A107">
        <v>106</v>
      </c>
      <c r="B107" s="1">
        <v>40548</v>
      </c>
      <c r="C107">
        <v>1</v>
      </c>
      <c r="D107">
        <v>0</v>
      </c>
      <c r="E107">
        <v>1</v>
      </c>
      <c r="F107">
        <v>14</v>
      </c>
      <c r="G107" t="b">
        <v>0</v>
      </c>
      <c r="H107">
        <v>3</v>
      </c>
      <c r="I107">
        <v>1</v>
      </c>
      <c r="J107">
        <v>0.3</v>
      </c>
    </row>
    <row r="108" spans="1:10" x14ac:dyDescent="0.3">
      <c r="A108">
        <v>107</v>
      </c>
      <c r="B108" s="1">
        <v>40548</v>
      </c>
      <c r="C108">
        <v>1</v>
      </c>
      <c r="D108">
        <v>0</v>
      </c>
      <c r="E108">
        <v>1</v>
      </c>
      <c r="F108">
        <v>15</v>
      </c>
      <c r="G108" t="b">
        <v>0</v>
      </c>
      <c r="H108">
        <v>3</v>
      </c>
      <c r="I108">
        <v>1</v>
      </c>
      <c r="J108">
        <v>0.3</v>
      </c>
    </row>
    <row r="109" spans="1:10" x14ac:dyDescent="0.3">
      <c r="A109">
        <v>108</v>
      </c>
      <c r="B109" s="1">
        <v>40548</v>
      </c>
      <c r="C109">
        <v>1</v>
      </c>
      <c r="D109">
        <v>0</v>
      </c>
      <c r="E109">
        <v>1</v>
      </c>
      <c r="F109">
        <v>16</v>
      </c>
      <c r="G109" t="b">
        <v>0</v>
      </c>
      <c r="H109">
        <v>3</v>
      </c>
      <c r="I109">
        <v>1</v>
      </c>
      <c r="J109">
        <v>0.3</v>
      </c>
    </row>
    <row r="110" spans="1:10" x14ac:dyDescent="0.3">
      <c r="A110">
        <v>109</v>
      </c>
      <c r="B110" s="1">
        <v>40548</v>
      </c>
      <c r="C110">
        <v>1</v>
      </c>
      <c r="D110">
        <v>0</v>
      </c>
      <c r="E110">
        <v>1</v>
      </c>
      <c r="F110">
        <v>17</v>
      </c>
      <c r="G110" t="b">
        <v>0</v>
      </c>
      <c r="H110">
        <v>3</v>
      </c>
      <c r="I110">
        <v>1</v>
      </c>
      <c r="J110">
        <v>0.24</v>
      </c>
    </row>
    <row r="111" spans="1:10" x14ac:dyDescent="0.3">
      <c r="A111">
        <v>110</v>
      </c>
      <c r="B111" s="1">
        <v>40548</v>
      </c>
      <c r="C111">
        <v>1</v>
      </c>
      <c r="D111">
        <v>0</v>
      </c>
      <c r="E111">
        <v>1</v>
      </c>
      <c r="F111">
        <v>18</v>
      </c>
      <c r="G111" t="b">
        <v>0</v>
      </c>
      <c r="H111">
        <v>3</v>
      </c>
      <c r="I111">
        <v>1</v>
      </c>
      <c r="J111">
        <v>0.24</v>
      </c>
    </row>
    <row r="112" spans="1:10" x14ac:dyDescent="0.3">
      <c r="A112">
        <v>111</v>
      </c>
      <c r="B112" s="1">
        <v>40548</v>
      </c>
      <c r="C112">
        <v>1</v>
      </c>
      <c r="D112">
        <v>0</v>
      </c>
      <c r="E112">
        <v>1</v>
      </c>
      <c r="F112">
        <v>19</v>
      </c>
      <c r="G112" t="b">
        <v>0</v>
      </c>
      <c r="H112">
        <v>3</v>
      </c>
      <c r="I112">
        <v>1</v>
      </c>
      <c r="J112">
        <v>0.24</v>
      </c>
    </row>
    <row r="113" spans="1:10" x14ac:dyDescent="0.3">
      <c r="A113">
        <v>112</v>
      </c>
      <c r="B113" s="1">
        <v>40548</v>
      </c>
      <c r="C113">
        <v>1</v>
      </c>
      <c r="D113">
        <v>0</v>
      </c>
      <c r="E113">
        <v>1</v>
      </c>
      <c r="F113">
        <v>20</v>
      </c>
      <c r="G113" t="b">
        <v>0</v>
      </c>
      <c r="H113">
        <v>3</v>
      </c>
      <c r="I113">
        <v>1</v>
      </c>
      <c r="J113">
        <v>0.22</v>
      </c>
    </row>
    <row r="114" spans="1:10" x14ac:dyDescent="0.3">
      <c r="A114">
        <v>113</v>
      </c>
      <c r="B114" s="1">
        <v>40548</v>
      </c>
      <c r="C114">
        <v>1</v>
      </c>
      <c r="D114">
        <v>0</v>
      </c>
      <c r="E114">
        <v>1</v>
      </c>
      <c r="F114">
        <v>21</v>
      </c>
      <c r="G114" t="b">
        <v>0</v>
      </c>
      <c r="H114">
        <v>3</v>
      </c>
      <c r="I114">
        <v>1</v>
      </c>
      <c r="J114">
        <v>0.2</v>
      </c>
    </row>
    <row r="115" spans="1:10" x14ac:dyDescent="0.3">
      <c r="A115">
        <v>114</v>
      </c>
      <c r="B115" s="1">
        <v>40548</v>
      </c>
      <c r="C115">
        <v>1</v>
      </c>
      <c r="D115">
        <v>0</v>
      </c>
      <c r="E115">
        <v>1</v>
      </c>
      <c r="F115">
        <v>22</v>
      </c>
      <c r="G115" t="b">
        <v>0</v>
      </c>
      <c r="H115">
        <v>3</v>
      </c>
      <c r="I115">
        <v>1</v>
      </c>
      <c r="J115">
        <v>0.18</v>
      </c>
    </row>
    <row r="116" spans="1:10" x14ac:dyDescent="0.3">
      <c r="A116">
        <v>115</v>
      </c>
      <c r="B116" s="1">
        <v>40548</v>
      </c>
      <c r="C116">
        <v>1</v>
      </c>
      <c r="D116">
        <v>0</v>
      </c>
      <c r="E116">
        <v>1</v>
      </c>
      <c r="F116">
        <v>23</v>
      </c>
      <c r="G116" t="b">
        <v>0</v>
      </c>
      <c r="H116">
        <v>3</v>
      </c>
      <c r="I116">
        <v>1</v>
      </c>
      <c r="J116">
        <v>0.2</v>
      </c>
    </row>
    <row r="117" spans="1:10" x14ac:dyDescent="0.3">
      <c r="A117">
        <v>116</v>
      </c>
      <c r="B117" s="1">
        <v>40549</v>
      </c>
      <c r="C117">
        <v>1</v>
      </c>
      <c r="D117">
        <v>0</v>
      </c>
      <c r="E117">
        <v>1</v>
      </c>
      <c r="F117">
        <v>0</v>
      </c>
      <c r="G117" t="b">
        <v>0</v>
      </c>
      <c r="H117">
        <v>4</v>
      </c>
      <c r="I117">
        <v>1</v>
      </c>
      <c r="J117">
        <v>0.18</v>
      </c>
    </row>
    <row r="118" spans="1:10" x14ac:dyDescent="0.3">
      <c r="A118">
        <v>117</v>
      </c>
      <c r="B118" s="1">
        <v>40549</v>
      </c>
      <c r="C118">
        <v>1</v>
      </c>
      <c r="D118">
        <v>0</v>
      </c>
      <c r="E118">
        <v>1</v>
      </c>
      <c r="F118">
        <v>1</v>
      </c>
      <c r="G118" t="b">
        <v>0</v>
      </c>
      <c r="H118">
        <v>4</v>
      </c>
      <c r="I118">
        <v>1</v>
      </c>
      <c r="J118">
        <v>0.16</v>
      </c>
    </row>
    <row r="119" spans="1:10" x14ac:dyDescent="0.3">
      <c r="A119">
        <v>118</v>
      </c>
      <c r="B119" s="1">
        <v>40549</v>
      </c>
      <c r="C119">
        <v>1</v>
      </c>
      <c r="D119">
        <v>0</v>
      </c>
      <c r="E119">
        <v>1</v>
      </c>
      <c r="F119">
        <v>2</v>
      </c>
      <c r="G119" t="b">
        <v>0</v>
      </c>
      <c r="H119">
        <v>4</v>
      </c>
      <c r="I119">
        <v>1</v>
      </c>
      <c r="J119">
        <v>0.16</v>
      </c>
    </row>
    <row r="120" spans="1:10" x14ac:dyDescent="0.3">
      <c r="A120">
        <v>119</v>
      </c>
      <c r="B120" s="1">
        <v>40549</v>
      </c>
      <c r="C120">
        <v>1</v>
      </c>
      <c r="D120">
        <v>0</v>
      </c>
      <c r="E120">
        <v>1</v>
      </c>
      <c r="F120">
        <v>4</v>
      </c>
      <c r="G120" t="b">
        <v>0</v>
      </c>
      <c r="H120">
        <v>4</v>
      </c>
      <c r="I120">
        <v>2</v>
      </c>
      <c r="J120">
        <v>0.16</v>
      </c>
    </row>
    <row r="121" spans="1:10" x14ac:dyDescent="0.3">
      <c r="A121">
        <v>120</v>
      </c>
      <c r="B121" s="1">
        <v>40549</v>
      </c>
      <c r="C121">
        <v>1</v>
      </c>
      <c r="D121">
        <v>0</v>
      </c>
      <c r="E121">
        <v>1</v>
      </c>
      <c r="F121">
        <v>5</v>
      </c>
      <c r="G121" t="b">
        <v>0</v>
      </c>
      <c r="H121">
        <v>4</v>
      </c>
      <c r="I121">
        <v>2</v>
      </c>
      <c r="J121">
        <v>0.14000000000000001</v>
      </c>
    </row>
    <row r="122" spans="1:10" x14ac:dyDescent="0.3">
      <c r="A122">
        <v>121</v>
      </c>
      <c r="B122" s="1">
        <v>40549</v>
      </c>
      <c r="C122">
        <v>1</v>
      </c>
      <c r="D122">
        <v>0</v>
      </c>
      <c r="E122">
        <v>1</v>
      </c>
      <c r="F122">
        <v>6</v>
      </c>
      <c r="G122" t="b">
        <v>0</v>
      </c>
      <c r="H122">
        <v>4</v>
      </c>
      <c r="I122">
        <v>2</v>
      </c>
      <c r="J122">
        <v>0.14000000000000001</v>
      </c>
    </row>
    <row r="123" spans="1:10" x14ac:dyDescent="0.3">
      <c r="A123">
        <v>122</v>
      </c>
      <c r="B123" s="1">
        <v>40549</v>
      </c>
      <c r="C123">
        <v>1</v>
      </c>
      <c r="D123">
        <v>0</v>
      </c>
      <c r="E123">
        <v>1</v>
      </c>
      <c r="F123">
        <v>7</v>
      </c>
      <c r="G123" t="b">
        <v>0</v>
      </c>
      <c r="H123">
        <v>4</v>
      </c>
      <c r="I123">
        <v>2</v>
      </c>
      <c r="J123">
        <v>0.16</v>
      </c>
    </row>
    <row r="124" spans="1:10" x14ac:dyDescent="0.3">
      <c r="A124">
        <v>123</v>
      </c>
      <c r="B124" s="1">
        <v>40549</v>
      </c>
      <c r="C124">
        <v>1</v>
      </c>
      <c r="D124">
        <v>0</v>
      </c>
      <c r="E124">
        <v>1</v>
      </c>
      <c r="F124">
        <v>8</v>
      </c>
      <c r="G124" t="b">
        <v>0</v>
      </c>
      <c r="H124">
        <v>4</v>
      </c>
      <c r="I124">
        <v>1</v>
      </c>
      <c r="J124">
        <v>0.16</v>
      </c>
    </row>
    <row r="125" spans="1:10" x14ac:dyDescent="0.3">
      <c r="A125">
        <v>124</v>
      </c>
      <c r="B125" s="1">
        <v>40549</v>
      </c>
      <c r="C125">
        <v>1</v>
      </c>
      <c r="D125">
        <v>0</v>
      </c>
      <c r="E125">
        <v>1</v>
      </c>
      <c r="F125">
        <v>9</v>
      </c>
      <c r="G125" t="b">
        <v>0</v>
      </c>
      <c r="H125">
        <v>4</v>
      </c>
      <c r="I125">
        <v>2</v>
      </c>
      <c r="J125">
        <v>0.18</v>
      </c>
    </row>
    <row r="126" spans="1:10" x14ac:dyDescent="0.3">
      <c r="A126">
        <v>125</v>
      </c>
      <c r="B126" s="1">
        <v>40549</v>
      </c>
      <c r="C126">
        <v>1</v>
      </c>
      <c r="D126">
        <v>0</v>
      </c>
      <c r="E126">
        <v>1</v>
      </c>
      <c r="F126">
        <v>10</v>
      </c>
      <c r="G126" t="b">
        <v>0</v>
      </c>
      <c r="H126">
        <v>4</v>
      </c>
      <c r="I126">
        <v>1</v>
      </c>
      <c r="J126">
        <v>0.2</v>
      </c>
    </row>
    <row r="127" spans="1:10" x14ac:dyDescent="0.3">
      <c r="A127">
        <v>126</v>
      </c>
      <c r="B127" s="1">
        <v>40549</v>
      </c>
      <c r="C127">
        <v>1</v>
      </c>
      <c r="D127">
        <v>0</v>
      </c>
      <c r="E127">
        <v>1</v>
      </c>
      <c r="F127">
        <v>11</v>
      </c>
      <c r="G127" t="b">
        <v>0</v>
      </c>
      <c r="H127">
        <v>4</v>
      </c>
      <c r="I127">
        <v>1</v>
      </c>
      <c r="J127">
        <v>0.22</v>
      </c>
    </row>
    <row r="128" spans="1:10" x14ac:dyDescent="0.3">
      <c r="A128">
        <v>127</v>
      </c>
      <c r="B128" s="1">
        <v>40549</v>
      </c>
      <c r="C128">
        <v>1</v>
      </c>
      <c r="D128">
        <v>0</v>
      </c>
      <c r="E128">
        <v>1</v>
      </c>
      <c r="F128">
        <v>12</v>
      </c>
      <c r="G128" t="b">
        <v>0</v>
      </c>
      <c r="H128">
        <v>4</v>
      </c>
      <c r="I128">
        <v>1</v>
      </c>
      <c r="J128">
        <v>0.26</v>
      </c>
    </row>
    <row r="129" spans="1:10" x14ac:dyDescent="0.3">
      <c r="A129">
        <v>128</v>
      </c>
      <c r="B129" s="1">
        <v>40549</v>
      </c>
      <c r="C129">
        <v>1</v>
      </c>
      <c r="D129">
        <v>0</v>
      </c>
      <c r="E129">
        <v>1</v>
      </c>
      <c r="F129">
        <v>13</v>
      </c>
      <c r="G129" t="b">
        <v>0</v>
      </c>
      <c r="H129">
        <v>4</v>
      </c>
      <c r="I129">
        <v>1</v>
      </c>
      <c r="J129">
        <v>0.26</v>
      </c>
    </row>
    <row r="130" spans="1:10" x14ac:dyDescent="0.3">
      <c r="A130">
        <v>129</v>
      </c>
      <c r="B130" s="1">
        <v>40549</v>
      </c>
      <c r="C130">
        <v>1</v>
      </c>
      <c r="D130">
        <v>0</v>
      </c>
      <c r="E130">
        <v>1</v>
      </c>
      <c r="F130">
        <v>14</v>
      </c>
      <c r="G130" t="b">
        <v>0</v>
      </c>
      <c r="H130">
        <v>4</v>
      </c>
      <c r="I130">
        <v>1</v>
      </c>
      <c r="J130">
        <v>0.28000000000000003</v>
      </c>
    </row>
    <row r="131" spans="1:10" x14ac:dyDescent="0.3">
      <c r="A131">
        <v>130</v>
      </c>
      <c r="B131" s="1">
        <v>40549</v>
      </c>
      <c r="C131">
        <v>1</v>
      </c>
      <c r="D131">
        <v>0</v>
      </c>
      <c r="E131">
        <v>1</v>
      </c>
      <c r="F131">
        <v>15</v>
      </c>
      <c r="G131" t="b">
        <v>0</v>
      </c>
      <c r="H131">
        <v>4</v>
      </c>
      <c r="I131">
        <v>1</v>
      </c>
      <c r="J131">
        <v>0.28000000000000003</v>
      </c>
    </row>
    <row r="132" spans="1:10" x14ac:dyDescent="0.3">
      <c r="A132">
        <v>131</v>
      </c>
      <c r="B132" s="1">
        <v>40549</v>
      </c>
      <c r="C132">
        <v>1</v>
      </c>
      <c r="D132">
        <v>0</v>
      </c>
      <c r="E132">
        <v>1</v>
      </c>
      <c r="F132">
        <v>16</v>
      </c>
      <c r="G132" t="b">
        <v>0</v>
      </c>
      <c r="H132">
        <v>4</v>
      </c>
      <c r="I132">
        <v>1</v>
      </c>
      <c r="J132">
        <v>0.26</v>
      </c>
    </row>
    <row r="133" spans="1:10" x14ac:dyDescent="0.3">
      <c r="A133">
        <v>132</v>
      </c>
      <c r="B133" s="1">
        <v>40549</v>
      </c>
      <c r="C133">
        <v>1</v>
      </c>
      <c r="D133">
        <v>0</v>
      </c>
      <c r="E133">
        <v>1</v>
      </c>
      <c r="F133">
        <v>17</v>
      </c>
      <c r="G133" t="b">
        <v>0</v>
      </c>
      <c r="H133">
        <v>4</v>
      </c>
      <c r="I133">
        <v>1</v>
      </c>
      <c r="J133">
        <v>0.22</v>
      </c>
    </row>
    <row r="134" spans="1:10" x14ac:dyDescent="0.3">
      <c r="A134">
        <v>133</v>
      </c>
      <c r="B134" s="1">
        <v>40549</v>
      </c>
      <c r="C134">
        <v>1</v>
      </c>
      <c r="D134">
        <v>0</v>
      </c>
      <c r="E134">
        <v>1</v>
      </c>
      <c r="F134">
        <v>18</v>
      </c>
      <c r="G134" t="b">
        <v>0</v>
      </c>
      <c r="H134">
        <v>4</v>
      </c>
      <c r="I134">
        <v>1</v>
      </c>
      <c r="J134">
        <v>0.22</v>
      </c>
    </row>
    <row r="135" spans="1:10" x14ac:dyDescent="0.3">
      <c r="A135">
        <v>134</v>
      </c>
      <c r="B135" s="1">
        <v>40549</v>
      </c>
      <c r="C135">
        <v>1</v>
      </c>
      <c r="D135">
        <v>0</v>
      </c>
      <c r="E135">
        <v>1</v>
      </c>
      <c r="F135">
        <v>19</v>
      </c>
      <c r="G135" t="b">
        <v>0</v>
      </c>
      <c r="H135">
        <v>4</v>
      </c>
      <c r="I135">
        <v>1</v>
      </c>
      <c r="J135">
        <v>0.22</v>
      </c>
    </row>
    <row r="136" spans="1:10" x14ac:dyDescent="0.3">
      <c r="A136">
        <v>135</v>
      </c>
      <c r="B136" s="1">
        <v>40549</v>
      </c>
      <c r="C136">
        <v>1</v>
      </c>
      <c r="D136">
        <v>0</v>
      </c>
      <c r="E136">
        <v>1</v>
      </c>
      <c r="F136">
        <v>20</v>
      </c>
      <c r="G136" t="b">
        <v>0</v>
      </c>
      <c r="H136">
        <v>4</v>
      </c>
      <c r="I136">
        <v>1</v>
      </c>
      <c r="J136">
        <v>0.2</v>
      </c>
    </row>
    <row r="137" spans="1:10" x14ac:dyDescent="0.3">
      <c r="A137">
        <v>136</v>
      </c>
      <c r="B137" s="1">
        <v>40549</v>
      </c>
      <c r="C137">
        <v>1</v>
      </c>
      <c r="D137">
        <v>0</v>
      </c>
      <c r="E137">
        <v>1</v>
      </c>
      <c r="F137">
        <v>21</v>
      </c>
      <c r="G137" t="b">
        <v>0</v>
      </c>
      <c r="H137">
        <v>4</v>
      </c>
      <c r="I137">
        <v>2</v>
      </c>
      <c r="J137">
        <v>0.22</v>
      </c>
    </row>
    <row r="138" spans="1:10" x14ac:dyDescent="0.3">
      <c r="A138">
        <v>137</v>
      </c>
      <c r="B138" s="1">
        <v>40549</v>
      </c>
      <c r="C138">
        <v>1</v>
      </c>
      <c r="D138">
        <v>0</v>
      </c>
      <c r="E138">
        <v>1</v>
      </c>
      <c r="F138">
        <v>22</v>
      </c>
      <c r="G138" t="b">
        <v>0</v>
      </c>
      <c r="H138">
        <v>4</v>
      </c>
      <c r="I138">
        <v>2</v>
      </c>
      <c r="J138">
        <v>0.22</v>
      </c>
    </row>
    <row r="139" spans="1:10" x14ac:dyDescent="0.3">
      <c r="A139">
        <v>138</v>
      </c>
      <c r="B139" s="1">
        <v>40549</v>
      </c>
      <c r="C139">
        <v>1</v>
      </c>
      <c r="D139">
        <v>0</v>
      </c>
      <c r="E139">
        <v>1</v>
      </c>
      <c r="F139">
        <v>23</v>
      </c>
      <c r="G139" t="b">
        <v>0</v>
      </c>
      <c r="H139">
        <v>4</v>
      </c>
      <c r="I139">
        <v>2</v>
      </c>
      <c r="J139">
        <v>0.2</v>
      </c>
    </row>
    <row r="140" spans="1:10" x14ac:dyDescent="0.3">
      <c r="A140">
        <v>139</v>
      </c>
      <c r="B140" s="1">
        <v>40550</v>
      </c>
      <c r="C140">
        <v>1</v>
      </c>
      <c r="D140">
        <v>0</v>
      </c>
      <c r="E140">
        <v>1</v>
      </c>
      <c r="F140">
        <v>0</v>
      </c>
      <c r="G140" t="b">
        <v>0</v>
      </c>
      <c r="H140">
        <v>5</v>
      </c>
      <c r="I140">
        <v>2</v>
      </c>
      <c r="J140">
        <v>0.2</v>
      </c>
    </row>
    <row r="141" spans="1:10" x14ac:dyDescent="0.3">
      <c r="A141">
        <v>140</v>
      </c>
      <c r="B141" s="1">
        <v>40550</v>
      </c>
      <c r="C141">
        <v>1</v>
      </c>
      <c r="D141">
        <v>0</v>
      </c>
      <c r="E141">
        <v>1</v>
      </c>
      <c r="F141">
        <v>1</v>
      </c>
      <c r="G141" t="b">
        <v>0</v>
      </c>
      <c r="H141">
        <v>5</v>
      </c>
      <c r="I141">
        <v>2</v>
      </c>
      <c r="J141">
        <v>0.2</v>
      </c>
    </row>
    <row r="142" spans="1:10" x14ac:dyDescent="0.3">
      <c r="A142">
        <v>141</v>
      </c>
      <c r="B142" s="1">
        <v>40550</v>
      </c>
      <c r="C142">
        <v>1</v>
      </c>
      <c r="D142">
        <v>0</v>
      </c>
      <c r="E142">
        <v>1</v>
      </c>
      <c r="F142">
        <v>2</v>
      </c>
      <c r="G142" t="b">
        <v>0</v>
      </c>
      <c r="H142">
        <v>5</v>
      </c>
      <c r="I142">
        <v>2</v>
      </c>
      <c r="J142">
        <v>0.2</v>
      </c>
    </row>
    <row r="143" spans="1:10" x14ac:dyDescent="0.3">
      <c r="A143">
        <v>142</v>
      </c>
      <c r="B143" s="1">
        <v>40550</v>
      </c>
      <c r="C143">
        <v>1</v>
      </c>
      <c r="D143">
        <v>0</v>
      </c>
      <c r="E143">
        <v>1</v>
      </c>
      <c r="F143">
        <v>4</v>
      </c>
      <c r="G143" t="b">
        <v>0</v>
      </c>
      <c r="H143">
        <v>5</v>
      </c>
      <c r="I143">
        <v>2</v>
      </c>
      <c r="J143">
        <v>0.2</v>
      </c>
    </row>
    <row r="144" spans="1:10" x14ac:dyDescent="0.3">
      <c r="A144">
        <v>143</v>
      </c>
      <c r="B144" s="1">
        <v>40550</v>
      </c>
      <c r="C144">
        <v>1</v>
      </c>
      <c r="D144">
        <v>0</v>
      </c>
      <c r="E144">
        <v>1</v>
      </c>
      <c r="F144">
        <v>5</v>
      </c>
      <c r="G144" t="b">
        <v>0</v>
      </c>
      <c r="H144">
        <v>5</v>
      </c>
      <c r="I144">
        <v>3</v>
      </c>
      <c r="J144">
        <v>0.22</v>
      </c>
    </row>
    <row r="145" spans="1:10" x14ac:dyDescent="0.3">
      <c r="A145">
        <v>144</v>
      </c>
      <c r="B145" s="1">
        <v>40550</v>
      </c>
      <c r="C145">
        <v>1</v>
      </c>
      <c r="D145">
        <v>0</v>
      </c>
      <c r="E145">
        <v>1</v>
      </c>
      <c r="F145">
        <v>6</v>
      </c>
      <c r="G145" t="b">
        <v>0</v>
      </c>
      <c r="H145">
        <v>5</v>
      </c>
      <c r="I145">
        <v>2</v>
      </c>
      <c r="J145">
        <v>0.2</v>
      </c>
    </row>
    <row r="146" spans="1:10" x14ac:dyDescent="0.3">
      <c r="A146">
        <v>145</v>
      </c>
      <c r="B146" s="1">
        <v>40550</v>
      </c>
      <c r="C146">
        <v>1</v>
      </c>
      <c r="D146">
        <v>0</v>
      </c>
      <c r="E146">
        <v>1</v>
      </c>
      <c r="F146">
        <v>7</v>
      </c>
      <c r="G146" t="b">
        <v>0</v>
      </c>
      <c r="H146">
        <v>5</v>
      </c>
      <c r="I146">
        <v>1</v>
      </c>
      <c r="J146">
        <v>0.2</v>
      </c>
    </row>
    <row r="147" spans="1:10" x14ac:dyDescent="0.3">
      <c r="A147">
        <v>146</v>
      </c>
      <c r="B147" s="1">
        <v>40550</v>
      </c>
      <c r="C147">
        <v>1</v>
      </c>
      <c r="D147">
        <v>0</v>
      </c>
      <c r="E147">
        <v>1</v>
      </c>
      <c r="F147">
        <v>8</v>
      </c>
      <c r="G147" t="b">
        <v>0</v>
      </c>
      <c r="H147">
        <v>5</v>
      </c>
      <c r="I147">
        <v>1</v>
      </c>
      <c r="J147">
        <v>0.2</v>
      </c>
    </row>
    <row r="148" spans="1:10" x14ac:dyDescent="0.3">
      <c r="A148">
        <v>147</v>
      </c>
      <c r="B148" s="1">
        <v>40550</v>
      </c>
      <c r="C148">
        <v>1</v>
      </c>
      <c r="D148">
        <v>0</v>
      </c>
      <c r="E148">
        <v>1</v>
      </c>
      <c r="F148">
        <v>9</v>
      </c>
      <c r="G148" t="b">
        <v>0</v>
      </c>
      <c r="H148">
        <v>5</v>
      </c>
      <c r="I148">
        <v>1</v>
      </c>
      <c r="J148">
        <v>0.2</v>
      </c>
    </row>
    <row r="149" spans="1:10" x14ac:dyDescent="0.3">
      <c r="A149">
        <v>148</v>
      </c>
      <c r="B149" s="1">
        <v>40550</v>
      </c>
      <c r="C149">
        <v>1</v>
      </c>
      <c r="D149">
        <v>0</v>
      </c>
      <c r="E149">
        <v>1</v>
      </c>
      <c r="F149">
        <v>10</v>
      </c>
      <c r="G149" t="b">
        <v>0</v>
      </c>
      <c r="H149">
        <v>5</v>
      </c>
      <c r="I149">
        <v>1</v>
      </c>
      <c r="J149">
        <v>0.22</v>
      </c>
    </row>
    <row r="150" spans="1:10" x14ac:dyDescent="0.3">
      <c r="A150">
        <v>149</v>
      </c>
      <c r="B150" s="1">
        <v>40550</v>
      </c>
      <c r="C150">
        <v>1</v>
      </c>
      <c r="D150">
        <v>0</v>
      </c>
      <c r="E150">
        <v>1</v>
      </c>
      <c r="F150">
        <v>11</v>
      </c>
      <c r="G150" t="b">
        <v>0</v>
      </c>
      <c r="H150">
        <v>5</v>
      </c>
      <c r="I150">
        <v>2</v>
      </c>
      <c r="J150">
        <v>0.2</v>
      </c>
    </row>
    <row r="151" spans="1:10" x14ac:dyDescent="0.3">
      <c r="A151">
        <v>150</v>
      </c>
      <c r="B151" s="1">
        <v>40550</v>
      </c>
      <c r="C151">
        <v>1</v>
      </c>
      <c r="D151">
        <v>0</v>
      </c>
      <c r="E151">
        <v>1</v>
      </c>
      <c r="F151">
        <v>12</v>
      </c>
      <c r="G151" t="b">
        <v>0</v>
      </c>
      <c r="H151">
        <v>5</v>
      </c>
      <c r="I151">
        <v>2</v>
      </c>
      <c r="J151">
        <v>0.2</v>
      </c>
    </row>
    <row r="152" spans="1:10" x14ac:dyDescent="0.3">
      <c r="A152">
        <v>151</v>
      </c>
      <c r="B152" s="1">
        <v>40550</v>
      </c>
      <c r="C152">
        <v>1</v>
      </c>
      <c r="D152">
        <v>0</v>
      </c>
      <c r="E152">
        <v>1</v>
      </c>
      <c r="F152">
        <v>13</v>
      </c>
      <c r="G152" t="b">
        <v>0</v>
      </c>
      <c r="H152">
        <v>5</v>
      </c>
      <c r="I152">
        <v>2</v>
      </c>
      <c r="J152">
        <v>0.2</v>
      </c>
    </row>
    <row r="153" spans="1:10" x14ac:dyDescent="0.3">
      <c r="A153">
        <v>152</v>
      </c>
      <c r="B153" s="1">
        <v>40550</v>
      </c>
      <c r="C153">
        <v>1</v>
      </c>
      <c r="D153">
        <v>0</v>
      </c>
      <c r="E153">
        <v>1</v>
      </c>
      <c r="F153">
        <v>14</v>
      </c>
      <c r="G153" t="b">
        <v>0</v>
      </c>
      <c r="H153">
        <v>5</v>
      </c>
      <c r="I153">
        <v>2</v>
      </c>
      <c r="J153">
        <v>0.2</v>
      </c>
    </row>
    <row r="154" spans="1:10" x14ac:dyDescent="0.3">
      <c r="A154">
        <v>153</v>
      </c>
      <c r="B154" s="1">
        <v>40550</v>
      </c>
      <c r="C154">
        <v>1</v>
      </c>
      <c r="D154">
        <v>0</v>
      </c>
      <c r="E154">
        <v>1</v>
      </c>
      <c r="F154">
        <v>15</v>
      </c>
      <c r="G154" t="b">
        <v>0</v>
      </c>
      <c r="H154">
        <v>5</v>
      </c>
      <c r="I154">
        <v>2</v>
      </c>
      <c r="J154">
        <v>0.2</v>
      </c>
    </row>
    <row r="155" spans="1:10" x14ac:dyDescent="0.3">
      <c r="A155">
        <v>154</v>
      </c>
      <c r="B155" s="1">
        <v>40550</v>
      </c>
      <c r="C155">
        <v>1</v>
      </c>
      <c r="D155">
        <v>0</v>
      </c>
      <c r="E155">
        <v>1</v>
      </c>
      <c r="F155">
        <v>16</v>
      </c>
      <c r="G155" t="b">
        <v>0</v>
      </c>
      <c r="H155">
        <v>5</v>
      </c>
      <c r="I155">
        <v>2</v>
      </c>
      <c r="J155">
        <v>0.2</v>
      </c>
    </row>
    <row r="156" spans="1:10" x14ac:dyDescent="0.3">
      <c r="A156">
        <v>155</v>
      </c>
      <c r="B156" s="1">
        <v>40550</v>
      </c>
      <c r="C156">
        <v>1</v>
      </c>
      <c r="D156">
        <v>0</v>
      </c>
      <c r="E156">
        <v>1</v>
      </c>
      <c r="F156">
        <v>17</v>
      </c>
      <c r="G156" t="b">
        <v>0</v>
      </c>
      <c r="H156">
        <v>5</v>
      </c>
      <c r="I156">
        <v>2</v>
      </c>
      <c r="J156">
        <v>0.2</v>
      </c>
    </row>
    <row r="157" spans="1:10" x14ac:dyDescent="0.3">
      <c r="A157">
        <v>156</v>
      </c>
      <c r="B157" s="1">
        <v>40550</v>
      </c>
      <c r="C157">
        <v>1</v>
      </c>
      <c r="D157">
        <v>0</v>
      </c>
      <c r="E157">
        <v>1</v>
      </c>
      <c r="F157">
        <v>18</v>
      </c>
      <c r="G157" t="b">
        <v>0</v>
      </c>
      <c r="H157">
        <v>5</v>
      </c>
      <c r="I157">
        <v>1</v>
      </c>
      <c r="J157">
        <v>0.2</v>
      </c>
    </row>
    <row r="158" spans="1:10" x14ac:dyDescent="0.3">
      <c r="A158">
        <v>157</v>
      </c>
      <c r="B158" s="1">
        <v>40550</v>
      </c>
      <c r="C158">
        <v>1</v>
      </c>
      <c r="D158">
        <v>0</v>
      </c>
      <c r="E158">
        <v>1</v>
      </c>
      <c r="F158">
        <v>19</v>
      </c>
      <c r="G158" t="b">
        <v>0</v>
      </c>
      <c r="H158">
        <v>5</v>
      </c>
      <c r="I158">
        <v>1</v>
      </c>
      <c r="J158">
        <v>0.16</v>
      </c>
    </row>
    <row r="159" spans="1:10" x14ac:dyDescent="0.3">
      <c r="A159">
        <v>158</v>
      </c>
      <c r="B159" s="1">
        <v>40550</v>
      </c>
      <c r="C159">
        <v>1</v>
      </c>
      <c r="D159">
        <v>0</v>
      </c>
      <c r="E159">
        <v>1</v>
      </c>
      <c r="F159">
        <v>20</v>
      </c>
      <c r="G159" t="b">
        <v>0</v>
      </c>
      <c r="H159">
        <v>5</v>
      </c>
      <c r="I159">
        <v>1</v>
      </c>
      <c r="J159">
        <v>0.18</v>
      </c>
    </row>
    <row r="160" spans="1:10" x14ac:dyDescent="0.3">
      <c r="A160">
        <v>159</v>
      </c>
      <c r="B160" s="1">
        <v>40550</v>
      </c>
      <c r="C160">
        <v>1</v>
      </c>
      <c r="D160">
        <v>0</v>
      </c>
      <c r="E160">
        <v>1</v>
      </c>
      <c r="F160">
        <v>21</v>
      </c>
      <c r="G160" t="b">
        <v>0</v>
      </c>
      <c r="H160">
        <v>5</v>
      </c>
      <c r="I160">
        <v>1</v>
      </c>
      <c r="J160">
        <v>0.18</v>
      </c>
    </row>
    <row r="161" spans="1:10" x14ac:dyDescent="0.3">
      <c r="A161">
        <v>160</v>
      </c>
      <c r="B161" s="1">
        <v>40550</v>
      </c>
      <c r="C161">
        <v>1</v>
      </c>
      <c r="D161">
        <v>0</v>
      </c>
      <c r="E161">
        <v>1</v>
      </c>
      <c r="F161">
        <v>22</v>
      </c>
      <c r="G161" t="b">
        <v>0</v>
      </c>
      <c r="H161">
        <v>5</v>
      </c>
      <c r="I161">
        <v>2</v>
      </c>
      <c r="J161">
        <v>0.18</v>
      </c>
    </row>
    <row r="162" spans="1:10" x14ac:dyDescent="0.3">
      <c r="A162">
        <v>161</v>
      </c>
      <c r="B162" s="1">
        <v>40550</v>
      </c>
      <c r="C162">
        <v>1</v>
      </c>
      <c r="D162">
        <v>0</v>
      </c>
      <c r="E162">
        <v>1</v>
      </c>
      <c r="F162">
        <v>23</v>
      </c>
      <c r="G162" t="b">
        <v>0</v>
      </c>
      <c r="H162">
        <v>5</v>
      </c>
      <c r="I162">
        <v>2</v>
      </c>
      <c r="J162">
        <v>0.18</v>
      </c>
    </row>
    <row r="163" spans="1:10" x14ac:dyDescent="0.3">
      <c r="A163">
        <v>162</v>
      </c>
      <c r="B163" s="1">
        <v>40551</v>
      </c>
      <c r="C163">
        <v>1</v>
      </c>
      <c r="D163">
        <v>0</v>
      </c>
      <c r="E163">
        <v>1</v>
      </c>
      <c r="F163">
        <v>0</v>
      </c>
      <c r="G163" t="b">
        <v>0</v>
      </c>
      <c r="H163">
        <v>6</v>
      </c>
      <c r="I163">
        <v>2</v>
      </c>
      <c r="J163">
        <v>0.18</v>
      </c>
    </row>
    <row r="164" spans="1:10" x14ac:dyDescent="0.3">
      <c r="A164">
        <v>163</v>
      </c>
      <c r="B164" s="1">
        <v>40551</v>
      </c>
      <c r="C164">
        <v>1</v>
      </c>
      <c r="D164">
        <v>0</v>
      </c>
      <c r="E164">
        <v>1</v>
      </c>
      <c r="F164">
        <v>1</v>
      </c>
      <c r="G164" t="b">
        <v>0</v>
      </c>
      <c r="H164">
        <v>6</v>
      </c>
      <c r="I164">
        <v>2</v>
      </c>
      <c r="J164">
        <v>0.18</v>
      </c>
    </row>
    <row r="165" spans="1:10" x14ac:dyDescent="0.3">
      <c r="A165">
        <v>164</v>
      </c>
      <c r="B165" s="1">
        <v>40551</v>
      </c>
      <c r="C165">
        <v>1</v>
      </c>
      <c r="D165">
        <v>0</v>
      </c>
      <c r="E165">
        <v>1</v>
      </c>
      <c r="F165">
        <v>2</v>
      </c>
      <c r="G165" t="b">
        <v>0</v>
      </c>
      <c r="H165">
        <v>6</v>
      </c>
      <c r="I165">
        <v>2</v>
      </c>
      <c r="J165">
        <v>0.18</v>
      </c>
    </row>
    <row r="166" spans="1:10" x14ac:dyDescent="0.3">
      <c r="A166">
        <v>165</v>
      </c>
      <c r="B166" s="1">
        <v>40551</v>
      </c>
      <c r="C166">
        <v>1</v>
      </c>
      <c r="D166">
        <v>0</v>
      </c>
      <c r="E166">
        <v>1</v>
      </c>
      <c r="F166">
        <v>3</v>
      </c>
      <c r="G166" t="b">
        <v>0</v>
      </c>
      <c r="H166">
        <v>6</v>
      </c>
      <c r="I166">
        <v>3</v>
      </c>
      <c r="J166">
        <v>0.18</v>
      </c>
    </row>
    <row r="167" spans="1:10" x14ac:dyDescent="0.3">
      <c r="A167">
        <v>166</v>
      </c>
      <c r="B167" s="1">
        <v>40551</v>
      </c>
      <c r="C167">
        <v>1</v>
      </c>
      <c r="D167">
        <v>0</v>
      </c>
      <c r="E167">
        <v>1</v>
      </c>
      <c r="F167">
        <v>4</v>
      </c>
      <c r="G167" t="b">
        <v>0</v>
      </c>
      <c r="H167">
        <v>6</v>
      </c>
      <c r="I167">
        <v>3</v>
      </c>
      <c r="J167">
        <v>0.18</v>
      </c>
    </row>
    <row r="168" spans="1:10" x14ac:dyDescent="0.3">
      <c r="A168">
        <v>167</v>
      </c>
      <c r="B168" s="1">
        <v>40551</v>
      </c>
      <c r="C168">
        <v>1</v>
      </c>
      <c r="D168">
        <v>0</v>
      </c>
      <c r="E168">
        <v>1</v>
      </c>
      <c r="F168">
        <v>5</v>
      </c>
      <c r="G168" t="b">
        <v>0</v>
      </c>
      <c r="H168">
        <v>6</v>
      </c>
      <c r="I168">
        <v>2</v>
      </c>
      <c r="J168">
        <v>0.16</v>
      </c>
    </row>
    <row r="169" spans="1:10" x14ac:dyDescent="0.3">
      <c r="A169">
        <v>168</v>
      </c>
      <c r="B169" s="1">
        <v>40551</v>
      </c>
      <c r="C169">
        <v>1</v>
      </c>
      <c r="D169">
        <v>0</v>
      </c>
      <c r="E169">
        <v>1</v>
      </c>
      <c r="F169">
        <v>6</v>
      </c>
      <c r="G169" t="b">
        <v>0</v>
      </c>
      <c r="H169">
        <v>6</v>
      </c>
      <c r="I169">
        <v>2</v>
      </c>
      <c r="J169">
        <v>0.16</v>
      </c>
    </row>
    <row r="170" spans="1:10" x14ac:dyDescent="0.3">
      <c r="A170">
        <v>169</v>
      </c>
      <c r="B170" s="1">
        <v>40551</v>
      </c>
      <c r="C170">
        <v>1</v>
      </c>
      <c r="D170">
        <v>0</v>
      </c>
      <c r="E170">
        <v>1</v>
      </c>
      <c r="F170">
        <v>7</v>
      </c>
      <c r="G170" t="b">
        <v>0</v>
      </c>
      <c r="H170">
        <v>6</v>
      </c>
      <c r="I170">
        <v>2</v>
      </c>
      <c r="J170">
        <v>0.16</v>
      </c>
    </row>
    <row r="171" spans="1:10" x14ac:dyDescent="0.3">
      <c r="A171">
        <v>170</v>
      </c>
      <c r="B171" s="1">
        <v>40551</v>
      </c>
      <c r="C171">
        <v>1</v>
      </c>
      <c r="D171">
        <v>0</v>
      </c>
      <c r="E171">
        <v>1</v>
      </c>
      <c r="F171">
        <v>8</v>
      </c>
      <c r="G171" t="b">
        <v>0</v>
      </c>
      <c r="H171">
        <v>6</v>
      </c>
      <c r="I171">
        <v>3</v>
      </c>
      <c r="J171">
        <v>0.16</v>
      </c>
    </row>
    <row r="172" spans="1:10" x14ac:dyDescent="0.3">
      <c r="A172">
        <v>171</v>
      </c>
      <c r="B172" s="1">
        <v>40551</v>
      </c>
      <c r="C172">
        <v>1</v>
      </c>
      <c r="D172">
        <v>0</v>
      </c>
      <c r="E172">
        <v>1</v>
      </c>
      <c r="F172">
        <v>9</v>
      </c>
      <c r="G172" t="b">
        <v>0</v>
      </c>
      <c r="H172">
        <v>6</v>
      </c>
      <c r="I172">
        <v>3</v>
      </c>
      <c r="J172">
        <v>0.16</v>
      </c>
    </row>
    <row r="173" spans="1:10" x14ac:dyDescent="0.3">
      <c r="A173">
        <v>172</v>
      </c>
      <c r="B173" s="1">
        <v>40551</v>
      </c>
      <c r="C173">
        <v>1</v>
      </c>
      <c r="D173">
        <v>0</v>
      </c>
      <c r="E173">
        <v>1</v>
      </c>
      <c r="F173">
        <v>10</v>
      </c>
      <c r="G173" t="b">
        <v>0</v>
      </c>
      <c r="H173">
        <v>6</v>
      </c>
      <c r="I173">
        <v>2</v>
      </c>
      <c r="J173">
        <v>0.18</v>
      </c>
    </row>
    <row r="174" spans="1:10" x14ac:dyDescent="0.3">
      <c r="A174">
        <v>173</v>
      </c>
      <c r="B174" s="1">
        <v>40551</v>
      </c>
      <c r="C174">
        <v>1</v>
      </c>
      <c r="D174">
        <v>0</v>
      </c>
      <c r="E174">
        <v>1</v>
      </c>
      <c r="F174">
        <v>11</v>
      </c>
      <c r="G174" t="b">
        <v>0</v>
      </c>
      <c r="H174">
        <v>6</v>
      </c>
      <c r="I174">
        <v>2</v>
      </c>
      <c r="J174">
        <v>0.2</v>
      </c>
    </row>
    <row r="175" spans="1:10" x14ac:dyDescent="0.3">
      <c r="A175">
        <v>174</v>
      </c>
      <c r="B175" s="1">
        <v>40551</v>
      </c>
      <c r="C175">
        <v>1</v>
      </c>
      <c r="D175">
        <v>0</v>
      </c>
      <c r="E175">
        <v>1</v>
      </c>
      <c r="F175">
        <v>12</v>
      </c>
      <c r="G175" t="b">
        <v>0</v>
      </c>
      <c r="H175">
        <v>6</v>
      </c>
      <c r="I175">
        <v>2</v>
      </c>
      <c r="J175">
        <v>0.2</v>
      </c>
    </row>
    <row r="176" spans="1:10" x14ac:dyDescent="0.3">
      <c r="A176">
        <v>175</v>
      </c>
      <c r="B176" s="1">
        <v>40551</v>
      </c>
      <c r="C176">
        <v>1</v>
      </c>
      <c r="D176">
        <v>0</v>
      </c>
      <c r="E176">
        <v>1</v>
      </c>
      <c r="F176">
        <v>13</v>
      </c>
      <c r="G176" t="b">
        <v>0</v>
      </c>
      <c r="H176">
        <v>6</v>
      </c>
      <c r="I176">
        <v>1</v>
      </c>
      <c r="J176">
        <v>0.2</v>
      </c>
    </row>
    <row r="177" spans="1:10" x14ac:dyDescent="0.3">
      <c r="A177">
        <v>176</v>
      </c>
      <c r="B177" s="1">
        <v>40551</v>
      </c>
      <c r="C177">
        <v>1</v>
      </c>
      <c r="D177">
        <v>0</v>
      </c>
      <c r="E177">
        <v>1</v>
      </c>
      <c r="F177">
        <v>14</v>
      </c>
      <c r="G177" t="b">
        <v>0</v>
      </c>
      <c r="H177">
        <v>6</v>
      </c>
      <c r="I177">
        <v>1</v>
      </c>
      <c r="J177">
        <v>0.2</v>
      </c>
    </row>
    <row r="178" spans="1:10" x14ac:dyDescent="0.3">
      <c r="A178">
        <v>177</v>
      </c>
      <c r="B178" s="1">
        <v>40551</v>
      </c>
      <c r="C178">
        <v>1</v>
      </c>
      <c r="D178">
        <v>0</v>
      </c>
      <c r="E178">
        <v>1</v>
      </c>
      <c r="F178">
        <v>15</v>
      </c>
      <c r="G178" t="b">
        <v>0</v>
      </c>
      <c r="H178">
        <v>6</v>
      </c>
      <c r="I178">
        <v>1</v>
      </c>
      <c r="J178">
        <v>0.2</v>
      </c>
    </row>
    <row r="179" spans="1:10" x14ac:dyDescent="0.3">
      <c r="A179">
        <v>178</v>
      </c>
      <c r="B179" s="1">
        <v>40551</v>
      </c>
      <c r="C179">
        <v>1</v>
      </c>
      <c r="D179">
        <v>0</v>
      </c>
      <c r="E179">
        <v>1</v>
      </c>
      <c r="F179">
        <v>16</v>
      </c>
      <c r="G179" t="b">
        <v>0</v>
      </c>
      <c r="H179">
        <v>6</v>
      </c>
      <c r="I179">
        <v>1</v>
      </c>
      <c r="J179">
        <v>0.18</v>
      </c>
    </row>
    <row r="180" spans="1:10" x14ac:dyDescent="0.3">
      <c r="A180">
        <v>179</v>
      </c>
      <c r="B180" s="1">
        <v>40551</v>
      </c>
      <c r="C180">
        <v>1</v>
      </c>
      <c r="D180">
        <v>0</v>
      </c>
      <c r="E180">
        <v>1</v>
      </c>
      <c r="F180">
        <v>17</v>
      </c>
      <c r="G180" t="b">
        <v>0</v>
      </c>
      <c r="H180">
        <v>6</v>
      </c>
      <c r="I180">
        <v>1</v>
      </c>
      <c r="J180">
        <v>0.16</v>
      </c>
    </row>
    <row r="181" spans="1:10" x14ac:dyDescent="0.3">
      <c r="A181">
        <v>180</v>
      </c>
      <c r="B181" s="1">
        <v>40551</v>
      </c>
      <c r="C181">
        <v>1</v>
      </c>
      <c r="D181">
        <v>0</v>
      </c>
      <c r="E181">
        <v>1</v>
      </c>
      <c r="F181">
        <v>18</v>
      </c>
      <c r="G181" t="b">
        <v>0</v>
      </c>
      <c r="H181">
        <v>6</v>
      </c>
      <c r="I181">
        <v>1</v>
      </c>
      <c r="J181">
        <v>0.14000000000000001</v>
      </c>
    </row>
    <row r="182" spans="1:10" x14ac:dyDescent="0.3">
      <c r="A182">
        <v>181</v>
      </c>
      <c r="B182" s="1">
        <v>40551</v>
      </c>
      <c r="C182">
        <v>1</v>
      </c>
      <c r="D182">
        <v>0</v>
      </c>
      <c r="E182">
        <v>1</v>
      </c>
      <c r="F182">
        <v>19</v>
      </c>
      <c r="G182" t="b">
        <v>0</v>
      </c>
      <c r="H182">
        <v>6</v>
      </c>
      <c r="I182">
        <v>1</v>
      </c>
      <c r="J182">
        <v>0.14000000000000001</v>
      </c>
    </row>
    <row r="183" spans="1:10" x14ac:dyDescent="0.3">
      <c r="A183">
        <v>182</v>
      </c>
      <c r="B183" s="1">
        <v>40551</v>
      </c>
      <c r="C183">
        <v>1</v>
      </c>
      <c r="D183">
        <v>0</v>
      </c>
      <c r="E183">
        <v>1</v>
      </c>
      <c r="F183">
        <v>20</v>
      </c>
      <c r="G183" t="b">
        <v>0</v>
      </c>
      <c r="H183">
        <v>6</v>
      </c>
      <c r="I183">
        <v>1</v>
      </c>
      <c r="J183">
        <v>0.12</v>
      </c>
    </row>
    <row r="184" spans="1:10" x14ac:dyDescent="0.3">
      <c r="A184">
        <v>183</v>
      </c>
      <c r="B184" s="1">
        <v>40551</v>
      </c>
      <c r="C184">
        <v>1</v>
      </c>
      <c r="D184">
        <v>0</v>
      </c>
      <c r="E184">
        <v>1</v>
      </c>
      <c r="F184">
        <v>21</v>
      </c>
      <c r="G184" t="b">
        <v>0</v>
      </c>
      <c r="H184">
        <v>6</v>
      </c>
      <c r="I184">
        <v>1</v>
      </c>
      <c r="J184">
        <v>0.12</v>
      </c>
    </row>
    <row r="185" spans="1:10" x14ac:dyDescent="0.3">
      <c r="A185">
        <v>184</v>
      </c>
      <c r="B185" s="1">
        <v>40551</v>
      </c>
      <c r="C185">
        <v>1</v>
      </c>
      <c r="D185">
        <v>0</v>
      </c>
      <c r="E185">
        <v>1</v>
      </c>
      <c r="F185">
        <v>22</v>
      </c>
      <c r="G185" t="b">
        <v>0</v>
      </c>
      <c r="H185">
        <v>6</v>
      </c>
      <c r="I185">
        <v>1</v>
      </c>
      <c r="J185">
        <v>0.12</v>
      </c>
    </row>
    <row r="186" spans="1:10" x14ac:dyDescent="0.3">
      <c r="A186">
        <v>185</v>
      </c>
      <c r="B186" s="1">
        <v>40551</v>
      </c>
      <c r="C186">
        <v>1</v>
      </c>
      <c r="D186">
        <v>0</v>
      </c>
      <c r="E186">
        <v>1</v>
      </c>
      <c r="F186">
        <v>23</v>
      </c>
      <c r="G186" t="b">
        <v>0</v>
      </c>
      <c r="H186">
        <v>6</v>
      </c>
      <c r="I186">
        <v>1</v>
      </c>
      <c r="J186">
        <v>0.1</v>
      </c>
    </row>
    <row r="187" spans="1:10" x14ac:dyDescent="0.3">
      <c r="A187">
        <v>186</v>
      </c>
      <c r="B187" s="1">
        <v>40552</v>
      </c>
      <c r="C187">
        <v>1</v>
      </c>
      <c r="D187">
        <v>0</v>
      </c>
      <c r="E187">
        <v>1</v>
      </c>
      <c r="F187">
        <v>0</v>
      </c>
      <c r="G187" t="b">
        <v>0</v>
      </c>
      <c r="H187">
        <v>0</v>
      </c>
      <c r="I187">
        <v>1</v>
      </c>
      <c r="J187">
        <v>0.1</v>
      </c>
    </row>
    <row r="188" spans="1:10" x14ac:dyDescent="0.3">
      <c r="A188">
        <v>187</v>
      </c>
      <c r="B188" s="1">
        <v>40552</v>
      </c>
      <c r="C188">
        <v>1</v>
      </c>
      <c r="D188">
        <v>0</v>
      </c>
      <c r="E188">
        <v>1</v>
      </c>
      <c r="F188">
        <v>1</v>
      </c>
      <c r="G188" t="b">
        <v>0</v>
      </c>
      <c r="H188">
        <v>0</v>
      </c>
      <c r="I188">
        <v>1</v>
      </c>
      <c r="J188">
        <v>0.1</v>
      </c>
    </row>
    <row r="189" spans="1:10" x14ac:dyDescent="0.3">
      <c r="A189">
        <v>188</v>
      </c>
      <c r="B189" s="1">
        <v>40552</v>
      </c>
      <c r="C189">
        <v>1</v>
      </c>
      <c r="D189">
        <v>0</v>
      </c>
      <c r="E189">
        <v>1</v>
      </c>
      <c r="F189">
        <v>2</v>
      </c>
      <c r="G189" t="b">
        <v>0</v>
      </c>
      <c r="H189">
        <v>0</v>
      </c>
      <c r="I189">
        <v>1</v>
      </c>
      <c r="J189">
        <v>0.1</v>
      </c>
    </row>
    <row r="190" spans="1:10" x14ac:dyDescent="0.3">
      <c r="A190">
        <v>189</v>
      </c>
      <c r="B190" s="1">
        <v>40552</v>
      </c>
      <c r="C190">
        <v>1</v>
      </c>
      <c r="D190">
        <v>0</v>
      </c>
      <c r="E190">
        <v>1</v>
      </c>
      <c r="F190">
        <v>3</v>
      </c>
      <c r="G190" t="b">
        <v>0</v>
      </c>
      <c r="H190">
        <v>0</v>
      </c>
      <c r="I190">
        <v>1</v>
      </c>
      <c r="J190">
        <v>0.1</v>
      </c>
    </row>
    <row r="191" spans="1:10" x14ac:dyDescent="0.3">
      <c r="A191">
        <v>190</v>
      </c>
      <c r="B191" s="1">
        <v>40552</v>
      </c>
      <c r="C191">
        <v>1</v>
      </c>
      <c r="D191">
        <v>0</v>
      </c>
      <c r="E191">
        <v>1</v>
      </c>
      <c r="F191">
        <v>4</v>
      </c>
      <c r="G191" t="b">
        <v>0</v>
      </c>
      <c r="H191">
        <v>0</v>
      </c>
      <c r="I191">
        <v>1</v>
      </c>
      <c r="J191">
        <v>0.08</v>
      </c>
    </row>
    <row r="192" spans="1:10" x14ac:dyDescent="0.3">
      <c r="A192">
        <v>191</v>
      </c>
      <c r="B192" s="1">
        <v>40552</v>
      </c>
      <c r="C192">
        <v>1</v>
      </c>
      <c r="D192">
        <v>0</v>
      </c>
      <c r="E192">
        <v>1</v>
      </c>
      <c r="F192">
        <v>5</v>
      </c>
      <c r="G192" t="b">
        <v>0</v>
      </c>
      <c r="H192">
        <v>0</v>
      </c>
      <c r="I192">
        <v>1</v>
      </c>
      <c r="J192">
        <v>0.08</v>
      </c>
    </row>
    <row r="193" spans="1:10" x14ac:dyDescent="0.3">
      <c r="A193">
        <v>192</v>
      </c>
      <c r="B193" s="1">
        <v>40552</v>
      </c>
      <c r="C193">
        <v>1</v>
      </c>
      <c r="D193">
        <v>0</v>
      </c>
      <c r="E193">
        <v>1</v>
      </c>
      <c r="F193">
        <v>6</v>
      </c>
      <c r="G193" t="b">
        <v>0</v>
      </c>
      <c r="H193">
        <v>0</v>
      </c>
      <c r="I193">
        <v>1</v>
      </c>
      <c r="J193">
        <v>0.1</v>
      </c>
    </row>
    <row r="194" spans="1:10" x14ac:dyDescent="0.3">
      <c r="A194">
        <v>193</v>
      </c>
      <c r="B194" s="1">
        <v>40552</v>
      </c>
      <c r="C194">
        <v>1</v>
      </c>
      <c r="D194">
        <v>0</v>
      </c>
      <c r="E194">
        <v>1</v>
      </c>
      <c r="F194">
        <v>7</v>
      </c>
      <c r="G194" t="b">
        <v>0</v>
      </c>
      <c r="H194">
        <v>0</v>
      </c>
      <c r="I194">
        <v>1</v>
      </c>
      <c r="J194">
        <v>0.08</v>
      </c>
    </row>
    <row r="195" spans="1:10" x14ac:dyDescent="0.3">
      <c r="A195">
        <v>194</v>
      </c>
      <c r="B195" s="1">
        <v>40552</v>
      </c>
      <c r="C195">
        <v>1</v>
      </c>
      <c r="D195">
        <v>0</v>
      </c>
      <c r="E195">
        <v>1</v>
      </c>
      <c r="F195">
        <v>8</v>
      </c>
      <c r="G195" t="b">
        <v>0</v>
      </c>
      <c r="H195">
        <v>0</v>
      </c>
      <c r="I195">
        <v>1</v>
      </c>
      <c r="J195">
        <v>0.1</v>
      </c>
    </row>
    <row r="196" spans="1:10" x14ac:dyDescent="0.3">
      <c r="A196">
        <v>195</v>
      </c>
      <c r="B196" s="1">
        <v>40552</v>
      </c>
      <c r="C196">
        <v>1</v>
      </c>
      <c r="D196">
        <v>0</v>
      </c>
      <c r="E196">
        <v>1</v>
      </c>
      <c r="F196">
        <v>9</v>
      </c>
      <c r="G196" t="b">
        <v>0</v>
      </c>
      <c r="H196">
        <v>0</v>
      </c>
      <c r="I196">
        <v>1</v>
      </c>
      <c r="J196">
        <v>0.12</v>
      </c>
    </row>
    <row r="197" spans="1:10" x14ac:dyDescent="0.3">
      <c r="A197">
        <v>196</v>
      </c>
      <c r="B197" s="1">
        <v>40552</v>
      </c>
      <c r="C197">
        <v>1</v>
      </c>
      <c r="D197">
        <v>0</v>
      </c>
      <c r="E197">
        <v>1</v>
      </c>
      <c r="F197">
        <v>10</v>
      </c>
      <c r="G197" t="b">
        <v>0</v>
      </c>
      <c r="H197">
        <v>0</v>
      </c>
      <c r="I197">
        <v>1</v>
      </c>
      <c r="J197">
        <v>0.14000000000000001</v>
      </c>
    </row>
    <row r="198" spans="1:10" x14ac:dyDescent="0.3">
      <c r="A198">
        <v>197</v>
      </c>
      <c r="B198" s="1">
        <v>40552</v>
      </c>
      <c r="C198">
        <v>1</v>
      </c>
      <c r="D198">
        <v>0</v>
      </c>
      <c r="E198">
        <v>1</v>
      </c>
      <c r="F198">
        <v>11</v>
      </c>
      <c r="G198" t="b">
        <v>0</v>
      </c>
      <c r="H198">
        <v>0</v>
      </c>
      <c r="I198">
        <v>1</v>
      </c>
      <c r="J198">
        <v>0.16</v>
      </c>
    </row>
    <row r="199" spans="1:10" x14ac:dyDescent="0.3">
      <c r="A199">
        <v>198</v>
      </c>
      <c r="B199" s="1">
        <v>40552</v>
      </c>
      <c r="C199">
        <v>1</v>
      </c>
      <c r="D199">
        <v>0</v>
      </c>
      <c r="E199">
        <v>1</v>
      </c>
      <c r="F199">
        <v>12</v>
      </c>
      <c r="G199" t="b">
        <v>0</v>
      </c>
      <c r="H199">
        <v>0</v>
      </c>
      <c r="I199">
        <v>1</v>
      </c>
      <c r="J199">
        <v>0.18</v>
      </c>
    </row>
    <row r="200" spans="1:10" x14ac:dyDescent="0.3">
      <c r="A200">
        <v>199</v>
      </c>
      <c r="B200" s="1">
        <v>40552</v>
      </c>
      <c r="C200">
        <v>1</v>
      </c>
      <c r="D200">
        <v>0</v>
      </c>
      <c r="E200">
        <v>1</v>
      </c>
      <c r="F200">
        <v>13</v>
      </c>
      <c r="G200" t="b">
        <v>0</v>
      </c>
      <c r="H200">
        <v>0</v>
      </c>
      <c r="I200">
        <v>1</v>
      </c>
      <c r="J200">
        <v>0.2</v>
      </c>
    </row>
    <row r="201" spans="1:10" x14ac:dyDescent="0.3">
      <c r="A201">
        <v>200</v>
      </c>
      <c r="B201" s="1">
        <v>40552</v>
      </c>
      <c r="C201">
        <v>1</v>
      </c>
      <c r="D201">
        <v>0</v>
      </c>
      <c r="E201">
        <v>1</v>
      </c>
      <c r="F201">
        <v>14</v>
      </c>
      <c r="G201" t="b">
        <v>0</v>
      </c>
      <c r="H201">
        <v>0</v>
      </c>
      <c r="I201">
        <v>1</v>
      </c>
      <c r="J201">
        <v>0.22</v>
      </c>
    </row>
    <row r="202" spans="1:10" x14ac:dyDescent="0.3">
      <c r="A202">
        <v>201</v>
      </c>
      <c r="B202" s="1">
        <v>40552</v>
      </c>
      <c r="C202">
        <v>1</v>
      </c>
      <c r="D202">
        <v>0</v>
      </c>
      <c r="E202">
        <v>1</v>
      </c>
      <c r="F202">
        <v>15</v>
      </c>
      <c r="G202" t="b">
        <v>0</v>
      </c>
      <c r="H202">
        <v>0</v>
      </c>
      <c r="I202">
        <v>1</v>
      </c>
      <c r="J202">
        <v>0.22</v>
      </c>
    </row>
    <row r="203" spans="1:10" x14ac:dyDescent="0.3">
      <c r="A203">
        <v>202</v>
      </c>
      <c r="B203" s="1">
        <v>40552</v>
      </c>
      <c r="C203">
        <v>1</v>
      </c>
      <c r="D203">
        <v>0</v>
      </c>
      <c r="E203">
        <v>1</v>
      </c>
      <c r="F203">
        <v>16</v>
      </c>
      <c r="G203" t="b">
        <v>0</v>
      </c>
      <c r="H203">
        <v>0</v>
      </c>
      <c r="I203">
        <v>1</v>
      </c>
      <c r="J203">
        <v>0.2</v>
      </c>
    </row>
    <row r="204" spans="1:10" x14ac:dyDescent="0.3">
      <c r="A204">
        <v>203</v>
      </c>
      <c r="B204" s="1">
        <v>40552</v>
      </c>
      <c r="C204">
        <v>1</v>
      </c>
      <c r="D204">
        <v>0</v>
      </c>
      <c r="E204">
        <v>1</v>
      </c>
      <c r="F204">
        <v>17</v>
      </c>
      <c r="G204" t="b">
        <v>0</v>
      </c>
      <c r="H204">
        <v>0</v>
      </c>
      <c r="I204">
        <v>1</v>
      </c>
      <c r="J204">
        <v>0.18</v>
      </c>
    </row>
    <row r="205" spans="1:10" x14ac:dyDescent="0.3">
      <c r="A205">
        <v>204</v>
      </c>
      <c r="B205" s="1">
        <v>40552</v>
      </c>
      <c r="C205">
        <v>1</v>
      </c>
      <c r="D205">
        <v>0</v>
      </c>
      <c r="E205">
        <v>1</v>
      </c>
      <c r="F205">
        <v>18</v>
      </c>
      <c r="G205" t="b">
        <v>0</v>
      </c>
      <c r="H205">
        <v>0</v>
      </c>
      <c r="I205">
        <v>1</v>
      </c>
      <c r="J205">
        <v>0.16</v>
      </c>
    </row>
    <row r="206" spans="1:10" x14ac:dyDescent="0.3">
      <c r="A206">
        <v>205</v>
      </c>
      <c r="B206" s="1">
        <v>40552</v>
      </c>
      <c r="C206">
        <v>1</v>
      </c>
      <c r="D206">
        <v>0</v>
      </c>
      <c r="E206">
        <v>1</v>
      </c>
      <c r="F206">
        <v>19</v>
      </c>
      <c r="G206" t="b">
        <v>0</v>
      </c>
      <c r="H206">
        <v>0</v>
      </c>
      <c r="I206">
        <v>1</v>
      </c>
      <c r="J206">
        <v>0.16</v>
      </c>
    </row>
    <row r="207" spans="1:10" x14ac:dyDescent="0.3">
      <c r="A207">
        <v>206</v>
      </c>
      <c r="B207" s="1">
        <v>40552</v>
      </c>
      <c r="C207">
        <v>1</v>
      </c>
      <c r="D207">
        <v>0</v>
      </c>
      <c r="E207">
        <v>1</v>
      </c>
      <c r="F207">
        <v>20</v>
      </c>
      <c r="G207" t="b">
        <v>0</v>
      </c>
      <c r="H207">
        <v>0</v>
      </c>
      <c r="I207">
        <v>1</v>
      </c>
      <c r="J207">
        <v>0.14000000000000001</v>
      </c>
    </row>
    <row r="208" spans="1:10" x14ac:dyDescent="0.3">
      <c r="A208">
        <v>207</v>
      </c>
      <c r="B208" s="1">
        <v>40552</v>
      </c>
      <c r="C208">
        <v>1</v>
      </c>
      <c r="D208">
        <v>0</v>
      </c>
      <c r="E208">
        <v>1</v>
      </c>
      <c r="F208">
        <v>21</v>
      </c>
      <c r="G208" t="b">
        <v>0</v>
      </c>
      <c r="H208">
        <v>0</v>
      </c>
      <c r="I208">
        <v>1</v>
      </c>
      <c r="J208">
        <v>0.14000000000000001</v>
      </c>
    </row>
    <row r="209" spans="1:10" x14ac:dyDescent="0.3">
      <c r="A209">
        <v>208</v>
      </c>
      <c r="B209" s="1">
        <v>40552</v>
      </c>
      <c r="C209">
        <v>1</v>
      </c>
      <c r="D209">
        <v>0</v>
      </c>
      <c r="E209">
        <v>1</v>
      </c>
      <c r="F209">
        <v>22</v>
      </c>
      <c r="G209" t="b">
        <v>0</v>
      </c>
      <c r="H209">
        <v>0</v>
      </c>
      <c r="I209">
        <v>1</v>
      </c>
      <c r="J209">
        <v>0.14000000000000001</v>
      </c>
    </row>
    <row r="210" spans="1:10" x14ac:dyDescent="0.3">
      <c r="A210">
        <v>209</v>
      </c>
      <c r="B210" s="1">
        <v>40552</v>
      </c>
      <c r="C210">
        <v>1</v>
      </c>
      <c r="D210">
        <v>0</v>
      </c>
      <c r="E210">
        <v>1</v>
      </c>
      <c r="F210">
        <v>23</v>
      </c>
      <c r="G210" t="b">
        <v>0</v>
      </c>
      <c r="H210">
        <v>0</v>
      </c>
      <c r="I210">
        <v>1</v>
      </c>
      <c r="J210">
        <v>0.12</v>
      </c>
    </row>
    <row r="211" spans="1:10" x14ac:dyDescent="0.3">
      <c r="A211">
        <v>210</v>
      </c>
      <c r="B211" s="1">
        <v>40553</v>
      </c>
      <c r="C211">
        <v>1</v>
      </c>
      <c r="D211">
        <v>0</v>
      </c>
      <c r="E211">
        <v>1</v>
      </c>
      <c r="F211">
        <v>0</v>
      </c>
      <c r="G211" t="b">
        <v>0</v>
      </c>
      <c r="H211">
        <v>1</v>
      </c>
      <c r="I211">
        <v>1</v>
      </c>
      <c r="J211">
        <v>0.12</v>
      </c>
    </row>
    <row r="212" spans="1:10" x14ac:dyDescent="0.3">
      <c r="A212">
        <v>211</v>
      </c>
      <c r="B212" s="1">
        <v>40553</v>
      </c>
      <c r="C212">
        <v>1</v>
      </c>
      <c r="D212">
        <v>0</v>
      </c>
      <c r="E212">
        <v>1</v>
      </c>
      <c r="F212">
        <v>1</v>
      </c>
      <c r="G212" t="b">
        <v>0</v>
      </c>
      <c r="H212">
        <v>1</v>
      </c>
      <c r="I212">
        <v>1</v>
      </c>
      <c r="J212">
        <v>0.12</v>
      </c>
    </row>
    <row r="213" spans="1:10" x14ac:dyDescent="0.3">
      <c r="A213">
        <v>212</v>
      </c>
      <c r="B213" s="1">
        <v>40553</v>
      </c>
      <c r="C213">
        <v>1</v>
      </c>
      <c r="D213">
        <v>0</v>
      </c>
      <c r="E213">
        <v>1</v>
      </c>
      <c r="F213">
        <v>2</v>
      </c>
      <c r="G213" t="b">
        <v>0</v>
      </c>
      <c r="H213">
        <v>1</v>
      </c>
      <c r="I213">
        <v>1</v>
      </c>
      <c r="J213">
        <v>0.12</v>
      </c>
    </row>
    <row r="214" spans="1:10" x14ac:dyDescent="0.3">
      <c r="A214">
        <v>213</v>
      </c>
      <c r="B214" s="1">
        <v>40553</v>
      </c>
      <c r="C214">
        <v>1</v>
      </c>
      <c r="D214">
        <v>0</v>
      </c>
      <c r="E214">
        <v>1</v>
      </c>
      <c r="F214">
        <v>3</v>
      </c>
      <c r="G214" t="b">
        <v>0</v>
      </c>
      <c r="H214">
        <v>1</v>
      </c>
      <c r="I214">
        <v>1</v>
      </c>
      <c r="J214">
        <v>0.12</v>
      </c>
    </row>
    <row r="215" spans="1:10" x14ac:dyDescent="0.3">
      <c r="A215">
        <v>214</v>
      </c>
      <c r="B215" s="1">
        <v>40553</v>
      </c>
      <c r="C215">
        <v>1</v>
      </c>
      <c r="D215">
        <v>0</v>
      </c>
      <c r="E215">
        <v>1</v>
      </c>
      <c r="F215">
        <v>4</v>
      </c>
      <c r="G215" t="b">
        <v>0</v>
      </c>
      <c r="H215">
        <v>1</v>
      </c>
      <c r="I215">
        <v>1</v>
      </c>
      <c r="J215">
        <v>0.1</v>
      </c>
    </row>
    <row r="216" spans="1:10" x14ac:dyDescent="0.3">
      <c r="A216">
        <v>215</v>
      </c>
      <c r="B216" s="1">
        <v>40553</v>
      </c>
      <c r="C216">
        <v>1</v>
      </c>
      <c r="D216">
        <v>0</v>
      </c>
      <c r="E216">
        <v>1</v>
      </c>
      <c r="F216">
        <v>5</v>
      </c>
      <c r="G216" t="b">
        <v>0</v>
      </c>
      <c r="H216">
        <v>1</v>
      </c>
      <c r="I216">
        <v>1</v>
      </c>
      <c r="J216">
        <v>0.1</v>
      </c>
    </row>
    <row r="217" spans="1:10" x14ac:dyDescent="0.3">
      <c r="A217">
        <v>216</v>
      </c>
      <c r="B217" s="1">
        <v>40553</v>
      </c>
      <c r="C217">
        <v>1</v>
      </c>
      <c r="D217">
        <v>0</v>
      </c>
      <c r="E217">
        <v>1</v>
      </c>
      <c r="F217">
        <v>6</v>
      </c>
      <c r="G217" t="b">
        <v>0</v>
      </c>
      <c r="H217">
        <v>1</v>
      </c>
      <c r="I217">
        <v>1</v>
      </c>
      <c r="J217">
        <v>0.12</v>
      </c>
    </row>
    <row r="218" spans="1:10" x14ac:dyDescent="0.3">
      <c r="A218">
        <v>217</v>
      </c>
      <c r="B218" s="1">
        <v>40553</v>
      </c>
      <c r="C218">
        <v>1</v>
      </c>
      <c r="D218">
        <v>0</v>
      </c>
      <c r="E218">
        <v>1</v>
      </c>
      <c r="F218">
        <v>7</v>
      </c>
      <c r="G218" t="b">
        <v>0</v>
      </c>
      <c r="H218">
        <v>1</v>
      </c>
      <c r="I218">
        <v>1</v>
      </c>
      <c r="J218">
        <v>0.12</v>
      </c>
    </row>
    <row r="219" spans="1:10" x14ac:dyDescent="0.3">
      <c r="A219">
        <v>218</v>
      </c>
      <c r="B219" s="1">
        <v>40553</v>
      </c>
      <c r="C219">
        <v>1</v>
      </c>
      <c r="D219">
        <v>0</v>
      </c>
      <c r="E219">
        <v>1</v>
      </c>
      <c r="F219">
        <v>8</v>
      </c>
      <c r="G219" t="b">
        <v>0</v>
      </c>
      <c r="H219">
        <v>1</v>
      </c>
      <c r="I219">
        <v>2</v>
      </c>
      <c r="J219">
        <v>0.12</v>
      </c>
    </row>
    <row r="220" spans="1:10" x14ac:dyDescent="0.3">
      <c r="A220">
        <v>219</v>
      </c>
      <c r="B220" s="1">
        <v>40553</v>
      </c>
      <c r="C220">
        <v>1</v>
      </c>
      <c r="D220">
        <v>0</v>
      </c>
      <c r="E220">
        <v>1</v>
      </c>
      <c r="F220">
        <v>9</v>
      </c>
      <c r="G220" t="b">
        <v>0</v>
      </c>
      <c r="H220">
        <v>1</v>
      </c>
      <c r="I220">
        <v>2</v>
      </c>
      <c r="J220">
        <v>0.14000000000000001</v>
      </c>
    </row>
    <row r="221" spans="1:10" x14ac:dyDescent="0.3">
      <c r="A221">
        <v>220</v>
      </c>
      <c r="B221" s="1">
        <v>40553</v>
      </c>
      <c r="C221">
        <v>1</v>
      </c>
      <c r="D221">
        <v>0</v>
      </c>
      <c r="E221">
        <v>1</v>
      </c>
      <c r="F221">
        <v>10</v>
      </c>
      <c r="G221" t="b">
        <v>0</v>
      </c>
      <c r="H221">
        <v>1</v>
      </c>
      <c r="I221">
        <v>2</v>
      </c>
      <c r="J221">
        <v>0.14000000000000001</v>
      </c>
    </row>
    <row r="222" spans="1:10" x14ac:dyDescent="0.3">
      <c r="A222">
        <v>221</v>
      </c>
      <c r="B222" s="1">
        <v>40553</v>
      </c>
      <c r="C222">
        <v>1</v>
      </c>
      <c r="D222">
        <v>0</v>
      </c>
      <c r="E222">
        <v>1</v>
      </c>
      <c r="F222">
        <v>11</v>
      </c>
      <c r="G222" t="b">
        <v>0</v>
      </c>
      <c r="H222">
        <v>1</v>
      </c>
      <c r="I222">
        <v>2</v>
      </c>
      <c r="J222">
        <v>0.16</v>
      </c>
    </row>
    <row r="223" spans="1:10" x14ac:dyDescent="0.3">
      <c r="A223">
        <v>222</v>
      </c>
      <c r="B223" s="1">
        <v>40553</v>
      </c>
      <c r="C223">
        <v>1</v>
      </c>
      <c r="D223">
        <v>0</v>
      </c>
      <c r="E223">
        <v>1</v>
      </c>
      <c r="F223">
        <v>12</v>
      </c>
      <c r="G223" t="b">
        <v>0</v>
      </c>
      <c r="H223">
        <v>1</v>
      </c>
      <c r="I223">
        <v>2</v>
      </c>
      <c r="J223">
        <v>0.2</v>
      </c>
    </row>
    <row r="224" spans="1:10" x14ac:dyDescent="0.3">
      <c r="A224">
        <v>223</v>
      </c>
      <c r="B224" s="1">
        <v>40553</v>
      </c>
      <c r="C224">
        <v>1</v>
      </c>
      <c r="D224">
        <v>0</v>
      </c>
      <c r="E224">
        <v>1</v>
      </c>
      <c r="F224">
        <v>13</v>
      </c>
      <c r="G224" t="b">
        <v>0</v>
      </c>
      <c r="H224">
        <v>1</v>
      </c>
      <c r="I224">
        <v>2</v>
      </c>
      <c r="J224">
        <v>0.2</v>
      </c>
    </row>
    <row r="225" spans="1:10" x14ac:dyDescent="0.3">
      <c r="A225">
        <v>224</v>
      </c>
      <c r="B225" s="1">
        <v>40553</v>
      </c>
      <c r="C225">
        <v>1</v>
      </c>
      <c r="D225">
        <v>0</v>
      </c>
      <c r="E225">
        <v>1</v>
      </c>
      <c r="F225">
        <v>14</v>
      </c>
      <c r="G225" t="b">
        <v>0</v>
      </c>
      <c r="H225">
        <v>1</v>
      </c>
      <c r="I225">
        <v>2</v>
      </c>
      <c r="J225">
        <v>0.2</v>
      </c>
    </row>
    <row r="226" spans="1:10" x14ac:dyDescent="0.3">
      <c r="A226">
        <v>225</v>
      </c>
      <c r="B226" s="1">
        <v>40553</v>
      </c>
      <c r="C226">
        <v>1</v>
      </c>
      <c r="D226">
        <v>0</v>
      </c>
      <c r="E226">
        <v>1</v>
      </c>
      <c r="F226">
        <v>15</v>
      </c>
      <c r="G226" t="b">
        <v>0</v>
      </c>
      <c r="H226">
        <v>1</v>
      </c>
      <c r="I226">
        <v>2</v>
      </c>
      <c r="J226">
        <v>0.2</v>
      </c>
    </row>
    <row r="227" spans="1:10" x14ac:dyDescent="0.3">
      <c r="A227">
        <v>226</v>
      </c>
      <c r="B227" s="1">
        <v>40553</v>
      </c>
      <c r="C227">
        <v>1</v>
      </c>
      <c r="D227">
        <v>0</v>
      </c>
      <c r="E227">
        <v>1</v>
      </c>
      <c r="F227">
        <v>16</v>
      </c>
      <c r="G227" t="b">
        <v>0</v>
      </c>
      <c r="H227">
        <v>1</v>
      </c>
      <c r="I227">
        <v>1</v>
      </c>
      <c r="J227">
        <v>0.2</v>
      </c>
    </row>
    <row r="228" spans="1:10" x14ac:dyDescent="0.3">
      <c r="A228">
        <v>227</v>
      </c>
      <c r="B228" s="1">
        <v>40553</v>
      </c>
      <c r="C228">
        <v>1</v>
      </c>
      <c r="D228">
        <v>0</v>
      </c>
      <c r="E228">
        <v>1</v>
      </c>
      <c r="F228">
        <v>17</v>
      </c>
      <c r="G228" t="b">
        <v>0</v>
      </c>
      <c r="H228">
        <v>1</v>
      </c>
      <c r="I228">
        <v>1</v>
      </c>
      <c r="J228">
        <v>0.2</v>
      </c>
    </row>
    <row r="229" spans="1:10" x14ac:dyDescent="0.3">
      <c r="A229">
        <v>228</v>
      </c>
      <c r="B229" s="1">
        <v>40553</v>
      </c>
      <c r="C229">
        <v>1</v>
      </c>
      <c r="D229">
        <v>0</v>
      </c>
      <c r="E229">
        <v>1</v>
      </c>
      <c r="F229">
        <v>18</v>
      </c>
      <c r="G229" t="b">
        <v>0</v>
      </c>
      <c r="H229">
        <v>1</v>
      </c>
      <c r="I229">
        <v>1</v>
      </c>
      <c r="J229">
        <v>0.2</v>
      </c>
    </row>
    <row r="230" spans="1:10" x14ac:dyDescent="0.3">
      <c r="A230">
        <v>229</v>
      </c>
      <c r="B230" s="1">
        <v>40553</v>
      </c>
      <c r="C230">
        <v>1</v>
      </c>
      <c r="D230">
        <v>0</v>
      </c>
      <c r="E230">
        <v>1</v>
      </c>
      <c r="F230">
        <v>19</v>
      </c>
      <c r="G230" t="b">
        <v>0</v>
      </c>
      <c r="H230">
        <v>1</v>
      </c>
      <c r="I230">
        <v>1</v>
      </c>
      <c r="J230">
        <v>0.16</v>
      </c>
    </row>
    <row r="231" spans="1:10" x14ac:dyDescent="0.3">
      <c r="A231">
        <v>230</v>
      </c>
      <c r="B231" s="1">
        <v>40553</v>
      </c>
      <c r="C231">
        <v>1</v>
      </c>
      <c r="D231">
        <v>0</v>
      </c>
      <c r="E231">
        <v>1</v>
      </c>
      <c r="F231">
        <v>20</v>
      </c>
      <c r="G231" t="b">
        <v>0</v>
      </c>
      <c r="H231">
        <v>1</v>
      </c>
      <c r="I231">
        <v>1</v>
      </c>
      <c r="J231">
        <v>0.16</v>
      </c>
    </row>
    <row r="232" spans="1:10" x14ac:dyDescent="0.3">
      <c r="A232">
        <v>231</v>
      </c>
      <c r="B232" s="1">
        <v>40553</v>
      </c>
      <c r="C232">
        <v>1</v>
      </c>
      <c r="D232">
        <v>0</v>
      </c>
      <c r="E232">
        <v>1</v>
      </c>
      <c r="F232">
        <v>21</v>
      </c>
      <c r="G232" t="b">
        <v>0</v>
      </c>
      <c r="H232">
        <v>1</v>
      </c>
      <c r="I232">
        <v>1</v>
      </c>
      <c r="J232">
        <v>0.14000000000000001</v>
      </c>
    </row>
    <row r="233" spans="1:10" x14ac:dyDescent="0.3">
      <c r="A233">
        <v>232</v>
      </c>
      <c r="B233" s="1">
        <v>40553</v>
      </c>
      <c r="C233">
        <v>1</v>
      </c>
      <c r="D233">
        <v>0</v>
      </c>
      <c r="E233">
        <v>1</v>
      </c>
      <c r="F233">
        <v>22</v>
      </c>
      <c r="G233" t="b">
        <v>0</v>
      </c>
      <c r="H233">
        <v>1</v>
      </c>
      <c r="I233">
        <v>1</v>
      </c>
      <c r="J233">
        <v>0.14000000000000001</v>
      </c>
    </row>
    <row r="234" spans="1:10" x14ac:dyDescent="0.3">
      <c r="A234">
        <v>233</v>
      </c>
      <c r="B234" s="1">
        <v>40553</v>
      </c>
      <c r="C234">
        <v>1</v>
      </c>
      <c r="D234">
        <v>0</v>
      </c>
      <c r="E234">
        <v>1</v>
      </c>
      <c r="F234">
        <v>23</v>
      </c>
      <c r="G234" t="b">
        <v>0</v>
      </c>
      <c r="H234">
        <v>1</v>
      </c>
      <c r="I234">
        <v>1</v>
      </c>
      <c r="J234">
        <v>0.14000000000000001</v>
      </c>
    </row>
    <row r="235" spans="1:10" x14ac:dyDescent="0.3">
      <c r="A235">
        <v>234</v>
      </c>
      <c r="B235" s="1">
        <v>40554</v>
      </c>
      <c r="C235">
        <v>1</v>
      </c>
      <c r="D235">
        <v>0</v>
      </c>
      <c r="E235">
        <v>1</v>
      </c>
      <c r="F235">
        <v>0</v>
      </c>
      <c r="G235" t="b">
        <v>0</v>
      </c>
      <c r="H235">
        <v>2</v>
      </c>
      <c r="I235">
        <v>1</v>
      </c>
      <c r="J235">
        <v>0.14000000000000001</v>
      </c>
    </row>
    <row r="236" spans="1:10" x14ac:dyDescent="0.3">
      <c r="A236">
        <v>235</v>
      </c>
      <c r="B236" s="1">
        <v>40554</v>
      </c>
      <c r="C236">
        <v>1</v>
      </c>
      <c r="D236">
        <v>0</v>
      </c>
      <c r="E236">
        <v>1</v>
      </c>
      <c r="F236">
        <v>1</v>
      </c>
      <c r="G236" t="b">
        <v>0</v>
      </c>
      <c r="H236">
        <v>2</v>
      </c>
      <c r="I236">
        <v>1</v>
      </c>
      <c r="J236">
        <v>0.14000000000000001</v>
      </c>
    </row>
    <row r="237" spans="1:10" x14ac:dyDescent="0.3">
      <c r="A237">
        <v>236</v>
      </c>
      <c r="B237" s="1">
        <v>40554</v>
      </c>
      <c r="C237">
        <v>1</v>
      </c>
      <c r="D237">
        <v>0</v>
      </c>
      <c r="E237">
        <v>1</v>
      </c>
      <c r="F237">
        <v>2</v>
      </c>
      <c r="G237" t="b">
        <v>0</v>
      </c>
      <c r="H237">
        <v>2</v>
      </c>
      <c r="I237">
        <v>2</v>
      </c>
      <c r="J237">
        <v>0.16</v>
      </c>
    </row>
    <row r="238" spans="1:10" x14ac:dyDescent="0.3">
      <c r="A238">
        <v>237</v>
      </c>
      <c r="B238" s="1">
        <v>40554</v>
      </c>
      <c r="C238">
        <v>1</v>
      </c>
      <c r="D238">
        <v>0</v>
      </c>
      <c r="E238">
        <v>1</v>
      </c>
      <c r="F238">
        <v>5</v>
      </c>
      <c r="G238" t="b">
        <v>0</v>
      </c>
      <c r="H238">
        <v>2</v>
      </c>
      <c r="I238">
        <v>2</v>
      </c>
      <c r="J238">
        <v>0.16</v>
      </c>
    </row>
    <row r="239" spans="1:10" x14ac:dyDescent="0.3">
      <c r="A239">
        <v>238</v>
      </c>
      <c r="B239" s="1">
        <v>40554</v>
      </c>
      <c r="C239">
        <v>1</v>
      </c>
      <c r="D239">
        <v>0</v>
      </c>
      <c r="E239">
        <v>1</v>
      </c>
      <c r="F239">
        <v>6</v>
      </c>
      <c r="G239" t="b">
        <v>0</v>
      </c>
      <c r="H239">
        <v>2</v>
      </c>
      <c r="I239">
        <v>2</v>
      </c>
      <c r="J239">
        <v>0.16</v>
      </c>
    </row>
    <row r="240" spans="1:10" x14ac:dyDescent="0.3">
      <c r="A240">
        <v>239</v>
      </c>
      <c r="B240" s="1">
        <v>40554</v>
      </c>
      <c r="C240">
        <v>1</v>
      </c>
      <c r="D240">
        <v>0</v>
      </c>
      <c r="E240">
        <v>1</v>
      </c>
      <c r="F240">
        <v>7</v>
      </c>
      <c r="G240" t="b">
        <v>0</v>
      </c>
      <c r="H240">
        <v>2</v>
      </c>
      <c r="I240">
        <v>2</v>
      </c>
      <c r="J240">
        <v>0.16</v>
      </c>
    </row>
    <row r="241" spans="1:10" x14ac:dyDescent="0.3">
      <c r="A241">
        <v>240</v>
      </c>
      <c r="B241" s="1">
        <v>40554</v>
      </c>
      <c r="C241">
        <v>1</v>
      </c>
      <c r="D241">
        <v>0</v>
      </c>
      <c r="E241">
        <v>1</v>
      </c>
      <c r="F241">
        <v>8</v>
      </c>
      <c r="G241" t="b">
        <v>0</v>
      </c>
      <c r="H241">
        <v>2</v>
      </c>
      <c r="I241">
        <v>2</v>
      </c>
      <c r="J241">
        <v>0.18</v>
      </c>
    </row>
    <row r="242" spans="1:10" x14ac:dyDescent="0.3">
      <c r="A242">
        <v>241</v>
      </c>
      <c r="B242" s="1">
        <v>40554</v>
      </c>
      <c r="C242">
        <v>1</v>
      </c>
      <c r="D242">
        <v>0</v>
      </c>
      <c r="E242">
        <v>1</v>
      </c>
      <c r="F242">
        <v>9</v>
      </c>
      <c r="G242" t="b">
        <v>0</v>
      </c>
      <c r="H242">
        <v>2</v>
      </c>
      <c r="I242">
        <v>2</v>
      </c>
      <c r="J242">
        <v>0.18</v>
      </c>
    </row>
    <row r="243" spans="1:10" x14ac:dyDescent="0.3">
      <c r="A243">
        <v>242</v>
      </c>
      <c r="B243" s="1">
        <v>40554</v>
      </c>
      <c r="C243">
        <v>1</v>
      </c>
      <c r="D243">
        <v>0</v>
      </c>
      <c r="E243">
        <v>1</v>
      </c>
      <c r="F243">
        <v>10</v>
      </c>
      <c r="G243" t="b">
        <v>0</v>
      </c>
      <c r="H243">
        <v>2</v>
      </c>
      <c r="I243">
        <v>2</v>
      </c>
      <c r="J243">
        <v>0.2</v>
      </c>
    </row>
    <row r="244" spans="1:10" x14ac:dyDescent="0.3">
      <c r="A244">
        <v>243</v>
      </c>
      <c r="B244" s="1">
        <v>40554</v>
      </c>
      <c r="C244">
        <v>1</v>
      </c>
      <c r="D244">
        <v>0</v>
      </c>
      <c r="E244">
        <v>1</v>
      </c>
      <c r="F244">
        <v>11</v>
      </c>
      <c r="G244" t="b">
        <v>0</v>
      </c>
      <c r="H244">
        <v>2</v>
      </c>
      <c r="I244">
        <v>2</v>
      </c>
      <c r="J244">
        <v>0.2</v>
      </c>
    </row>
    <row r="245" spans="1:10" x14ac:dyDescent="0.3">
      <c r="A245">
        <v>244</v>
      </c>
      <c r="B245" s="1">
        <v>40554</v>
      </c>
      <c r="C245">
        <v>1</v>
      </c>
      <c r="D245">
        <v>0</v>
      </c>
      <c r="E245">
        <v>1</v>
      </c>
      <c r="F245">
        <v>12</v>
      </c>
      <c r="G245" t="b">
        <v>0</v>
      </c>
      <c r="H245">
        <v>2</v>
      </c>
      <c r="I245">
        <v>2</v>
      </c>
      <c r="J245">
        <v>0.2</v>
      </c>
    </row>
    <row r="246" spans="1:10" x14ac:dyDescent="0.3">
      <c r="A246">
        <v>245</v>
      </c>
      <c r="B246" s="1">
        <v>40554</v>
      </c>
      <c r="C246">
        <v>1</v>
      </c>
      <c r="D246">
        <v>0</v>
      </c>
      <c r="E246">
        <v>1</v>
      </c>
      <c r="F246">
        <v>13</v>
      </c>
      <c r="G246" t="b">
        <v>0</v>
      </c>
      <c r="H246">
        <v>2</v>
      </c>
      <c r="I246">
        <v>2</v>
      </c>
      <c r="J246">
        <v>0.2</v>
      </c>
    </row>
    <row r="247" spans="1:10" x14ac:dyDescent="0.3">
      <c r="A247">
        <v>246</v>
      </c>
      <c r="B247" s="1">
        <v>40554</v>
      </c>
      <c r="C247">
        <v>1</v>
      </c>
      <c r="D247">
        <v>0</v>
      </c>
      <c r="E247">
        <v>1</v>
      </c>
      <c r="F247">
        <v>14</v>
      </c>
      <c r="G247" t="b">
        <v>0</v>
      </c>
      <c r="H247">
        <v>2</v>
      </c>
      <c r="I247">
        <v>2</v>
      </c>
      <c r="J247">
        <v>0.2</v>
      </c>
    </row>
    <row r="248" spans="1:10" x14ac:dyDescent="0.3">
      <c r="A248">
        <v>247</v>
      </c>
      <c r="B248" s="1">
        <v>40554</v>
      </c>
      <c r="C248">
        <v>1</v>
      </c>
      <c r="D248">
        <v>0</v>
      </c>
      <c r="E248">
        <v>1</v>
      </c>
      <c r="F248">
        <v>15</v>
      </c>
      <c r="G248" t="b">
        <v>0</v>
      </c>
      <c r="H248">
        <v>2</v>
      </c>
      <c r="I248">
        <v>2</v>
      </c>
      <c r="J248">
        <v>0.16</v>
      </c>
    </row>
    <row r="249" spans="1:10" x14ac:dyDescent="0.3">
      <c r="A249">
        <v>248</v>
      </c>
      <c r="B249" s="1">
        <v>40554</v>
      </c>
      <c r="C249">
        <v>1</v>
      </c>
      <c r="D249">
        <v>0</v>
      </c>
      <c r="E249">
        <v>1</v>
      </c>
      <c r="F249">
        <v>16</v>
      </c>
      <c r="G249" t="b">
        <v>0</v>
      </c>
      <c r="H249">
        <v>2</v>
      </c>
      <c r="I249">
        <v>2</v>
      </c>
      <c r="J249">
        <v>0.16</v>
      </c>
    </row>
    <row r="250" spans="1:10" x14ac:dyDescent="0.3">
      <c r="A250">
        <v>249</v>
      </c>
      <c r="B250" s="1">
        <v>40554</v>
      </c>
      <c r="C250">
        <v>1</v>
      </c>
      <c r="D250">
        <v>0</v>
      </c>
      <c r="E250">
        <v>1</v>
      </c>
      <c r="F250">
        <v>17</v>
      </c>
      <c r="G250" t="b">
        <v>0</v>
      </c>
      <c r="H250">
        <v>2</v>
      </c>
      <c r="I250">
        <v>2</v>
      </c>
      <c r="J250">
        <v>0.16</v>
      </c>
    </row>
    <row r="251" spans="1:10" x14ac:dyDescent="0.3">
      <c r="A251">
        <v>250</v>
      </c>
      <c r="B251" s="1">
        <v>40554</v>
      </c>
      <c r="C251">
        <v>1</v>
      </c>
      <c r="D251">
        <v>0</v>
      </c>
      <c r="E251">
        <v>1</v>
      </c>
      <c r="F251">
        <v>18</v>
      </c>
      <c r="G251" t="b">
        <v>0</v>
      </c>
      <c r="H251">
        <v>2</v>
      </c>
      <c r="I251">
        <v>3</v>
      </c>
      <c r="J251">
        <v>0.16</v>
      </c>
    </row>
    <row r="252" spans="1:10" x14ac:dyDescent="0.3">
      <c r="A252">
        <v>251</v>
      </c>
      <c r="B252" s="1">
        <v>40554</v>
      </c>
      <c r="C252">
        <v>1</v>
      </c>
      <c r="D252">
        <v>0</v>
      </c>
      <c r="E252">
        <v>1</v>
      </c>
      <c r="F252">
        <v>19</v>
      </c>
      <c r="G252" t="b">
        <v>0</v>
      </c>
      <c r="H252">
        <v>2</v>
      </c>
      <c r="I252">
        <v>3</v>
      </c>
      <c r="J252">
        <v>0.16</v>
      </c>
    </row>
    <row r="253" spans="1:10" x14ac:dyDescent="0.3">
      <c r="A253">
        <v>252</v>
      </c>
      <c r="B253" s="1">
        <v>40554</v>
      </c>
      <c r="C253">
        <v>1</v>
      </c>
      <c r="D253">
        <v>0</v>
      </c>
      <c r="E253">
        <v>1</v>
      </c>
      <c r="F253">
        <v>20</v>
      </c>
      <c r="G253" t="b">
        <v>0</v>
      </c>
      <c r="H253">
        <v>2</v>
      </c>
      <c r="I253">
        <v>3</v>
      </c>
      <c r="J253">
        <v>0.16</v>
      </c>
    </row>
    <row r="254" spans="1:10" x14ac:dyDescent="0.3">
      <c r="A254">
        <v>253</v>
      </c>
      <c r="B254" s="1">
        <v>40554</v>
      </c>
      <c r="C254">
        <v>1</v>
      </c>
      <c r="D254">
        <v>0</v>
      </c>
      <c r="E254">
        <v>1</v>
      </c>
      <c r="F254">
        <v>21</v>
      </c>
      <c r="G254" t="b">
        <v>0</v>
      </c>
      <c r="H254">
        <v>2</v>
      </c>
      <c r="I254">
        <v>3</v>
      </c>
      <c r="J254">
        <v>0.16</v>
      </c>
    </row>
    <row r="255" spans="1:10" x14ac:dyDescent="0.3">
      <c r="A255">
        <v>254</v>
      </c>
      <c r="B255" s="1">
        <v>40554</v>
      </c>
      <c r="C255">
        <v>1</v>
      </c>
      <c r="D255">
        <v>0</v>
      </c>
      <c r="E255">
        <v>1</v>
      </c>
      <c r="F255">
        <v>22</v>
      </c>
      <c r="G255" t="b">
        <v>0</v>
      </c>
      <c r="H255">
        <v>2</v>
      </c>
      <c r="I255">
        <v>3</v>
      </c>
      <c r="J255">
        <v>0.16</v>
      </c>
    </row>
    <row r="256" spans="1:10" x14ac:dyDescent="0.3">
      <c r="A256">
        <v>255</v>
      </c>
      <c r="B256" s="1">
        <v>40554</v>
      </c>
      <c r="C256">
        <v>1</v>
      </c>
      <c r="D256">
        <v>0</v>
      </c>
      <c r="E256">
        <v>1</v>
      </c>
      <c r="F256">
        <v>23</v>
      </c>
      <c r="G256" t="b">
        <v>0</v>
      </c>
      <c r="H256">
        <v>2</v>
      </c>
      <c r="I256">
        <v>3</v>
      </c>
      <c r="J256">
        <v>0.16</v>
      </c>
    </row>
    <row r="257" spans="1:10" x14ac:dyDescent="0.3">
      <c r="A257">
        <v>256</v>
      </c>
      <c r="B257" s="1">
        <v>40555</v>
      </c>
      <c r="C257">
        <v>1</v>
      </c>
      <c r="D257">
        <v>0</v>
      </c>
      <c r="E257">
        <v>1</v>
      </c>
      <c r="F257">
        <v>0</v>
      </c>
      <c r="G257" t="b">
        <v>0</v>
      </c>
      <c r="H257">
        <v>3</v>
      </c>
      <c r="I257">
        <v>2</v>
      </c>
      <c r="J257">
        <v>0.16</v>
      </c>
    </row>
    <row r="258" spans="1:10" x14ac:dyDescent="0.3">
      <c r="A258">
        <v>257</v>
      </c>
      <c r="B258" s="1">
        <v>40555</v>
      </c>
      <c r="C258">
        <v>1</v>
      </c>
      <c r="D258">
        <v>0</v>
      </c>
      <c r="E258">
        <v>1</v>
      </c>
      <c r="F258">
        <v>1</v>
      </c>
      <c r="G258" t="b">
        <v>0</v>
      </c>
      <c r="H258">
        <v>3</v>
      </c>
      <c r="I258">
        <v>2</v>
      </c>
      <c r="J258">
        <v>0.16</v>
      </c>
    </row>
    <row r="259" spans="1:10" x14ac:dyDescent="0.3">
      <c r="A259">
        <v>258</v>
      </c>
      <c r="B259" s="1">
        <v>40555</v>
      </c>
      <c r="C259">
        <v>1</v>
      </c>
      <c r="D259">
        <v>0</v>
      </c>
      <c r="E259">
        <v>1</v>
      </c>
      <c r="F259">
        <v>2</v>
      </c>
      <c r="G259" t="b">
        <v>0</v>
      </c>
      <c r="H259">
        <v>3</v>
      </c>
      <c r="I259">
        <v>1</v>
      </c>
      <c r="J259">
        <v>0.14000000000000001</v>
      </c>
    </row>
    <row r="260" spans="1:10" x14ac:dyDescent="0.3">
      <c r="A260">
        <v>259</v>
      </c>
      <c r="B260" s="1">
        <v>40555</v>
      </c>
      <c r="C260">
        <v>1</v>
      </c>
      <c r="D260">
        <v>0</v>
      </c>
      <c r="E260">
        <v>1</v>
      </c>
      <c r="F260">
        <v>5</v>
      </c>
      <c r="G260" t="b">
        <v>0</v>
      </c>
      <c r="H260">
        <v>3</v>
      </c>
      <c r="I260">
        <v>1</v>
      </c>
      <c r="J260">
        <v>0.14000000000000001</v>
      </c>
    </row>
    <row r="261" spans="1:10" x14ac:dyDescent="0.3">
      <c r="A261">
        <v>260</v>
      </c>
      <c r="B261" s="1">
        <v>40555</v>
      </c>
      <c r="C261">
        <v>1</v>
      </c>
      <c r="D261">
        <v>0</v>
      </c>
      <c r="E261">
        <v>1</v>
      </c>
      <c r="F261">
        <v>6</v>
      </c>
      <c r="G261" t="b">
        <v>0</v>
      </c>
      <c r="H261">
        <v>3</v>
      </c>
      <c r="I261">
        <v>1</v>
      </c>
      <c r="J261">
        <v>0.12</v>
      </c>
    </row>
    <row r="262" spans="1:10" x14ac:dyDescent="0.3">
      <c r="A262">
        <v>261</v>
      </c>
      <c r="B262" s="1">
        <v>40555</v>
      </c>
      <c r="C262">
        <v>1</v>
      </c>
      <c r="D262">
        <v>0</v>
      </c>
      <c r="E262">
        <v>1</v>
      </c>
      <c r="F262">
        <v>7</v>
      </c>
      <c r="G262" t="b">
        <v>0</v>
      </c>
      <c r="H262">
        <v>3</v>
      </c>
      <c r="I262">
        <v>1</v>
      </c>
      <c r="J262">
        <v>0.14000000000000001</v>
      </c>
    </row>
    <row r="263" spans="1:10" x14ac:dyDescent="0.3">
      <c r="A263">
        <v>262</v>
      </c>
      <c r="B263" s="1">
        <v>40555</v>
      </c>
      <c r="C263">
        <v>1</v>
      </c>
      <c r="D263">
        <v>0</v>
      </c>
      <c r="E263">
        <v>1</v>
      </c>
      <c r="F263">
        <v>8</v>
      </c>
      <c r="G263" t="b">
        <v>0</v>
      </c>
      <c r="H263">
        <v>3</v>
      </c>
      <c r="I263">
        <v>1</v>
      </c>
      <c r="J263">
        <v>0.16</v>
      </c>
    </row>
    <row r="264" spans="1:10" x14ac:dyDescent="0.3">
      <c r="A264">
        <v>263</v>
      </c>
      <c r="B264" s="1">
        <v>40555</v>
      </c>
      <c r="C264">
        <v>1</v>
      </c>
      <c r="D264">
        <v>0</v>
      </c>
      <c r="E264">
        <v>1</v>
      </c>
      <c r="F264">
        <v>9</v>
      </c>
      <c r="G264" t="b">
        <v>0</v>
      </c>
      <c r="H264">
        <v>3</v>
      </c>
      <c r="I264">
        <v>1</v>
      </c>
      <c r="J264">
        <v>0.16</v>
      </c>
    </row>
    <row r="265" spans="1:10" x14ac:dyDescent="0.3">
      <c r="A265">
        <v>264</v>
      </c>
      <c r="B265" s="1">
        <v>40555</v>
      </c>
      <c r="C265">
        <v>1</v>
      </c>
      <c r="D265">
        <v>0</v>
      </c>
      <c r="E265">
        <v>1</v>
      </c>
      <c r="F265">
        <v>10</v>
      </c>
      <c r="G265" t="b">
        <v>0</v>
      </c>
      <c r="H265">
        <v>3</v>
      </c>
      <c r="I265">
        <v>1</v>
      </c>
      <c r="J265">
        <v>0.18</v>
      </c>
    </row>
    <row r="266" spans="1:10" x14ac:dyDescent="0.3">
      <c r="A266">
        <v>265</v>
      </c>
      <c r="B266" s="1">
        <v>40555</v>
      </c>
      <c r="C266">
        <v>1</v>
      </c>
      <c r="D266">
        <v>0</v>
      </c>
      <c r="E266">
        <v>1</v>
      </c>
      <c r="F266">
        <v>11</v>
      </c>
      <c r="G266" t="b">
        <v>0</v>
      </c>
      <c r="H266">
        <v>3</v>
      </c>
      <c r="I266">
        <v>1</v>
      </c>
      <c r="J266">
        <v>0.2</v>
      </c>
    </row>
    <row r="267" spans="1:10" x14ac:dyDescent="0.3">
      <c r="A267">
        <v>266</v>
      </c>
      <c r="B267" s="1">
        <v>40555</v>
      </c>
      <c r="C267">
        <v>1</v>
      </c>
      <c r="D267">
        <v>0</v>
      </c>
      <c r="E267">
        <v>1</v>
      </c>
      <c r="F267">
        <v>12</v>
      </c>
      <c r="G267" t="b">
        <v>0</v>
      </c>
      <c r="H267">
        <v>3</v>
      </c>
      <c r="I267">
        <v>1</v>
      </c>
      <c r="J267">
        <v>0.2</v>
      </c>
    </row>
    <row r="268" spans="1:10" x14ac:dyDescent="0.3">
      <c r="A268">
        <v>267</v>
      </c>
      <c r="B268" s="1">
        <v>40555</v>
      </c>
      <c r="C268">
        <v>1</v>
      </c>
      <c r="D268">
        <v>0</v>
      </c>
      <c r="E268">
        <v>1</v>
      </c>
      <c r="F268">
        <v>13</v>
      </c>
      <c r="G268" t="b">
        <v>0</v>
      </c>
      <c r="H268">
        <v>3</v>
      </c>
      <c r="I268">
        <v>1</v>
      </c>
      <c r="J268">
        <v>0.22</v>
      </c>
    </row>
    <row r="269" spans="1:10" x14ac:dyDescent="0.3">
      <c r="A269">
        <v>268</v>
      </c>
      <c r="B269" s="1">
        <v>40555</v>
      </c>
      <c r="C269">
        <v>1</v>
      </c>
      <c r="D269">
        <v>0</v>
      </c>
      <c r="E269">
        <v>1</v>
      </c>
      <c r="F269">
        <v>14</v>
      </c>
      <c r="G269" t="b">
        <v>0</v>
      </c>
      <c r="H269">
        <v>3</v>
      </c>
      <c r="I269">
        <v>1</v>
      </c>
      <c r="J269">
        <v>0.2</v>
      </c>
    </row>
    <row r="270" spans="1:10" x14ac:dyDescent="0.3">
      <c r="A270">
        <v>269</v>
      </c>
      <c r="B270" s="1">
        <v>40555</v>
      </c>
      <c r="C270">
        <v>1</v>
      </c>
      <c r="D270">
        <v>0</v>
      </c>
      <c r="E270">
        <v>1</v>
      </c>
      <c r="F270">
        <v>15</v>
      </c>
      <c r="G270" t="b">
        <v>0</v>
      </c>
      <c r="H270">
        <v>3</v>
      </c>
      <c r="I270">
        <v>1</v>
      </c>
      <c r="J270">
        <v>0.2</v>
      </c>
    </row>
    <row r="271" spans="1:10" x14ac:dyDescent="0.3">
      <c r="A271">
        <v>270</v>
      </c>
      <c r="B271" s="1">
        <v>40555</v>
      </c>
      <c r="C271">
        <v>1</v>
      </c>
      <c r="D271">
        <v>0</v>
      </c>
      <c r="E271">
        <v>1</v>
      </c>
      <c r="F271">
        <v>16</v>
      </c>
      <c r="G271" t="b">
        <v>0</v>
      </c>
      <c r="H271">
        <v>3</v>
      </c>
      <c r="I271">
        <v>1</v>
      </c>
      <c r="J271">
        <v>0.22</v>
      </c>
    </row>
    <row r="272" spans="1:10" x14ac:dyDescent="0.3">
      <c r="A272">
        <v>271</v>
      </c>
      <c r="B272" s="1">
        <v>40555</v>
      </c>
      <c r="C272">
        <v>1</v>
      </c>
      <c r="D272">
        <v>0</v>
      </c>
      <c r="E272">
        <v>1</v>
      </c>
      <c r="F272">
        <v>17</v>
      </c>
      <c r="G272" t="b">
        <v>0</v>
      </c>
      <c r="H272">
        <v>3</v>
      </c>
      <c r="I272">
        <v>1</v>
      </c>
      <c r="J272">
        <v>0.2</v>
      </c>
    </row>
    <row r="273" spans="1:10" x14ac:dyDescent="0.3">
      <c r="A273">
        <v>272</v>
      </c>
      <c r="B273" s="1">
        <v>40555</v>
      </c>
      <c r="C273">
        <v>1</v>
      </c>
      <c r="D273">
        <v>0</v>
      </c>
      <c r="E273">
        <v>1</v>
      </c>
      <c r="F273">
        <v>18</v>
      </c>
      <c r="G273" t="b">
        <v>0</v>
      </c>
      <c r="H273">
        <v>3</v>
      </c>
      <c r="I273">
        <v>1</v>
      </c>
      <c r="J273">
        <v>0.2</v>
      </c>
    </row>
    <row r="274" spans="1:10" x14ac:dyDescent="0.3">
      <c r="A274">
        <v>273</v>
      </c>
      <c r="B274" s="1">
        <v>40555</v>
      </c>
      <c r="C274">
        <v>1</v>
      </c>
      <c r="D274">
        <v>0</v>
      </c>
      <c r="E274">
        <v>1</v>
      </c>
      <c r="F274">
        <v>19</v>
      </c>
      <c r="G274" t="b">
        <v>0</v>
      </c>
      <c r="H274">
        <v>3</v>
      </c>
      <c r="I274">
        <v>1</v>
      </c>
      <c r="J274">
        <v>0.18</v>
      </c>
    </row>
    <row r="275" spans="1:10" x14ac:dyDescent="0.3">
      <c r="A275">
        <v>274</v>
      </c>
      <c r="B275" s="1">
        <v>40555</v>
      </c>
      <c r="C275">
        <v>1</v>
      </c>
      <c r="D275">
        <v>0</v>
      </c>
      <c r="E275">
        <v>1</v>
      </c>
      <c r="F275">
        <v>20</v>
      </c>
      <c r="G275" t="b">
        <v>0</v>
      </c>
      <c r="H275">
        <v>3</v>
      </c>
      <c r="I275">
        <v>1</v>
      </c>
      <c r="J275">
        <v>0.16</v>
      </c>
    </row>
    <row r="276" spans="1:10" x14ac:dyDescent="0.3">
      <c r="A276">
        <v>275</v>
      </c>
      <c r="B276" s="1">
        <v>40555</v>
      </c>
      <c r="C276">
        <v>1</v>
      </c>
      <c r="D276">
        <v>0</v>
      </c>
      <c r="E276">
        <v>1</v>
      </c>
      <c r="F276">
        <v>21</v>
      </c>
      <c r="G276" t="b">
        <v>0</v>
      </c>
      <c r="H276">
        <v>3</v>
      </c>
      <c r="I276">
        <v>1</v>
      </c>
      <c r="J276">
        <v>0.16</v>
      </c>
    </row>
    <row r="277" spans="1:10" x14ac:dyDescent="0.3">
      <c r="A277">
        <v>276</v>
      </c>
      <c r="B277" s="1">
        <v>40555</v>
      </c>
      <c r="C277">
        <v>1</v>
      </c>
      <c r="D277">
        <v>0</v>
      </c>
      <c r="E277">
        <v>1</v>
      </c>
      <c r="F277">
        <v>22</v>
      </c>
      <c r="G277" t="b">
        <v>0</v>
      </c>
      <c r="H277">
        <v>3</v>
      </c>
      <c r="I277">
        <v>1</v>
      </c>
      <c r="J277">
        <v>0.16</v>
      </c>
    </row>
    <row r="278" spans="1:10" x14ac:dyDescent="0.3">
      <c r="A278">
        <v>277</v>
      </c>
      <c r="B278" s="1">
        <v>40555</v>
      </c>
      <c r="C278">
        <v>1</v>
      </c>
      <c r="D278">
        <v>0</v>
      </c>
      <c r="E278">
        <v>1</v>
      </c>
      <c r="F278">
        <v>23</v>
      </c>
      <c r="G278" t="b">
        <v>0</v>
      </c>
      <c r="H278">
        <v>3</v>
      </c>
      <c r="I278">
        <v>1</v>
      </c>
      <c r="J278">
        <v>0.14000000000000001</v>
      </c>
    </row>
    <row r="279" spans="1:10" x14ac:dyDescent="0.3">
      <c r="A279">
        <v>278</v>
      </c>
      <c r="B279" s="1">
        <v>40556</v>
      </c>
      <c r="C279">
        <v>1</v>
      </c>
      <c r="D279">
        <v>0</v>
      </c>
      <c r="E279">
        <v>1</v>
      </c>
      <c r="F279">
        <v>0</v>
      </c>
      <c r="G279" t="b">
        <v>0</v>
      </c>
      <c r="H279">
        <v>4</v>
      </c>
      <c r="I279">
        <v>1</v>
      </c>
      <c r="J279">
        <v>0.14000000000000001</v>
      </c>
    </row>
    <row r="280" spans="1:10" x14ac:dyDescent="0.3">
      <c r="A280">
        <v>279</v>
      </c>
      <c r="B280" s="1">
        <v>40556</v>
      </c>
      <c r="C280">
        <v>1</v>
      </c>
      <c r="D280">
        <v>0</v>
      </c>
      <c r="E280">
        <v>1</v>
      </c>
      <c r="F280">
        <v>1</v>
      </c>
      <c r="G280" t="b">
        <v>0</v>
      </c>
      <c r="H280">
        <v>4</v>
      </c>
      <c r="I280">
        <v>1</v>
      </c>
      <c r="J280">
        <v>0.14000000000000001</v>
      </c>
    </row>
    <row r="281" spans="1:10" x14ac:dyDescent="0.3">
      <c r="A281">
        <v>280</v>
      </c>
      <c r="B281" s="1">
        <v>40556</v>
      </c>
      <c r="C281">
        <v>1</v>
      </c>
      <c r="D281">
        <v>0</v>
      </c>
      <c r="E281">
        <v>1</v>
      </c>
      <c r="F281">
        <v>2</v>
      </c>
      <c r="G281" t="b">
        <v>0</v>
      </c>
      <c r="H281">
        <v>4</v>
      </c>
      <c r="I281">
        <v>1</v>
      </c>
      <c r="J281">
        <v>0.14000000000000001</v>
      </c>
    </row>
    <row r="282" spans="1:10" x14ac:dyDescent="0.3">
      <c r="A282">
        <v>281</v>
      </c>
      <c r="B282" s="1">
        <v>40556</v>
      </c>
      <c r="C282">
        <v>1</v>
      </c>
      <c r="D282">
        <v>0</v>
      </c>
      <c r="E282">
        <v>1</v>
      </c>
      <c r="F282">
        <v>3</v>
      </c>
      <c r="G282" t="b">
        <v>0</v>
      </c>
      <c r="H282">
        <v>4</v>
      </c>
      <c r="I282">
        <v>1</v>
      </c>
      <c r="J282">
        <v>0.14000000000000001</v>
      </c>
    </row>
    <row r="283" spans="1:10" x14ac:dyDescent="0.3">
      <c r="A283">
        <v>282</v>
      </c>
      <c r="B283" s="1">
        <v>40556</v>
      </c>
      <c r="C283">
        <v>1</v>
      </c>
      <c r="D283">
        <v>0</v>
      </c>
      <c r="E283">
        <v>1</v>
      </c>
      <c r="F283">
        <v>4</v>
      </c>
      <c r="G283" t="b">
        <v>0</v>
      </c>
      <c r="H283">
        <v>4</v>
      </c>
      <c r="I283">
        <v>1</v>
      </c>
      <c r="J283">
        <v>0.14000000000000001</v>
      </c>
    </row>
    <row r="284" spans="1:10" x14ac:dyDescent="0.3">
      <c r="A284">
        <v>283</v>
      </c>
      <c r="B284" s="1">
        <v>40556</v>
      </c>
      <c r="C284">
        <v>1</v>
      </c>
      <c r="D284">
        <v>0</v>
      </c>
      <c r="E284">
        <v>1</v>
      </c>
      <c r="F284">
        <v>5</v>
      </c>
      <c r="G284" t="b">
        <v>0</v>
      </c>
      <c r="H284">
        <v>4</v>
      </c>
      <c r="I284">
        <v>1</v>
      </c>
      <c r="J284">
        <v>0.14000000000000001</v>
      </c>
    </row>
    <row r="285" spans="1:10" x14ac:dyDescent="0.3">
      <c r="A285">
        <v>284</v>
      </c>
      <c r="B285" s="1">
        <v>40556</v>
      </c>
      <c r="C285">
        <v>1</v>
      </c>
      <c r="D285">
        <v>0</v>
      </c>
      <c r="E285">
        <v>1</v>
      </c>
      <c r="F285">
        <v>6</v>
      </c>
      <c r="G285" t="b">
        <v>0</v>
      </c>
      <c r="H285">
        <v>4</v>
      </c>
      <c r="I285">
        <v>1</v>
      </c>
      <c r="J285">
        <v>0.12</v>
      </c>
    </row>
    <row r="286" spans="1:10" x14ac:dyDescent="0.3">
      <c r="A286">
        <v>285</v>
      </c>
      <c r="B286" s="1">
        <v>40556</v>
      </c>
      <c r="C286">
        <v>1</v>
      </c>
      <c r="D286">
        <v>0</v>
      </c>
      <c r="E286">
        <v>1</v>
      </c>
      <c r="F286">
        <v>7</v>
      </c>
      <c r="G286" t="b">
        <v>0</v>
      </c>
      <c r="H286">
        <v>4</v>
      </c>
      <c r="I286">
        <v>1</v>
      </c>
      <c r="J286">
        <v>0.12</v>
      </c>
    </row>
    <row r="287" spans="1:10" x14ac:dyDescent="0.3">
      <c r="A287">
        <v>286</v>
      </c>
      <c r="B287" s="1">
        <v>40556</v>
      </c>
      <c r="C287">
        <v>1</v>
      </c>
      <c r="D287">
        <v>0</v>
      </c>
      <c r="E287">
        <v>1</v>
      </c>
      <c r="F287">
        <v>8</v>
      </c>
      <c r="G287" t="b">
        <v>0</v>
      </c>
      <c r="H287">
        <v>4</v>
      </c>
      <c r="I287">
        <v>1</v>
      </c>
      <c r="J287">
        <v>0.14000000000000001</v>
      </c>
    </row>
    <row r="288" spans="1:10" x14ac:dyDescent="0.3">
      <c r="A288">
        <v>287</v>
      </c>
      <c r="B288" s="1">
        <v>40556</v>
      </c>
      <c r="C288">
        <v>1</v>
      </c>
      <c r="D288">
        <v>0</v>
      </c>
      <c r="E288">
        <v>1</v>
      </c>
      <c r="F288">
        <v>9</v>
      </c>
      <c r="G288" t="b">
        <v>0</v>
      </c>
      <c r="H288">
        <v>4</v>
      </c>
      <c r="I288">
        <v>1</v>
      </c>
      <c r="J288">
        <v>0.14000000000000001</v>
      </c>
    </row>
    <row r="289" spans="1:10" x14ac:dyDescent="0.3">
      <c r="A289">
        <v>288</v>
      </c>
      <c r="B289" s="1">
        <v>40556</v>
      </c>
      <c r="C289">
        <v>1</v>
      </c>
      <c r="D289">
        <v>0</v>
      </c>
      <c r="E289">
        <v>1</v>
      </c>
      <c r="F289">
        <v>10</v>
      </c>
      <c r="G289" t="b">
        <v>0</v>
      </c>
      <c r="H289">
        <v>4</v>
      </c>
      <c r="I289">
        <v>2</v>
      </c>
      <c r="J289">
        <v>0.16</v>
      </c>
    </row>
    <row r="290" spans="1:10" x14ac:dyDescent="0.3">
      <c r="A290">
        <v>289</v>
      </c>
      <c r="B290" s="1">
        <v>40556</v>
      </c>
      <c r="C290">
        <v>1</v>
      </c>
      <c r="D290">
        <v>0</v>
      </c>
      <c r="E290">
        <v>1</v>
      </c>
      <c r="F290">
        <v>11</v>
      </c>
      <c r="G290" t="b">
        <v>0</v>
      </c>
      <c r="H290">
        <v>4</v>
      </c>
      <c r="I290">
        <v>2</v>
      </c>
      <c r="J290">
        <v>0.2</v>
      </c>
    </row>
    <row r="291" spans="1:10" x14ac:dyDescent="0.3">
      <c r="A291">
        <v>290</v>
      </c>
      <c r="B291" s="1">
        <v>40556</v>
      </c>
      <c r="C291">
        <v>1</v>
      </c>
      <c r="D291">
        <v>0</v>
      </c>
      <c r="E291">
        <v>1</v>
      </c>
      <c r="F291">
        <v>12</v>
      </c>
      <c r="G291" t="b">
        <v>0</v>
      </c>
      <c r="H291">
        <v>4</v>
      </c>
      <c r="I291">
        <v>1</v>
      </c>
      <c r="J291">
        <v>0.2</v>
      </c>
    </row>
    <row r="292" spans="1:10" x14ac:dyDescent="0.3">
      <c r="A292">
        <v>291</v>
      </c>
      <c r="B292" s="1">
        <v>40556</v>
      </c>
      <c r="C292">
        <v>1</v>
      </c>
      <c r="D292">
        <v>0</v>
      </c>
      <c r="E292">
        <v>1</v>
      </c>
      <c r="F292">
        <v>13</v>
      </c>
      <c r="G292" t="b">
        <v>0</v>
      </c>
      <c r="H292">
        <v>4</v>
      </c>
      <c r="I292">
        <v>1</v>
      </c>
      <c r="J292">
        <v>0.22</v>
      </c>
    </row>
    <row r="293" spans="1:10" x14ac:dyDescent="0.3">
      <c r="A293">
        <v>292</v>
      </c>
      <c r="B293" s="1">
        <v>40556</v>
      </c>
      <c r="C293">
        <v>1</v>
      </c>
      <c r="D293">
        <v>0</v>
      </c>
      <c r="E293">
        <v>1</v>
      </c>
      <c r="F293">
        <v>14</v>
      </c>
      <c r="G293" t="b">
        <v>0</v>
      </c>
      <c r="H293">
        <v>4</v>
      </c>
      <c r="I293">
        <v>1</v>
      </c>
      <c r="J293">
        <v>0.22</v>
      </c>
    </row>
    <row r="294" spans="1:10" x14ac:dyDescent="0.3">
      <c r="A294">
        <v>293</v>
      </c>
      <c r="B294" s="1">
        <v>40556</v>
      </c>
      <c r="C294">
        <v>1</v>
      </c>
      <c r="D294">
        <v>0</v>
      </c>
      <c r="E294">
        <v>1</v>
      </c>
      <c r="F294">
        <v>15</v>
      </c>
      <c r="G294" t="b">
        <v>0</v>
      </c>
      <c r="H294">
        <v>4</v>
      </c>
      <c r="I294">
        <v>1</v>
      </c>
      <c r="J294">
        <v>0.24</v>
      </c>
    </row>
    <row r="295" spans="1:10" x14ac:dyDescent="0.3">
      <c r="A295">
        <v>294</v>
      </c>
      <c r="B295" s="1">
        <v>40556</v>
      </c>
      <c r="C295">
        <v>1</v>
      </c>
      <c r="D295">
        <v>0</v>
      </c>
      <c r="E295">
        <v>1</v>
      </c>
      <c r="F295">
        <v>16</v>
      </c>
      <c r="G295" t="b">
        <v>0</v>
      </c>
      <c r="H295">
        <v>4</v>
      </c>
      <c r="I295">
        <v>1</v>
      </c>
      <c r="J295">
        <v>0.24</v>
      </c>
    </row>
    <row r="296" spans="1:10" x14ac:dyDescent="0.3">
      <c r="A296">
        <v>295</v>
      </c>
      <c r="B296" s="1">
        <v>40556</v>
      </c>
      <c r="C296">
        <v>1</v>
      </c>
      <c r="D296">
        <v>0</v>
      </c>
      <c r="E296">
        <v>1</v>
      </c>
      <c r="F296">
        <v>17</v>
      </c>
      <c r="G296" t="b">
        <v>0</v>
      </c>
      <c r="H296">
        <v>4</v>
      </c>
      <c r="I296">
        <v>1</v>
      </c>
      <c r="J296">
        <v>0.2</v>
      </c>
    </row>
    <row r="297" spans="1:10" x14ac:dyDescent="0.3">
      <c r="A297">
        <v>296</v>
      </c>
      <c r="B297" s="1">
        <v>40556</v>
      </c>
      <c r="C297">
        <v>1</v>
      </c>
      <c r="D297">
        <v>0</v>
      </c>
      <c r="E297">
        <v>1</v>
      </c>
      <c r="F297">
        <v>18</v>
      </c>
      <c r="G297" t="b">
        <v>0</v>
      </c>
      <c r="H297">
        <v>4</v>
      </c>
      <c r="I297">
        <v>1</v>
      </c>
      <c r="J297">
        <v>0.2</v>
      </c>
    </row>
    <row r="298" spans="1:10" x14ac:dyDescent="0.3">
      <c r="A298">
        <v>297</v>
      </c>
      <c r="B298" s="1">
        <v>40556</v>
      </c>
      <c r="C298">
        <v>1</v>
      </c>
      <c r="D298">
        <v>0</v>
      </c>
      <c r="E298">
        <v>1</v>
      </c>
      <c r="F298">
        <v>19</v>
      </c>
      <c r="G298" t="b">
        <v>0</v>
      </c>
      <c r="H298">
        <v>4</v>
      </c>
      <c r="I298">
        <v>1</v>
      </c>
      <c r="J298">
        <v>0.16</v>
      </c>
    </row>
    <row r="299" spans="1:10" x14ac:dyDescent="0.3">
      <c r="A299">
        <v>298</v>
      </c>
      <c r="B299" s="1">
        <v>40556</v>
      </c>
      <c r="C299">
        <v>1</v>
      </c>
      <c r="D299">
        <v>0</v>
      </c>
      <c r="E299">
        <v>1</v>
      </c>
      <c r="F299">
        <v>20</v>
      </c>
      <c r="G299" t="b">
        <v>0</v>
      </c>
      <c r="H299">
        <v>4</v>
      </c>
      <c r="I299">
        <v>1</v>
      </c>
      <c r="J299">
        <v>0.16</v>
      </c>
    </row>
    <row r="300" spans="1:10" x14ac:dyDescent="0.3">
      <c r="A300">
        <v>299</v>
      </c>
      <c r="B300" s="1">
        <v>40556</v>
      </c>
      <c r="C300">
        <v>1</v>
      </c>
      <c r="D300">
        <v>0</v>
      </c>
      <c r="E300">
        <v>1</v>
      </c>
      <c r="F300">
        <v>21</v>
      </c>
      <c r="G300" t="b">
        <v>0</v>
      </c>
      <c r="H300">
        <v>4</v>
      </c>
      <c r="I300">
        <v>1</v>
      </c>
      <c r="J300">
        <v>0.14000000000000001</v>
      </c>
    </row>
    <row r="301" spans="1:10" x14ac:dyDescent="0.3">
      <c r="A301">
        <v>300</v>
      </c>
      <c r="B301" s="1">
        <v>40556</v>
      </c>
      <c r="C301">
        <v>1</v>
      </c>
      <c r="D301">
        <v>0</v>
      </c>
      <c r="E301">
        <v>1</v>
      </c>
      <c r="F301">
        <v>22</v>
      </c>
      <c r="G301" t="b">
        <v>0</v>
      </c>
      <c r="H301">
        <v>4</v>
      </c>
      <c r="I301">
        <v>1</v>
      </c>
      <c r="J301">
        <v>0.14000000000000001</v>
      </c>
    </row>
    <row r="302" spans="1:10" x14ac:dyDescent="0.3">
      <c r="A302">
        <v>301</v>
      </c>
      <c r="B302" s="1">
        <v>40556</v>
      </c>
      <c r="C302">
        <v>1</v>
      </c>
      <c r="D302">
        <v>0</v>
      </c>
      <c r="E302">
        <v>1</v>
      </c>
      <c r="F302">
        <v>23</v>
      </c>
      <c r="G302" t="b">
        <v>0</v>
      </c>
      <c r="H302">
        <v>4</v>
      </c>
      <c r="I302">
        <v>1</v>
      </c>
      <c r="J302">
        <v>0.12</v>
      </c>
    </row>
    <row r="303" spans="1:10" x14ac:dyDescent="0.3">
      <c r="A303">
        <v>302</v>
      </c>
      <c r="B303" s="1">
        <v>40557</v>
      </c>
      <c r="C303">
        <v>1</v>
      </c>
      <c r="D303">
        <v>0</v>
      </c>
      <c r="E303">
        <v>1</v>
      </c>
      <c r="F303">
        <v>0</v>
      </c>
      <c r="G303" t="b">
        <v>0</v>
      </c>
      <c r="H303">
        <v>5</v>
      </c>
      <c r="I303">
        <v>1</v>
      </c>
      <c r="J303">
        <v>0.12</v>
      </c>
    </row>
    <row r="304" spans="1:10" x14ac:dyDescent="0.3">
      <c r="A304">
        <v>303</v>
      </c>
      <c r="B304" s="1">
        <v>40557</v>
      </c>
      <c r="C304">
        <v>1</v>
      </c>
      <c r="D304">
        <v>0</v>
      </c>
      <c r="E304">
        <v>1</v>
      </c>
      <c r="F304">
        <v>1</v>
      </c>
      <c r="G304" t="b">
        <v>0</v>
      </c>
      <c r="H304">
        <v>5</v>
      </c>
      <c r="I304">
        <v>1</v>
      </c>
      <c r="J304">
        <v>0.1</v>
      </c>
    </row>
    <row r="305" spans="1:10" x14ac:dyDescent="0.3">
      <c r="A305">
        <v>304</v>
      </c>
      <c r="B305" s="1">
        <v>40557</v>
      </c>
      <c r="C305">
        <v>1</v>
      </c>
      <c r="D305">
        <v>0</v>
      </c>
      <c r="E305">
        <v>1</v>
      </c>
      <c r="F305">
        <v>2</v>
      </c>
      <c r="G305" t="b">
        <v>0</v>
      </c>
      <c r="H305">
        <v>5</v>
      </c>
      <c r="I305">
        <v>1</v>
      </c>
      <c r="J305">
        <v>0.1</v>
      </c>
    </row>
    <row r="306" spans="1:10" x14ac:dyDescent="0.3">
      <c r="A306">
        <v>305</v>
      </c>
      <c r="B306" s="1">
        <v>40557</v>
      </c>
      <c r="C306">
        <v>1</v>
      </c>
      <c r="D306">
        <v>0</v>
      </c>
      <c r="E306">
        <v>1</v>
      </c>
      <c r="F306">
        <v>3</v>
      </c>
      <c r="G306" t="b">
        <v>0</v>
      </c>
      <c r="H306">
        <v>5</v>
      </c>
      <c r="I306">
        <v>1</v>
      </c>
      <c r="J306">
        <v>0.1</v>
      </c>
    </row>
    <row r="307" spans="1:10" x14ac:dyDescent="0.3">
      <c r="A307">
        <v>306</v>
      </c>
      <c r="B307" s="1">
        <v>40557</v>
      </c>
      <c r="C307">
        <v>1</v>
      </c>
      <c r="D307">
        <v>0</v>
      </c>
      <c r="E307">
        <v>1</v>
      </c>
      <c r="F307">
        <v>5</v>
      </c>
      <c r="G307" t="b">
        <v>0</v>
      </c>
      <c r="H307">
        <v>5</v>
      </c>
      <c r="I307">
        <v>1</v>
      </c>
      <c r="J307">
        <v>0.1</v>
      </c>
    </row>
    <row r="308" spans="1:10" x14ac:dyDescent="0.3">
      <c r="A308">
        <v>307</v>
      </c>
      <c r="B308" s="1">
        <v>40557</v>
      </c>
      <c r="C308">
        <v>1</v>
      </c>
      <c r="D308">
        <v>0</v>
      </c>
      <c r="E308">
        <v>1</v>
      </c>
      <c r="F308">
        <v>6</v>
      </c>
      <c r="G308" t="b">
        <v>0</v>
      </c>
      <c r="H308">
        <v>5</v>
      </c>
      <c r="I308">
        <v>1</v>
      </c>
      <c r="J308">
        <v>0.1</v>
      </c>
    </row>
    <row r="309" spans="1:10" x14ac:dyDescent="0.3">
      <c r="A309">
        <v>308</v>
      </c>
      <c r="B309" s="1">
        <v>40557</v>
      </c>
      <c r="C309">
        <v>1</v>
      </c>
      <c r="D309">
        <v>0</v>
      </c>
      <c r="E309">
        <v>1</v>
      </c>
      <c r="F309">
        <v>7</v>
      </c>
      <c r="G309" t="b">
        <v>0</v>
      </c>
      <c r="H309">
        <v>5</v>
      </c>
      <c r="I309">
        <v>1</v>
      </c>
      <c r="J309">
        <v>0.1</v>
      </c>
    </row>
    <row r="310" spans="1:10" x14ac:dyDescent="0.3">
      <c r="A310">
        <v>309</v>
      </c>
      <c r="B310" s="1">
        <v>40557</v>
      </c>
      <c r="C310">
        <v>1</v>
      </c>
      <c r="D310">
        <v>0</v>
      </c>
      <c r="E310">
        <v>1</v>
      </c>
      <c r="F310">
        <v>8</v>
      </c>
      <c r="G310" t="b">
        <v>0</v>
      </c>
      <c r="H310">
        <v>5</v>
      </c>
      <c r="I310">
        <v>1</v>
      </c>
      <c r="J310">
        <v>0.12</v>
      </c>
    </row>
    <row r="311" spans="1:10" x14ac:dyDescent="0.3">
      <c r="A311">
        <v>310</v>
      </c>
      <c r="B311" s="1">
        <v>40557</v>
      </c>
      <c r="C311">
        <v>1</v>
      </c>
      <c r="D311">
        <v>0</v>
      </c>
      <c r="E311">
        <v>1</v>
      </c>
      <c r="F311">
        <v>9</v>
      </c>
      <c r="G311" t="b">
        <v>0</v>
      </c>
      <c r="H311">
        <v>5</v>
      </c>
      <c r="I311">
        <v>1</v>
      </c>
      <c r="J311">
        <v>0.14000000000000001</v>
      </c>
    </row>
    <row r="312" spans="1:10" x14ac:dyDescent="0.3">
      <c r="A312">
        <v>311</v>
      </c>
      <c r="B312" s="1">
        <v>40557</v>
      </c>
      <c r="C312">
        <v>1</v>
      </c>
      <c r="D312">
        <v>0</v>
      </c>
      <c r="E312">
        <v>1</v>
      </c>
      <c r="F312">
        <v>10</v>
      </c>
      <c r="G312" t="b">
        <v>0</v>
      </c>
      <c r="H312">
        <v>5</v>
      </c>
      <c r="I312">
        <v>1</v>
      </c>
      <c r="J312">
        <v>0.18</v>
      </c>
    </row>
    <row r="313" spans="1:10" x14ac:dyDescent="0.3">
      <c r="A313">
        <v>312</v>
      </c>
      <c r="B313" s="1">
        <v>40557</v>
      </c>
      <c r="C313">
        <v>1</v>
      </c>
      <c r="D313">
        <v>0</v>
      </c>
      <c r="E313">
        <v>1</v>
      </c>
      <c r="F313">
        <v>11</v>
      </c>
      <c r="G313" t="b">
        <v>0</v>
      </c>
      <c r="H313">
        <v>5</v>
      </c>
      <c r="I313">
        <v>1</v>
      </c>
      <c r="J313">
        <v>0.18</v>
      </c>
    </row>
    <row r="314" spans="1:10" x14ac:dyDescent="0.3">
      <c r="A314">
        <v>313</v>
      </c>
      <c r="B314" s="1">
        <v>40557</v>
      </c>
      <c r="C314">
        <v>1</v>
      </c>
      <c r="D314">
        <v>0</v>
      </c>
      <c r="E314">
        <v>1</v>
      </c>
      <c r="F314">
        <v>12</v>
      </c>
      <c r="G314" t="b">
        <v>0</v>
      </c>
      <c r="H314">
        <v>5</v>
      </c>
      <c r="I314">
        <v>1</v>
      </c>
      <c r="J314">
        <v>0.2</v>
      </c>
    </row>
    <row r="315" spans="1:10" x14ac:dyDescent="0.3">
      <c r="A315">
        <v>314</v>
      </c>
      <c r="B315" s="1">
        <v>40557</v>
      </c>
      <c r="C315">
        <v>1</v>
      </c>
      <c r="D315">
        <v>0</v>
      </c>
      <c r="E315">
        <v>1</v>
      </c>
      <c r="F315">
        <v>13</v>
      </c>
      <c r="G315" t="b">
        <v>0</v>
      </c>
      <c r="H315">
        <v>5</v>
      </c>
      <c r="I315">
        <v>1</v>
      </c>
      <c r="J315">
        <v>0.22</v>
      </c>
    </row>
    <row r="316" spans="1:10" x14ac:dyDescent="0.3">
      <c r="A316">
        <v>315</v>
      </c>
      <c r="B316" s="1">
        <v>40557</v>
      </c>
      <c r="C316">
        <v>1</v>
      </c>
      <c r="D316">
        <v>0</v>
      </c>
      <c r="E316">
        <v>1</v>
      </c>
      <c r="F316">
        <v>14</v>
      </c>
      <c r="G316" t="b">
        <v>0</v>
      </c>
      <c r="H316">
        <v>5</v>
      </c>
      <c r="I316">
        <v>1</v>
      </c>
      <c r="J316">
        <v>0.22</v>
      </c>
    </row>
    <row r="317" spans="1:10" x14ac:dyDescent="0.3">
      <c r="A317">
        <v>316</v>
      </c>
      <c r="B317" s="1">
        <v>40557</v>
      </c>
      <c r="C317">
        <v>1</v>
      </c>
      <c r="D317">
        <v>0</v>
      </c>
      <c r="E317">
        <v>1</v>
      </c>
      <c r="F317">
        <v>15</v>
      </c>
      <c r="G317" t="b">
        <v>0</v>
      </c>
      <c r="H317">
        <v>5</v>
      </c>
      <c r="I317">
        <v>1</v>
      </c>
      <c r="J317">
        <v>0.24</v>
      </c>
    </row>
    <row r="318" spans="1:10" x14ac:dyDescent="0.3">
      <c r="A318">
        <v>317</v>
      </c>
      <c r="B318" s="1">
        <v>40557</v>
      </c>
      <c r="C318">
        <v>1</v>
      </c>
      <c r="D318">
        <v>0</v>
      </c>
      <c r="E318">
        <v>1</v>
      </c>
      <c r="F318">
        <v>16</v>
      </c>
      <c r="G318" t="b">
        <v>0</v>
      </c>
      <c r="H318">
        <v>5</v>
      </c>
      <c r="I318">
        <v>1</v>
      </c>
      <c r="J318">
        <v>0.22</v>
      </c>
    </row>
    <row r="319" spans="1:10" x14ac:dyDescent="0.3">
      <c r="A319">
        <v>318</v>
      </c>
      <c r="B319" s="1">
        <v>40557</v>
      </c>
      <c r="C319">
        <v>1</v>
      </c>
      <c r="D319">
        <v>0</v>
      </c>
      <c r="E319">
        <v>1</v>
      </c>
      <c r="F319">
        <v>17</v>
      </c>
      <c r="G319" t="b">
        <v>0</v>
      </c>
      <c r="H319">
        <v>5</v>
      </c>
      <c r="I319">
        <v>1</v>
      </c>
      <c r="J319">
        <v>0.22</v>
      </c>
    </row>
    <row r="320" spans="1:10" x14ac:dyDescent="0.3">
      <c r="A320">
        <v>319</v>
      </c>
      <c r="B320" s="1">
        <v>40557</v>
      </c>
      <c r="C320">
        <v>1</v>
      </c>
      <c r="D320">
        <v>0</v>
      </c>
      <c r="E320">
        <v>1</v>
      </c>
      <c r="F320">
        <v>18</v>
      </c>
      <c r="G320" t="b">
        <v>0</v>
      </c>
      <c r="H320">
        <v>5</v>
      </c>
      <c r="I320">
        <v>1</v>
      </c>
      <c r="J320">
        <v>0.2</v>
      </c>
    </row>
    <row r="321" spans="1:10" x14ac:dyDescent="0.3">
      <c r="A321">
        <v>320</v>
      </c>
      <c r="B321" s="1">
        <v>40557</v>
      </c>
      <c r="C321">
        <v>1</v>
      </c>
      <c r="D321">
        <v>0</v>
      </c>
      <c r="E321">
        <v>1</v>
      </c>
      <c r="F321">
        <v>19</v>
      </c>
      <c r="G321" t="b">
        <v>0</v>
      </c>
      <c r="H321">
        <v>5</v>
      </c>
      <c r="I321">
        <v>1</v>
      </c>
      <c r="J321">
        <v>0.16</v>
      </c>
    </row>
    <row r="322" spans="1:10" x14ac:dyDescent="0.3">
      <c r="A322">
        <v>321</v>
      </c>
      <c r="B322" s="1">
        <v>40557</v>
      </c>
      <c r="C322">
        <v>1</v>
      </c>
      <c r="D322">
        <v>0</v>
      </c>
      <c r="E322">
        <v>1</v>
      </c>
      <c r="F322">
        <v>20</v>
      </c>
      <c r="G322" t="b">
        <v>0</v>
      </c>
      <c r="H322">
        <v>5</v>
      </c>
      <c r="I322">
        <v>1</v>
      </c>
      <c r="J322">
        <v>0.18</v>
      </c>
    </row>
    <row r="323" spans="1:10" x14ac:dyDescent="0.3">
      <c r="A323">
        <v>322</v>
      </c>
      <c r="B323" s="1">
        <v>40557</v>
      </c>
      <c r="C323">
        <v>1</v>
      </c>
      <c r="D323">
        <v>0</v>
      </c>
      <c r="E323">
        <v>1</v>
      </c>
      <c r="F323">
        <v>21</v>
      </c>
      <c r="G323" t="b">
        <v>0</v>
      </c>
      <c r="H323">
        <v>5</v>
      </c>
      <c r="I323">
        <v>1</v>
      </c>
      <c r="J323">
        <v>0.16</v>
      </c>
    </row>
    <row r="324" spans="1:10" x14ac:dyDescent="0.3">
      <c r="A324">
        <v>323</v>
      </c>
      <c r="B324" s="1">
        <v>40557</v>
      </c>
      <c r="C324">
        <v>1</v>
      </c>
      <c r="D324">
        <v>0</v>
      </c>
      <c r="E324">
        <v>1</v>
      </c>
      <c r="F324">
        <v>22</v>
      </c>
      <c r="G324" t="b">
        <v>0</v>
      </c>
      <c r="H324">
        <v>5</v>
      </c>
      <c r="I324">
        <v>2</v>
      </c>
      <c r="J324">
        <v>0.16</v>
      </c>
    </row>
    <row r="325" spans="1:10" x14ac:dyDescent="0.3">
      <c r="A325">
        <v>324</v>
      </c>
      <c r="B325" s="1">
        <v>40557</v>
      </c>
      <c r="C325">
        <v>1</v>
      </c>
      <c r="D325">
        <v>0</v>
      </c>
      <c r="E325">
        <v>1</v>
      </c>
      <c r="F325">
        <v>23</v>
      </c>
      <c r="G325" t="b">
        <v>0</v>
      </c>
      <c r="H325">
        <v>5</v>
      </c>
      <c r="I325">
        <v>2</v>
      </c>
      <c r="J325">
        <v>0.18</v>
      </c>
    </row>
    <row r="326" spans="1:10" x14ac:dyDescent="0.3">
      <c r="A326">
        <v>325</v>
      </c>
      <c r="B326" s="1">
        <v>40558</v>
      </c>
      <c r="C326">
        <v>1</v>
      </c>
      <c r="D326">
        <v>0</v>
      </c>
      <c r="E326">
        <v>1</v>
      </c>
      <c r="F326">
        <v>0</v>
      </c>
      <c r="G326" t="b">
        <v>0</v>
      </c>
      <c r="H326">
        <v>6</v>
      </c>
      <c r="I326">
        <v>1</v>
      </c>
      <c r="J326">
        <v>0.18</v>
      </c>
    </row>
    <row r="327" spans="1:10" x14ac:dyDescent="0.3">
      <c r="A327">
        <v>326</v>
      </c>
      <c r="B327" s="1">
        <v>40558</v>
      </c>
      <c r="C327">
        <v>1</v>
      </c>
      <c r="D327">
        <v>0</v>
      </c>
      <c r="E327">
        <v>1</v>
      </c>
      <c r="F327">
        <v>1</v>
      </c>
      <c r="G327" t="b">
        <v>0</v>
      </c>
      <c r="H327">
        <v>6</v>
      </c>
      <c r="I327">
        <v>2</v>
      </c>
      <c r="J327">
        <v>0.16</v>
      </c>
    </row>
    <row r="328" spans="1:10" x14ac:dyDescent="0.3">
      <c r="A328">
        <v>327</v>
      </c>
      <c r="B328" s="1">
        <v>40558</v>
      </c>
      <c r="C328">
        <v>1</v>
      </c>
      <c r="D328">
        <v>0</v>
      </c>
      <c r="E328">
        <v>1</v>
      </c>
      <c r="F328">
        <v>2</v>
      </c>
      <c r="G328" t="b">
        <v>0</v>
      </c>
      <c r="H328">
        <v>6</v>
      </c>
      <c r="I328">
        <v>2</v>
      </c>
      <c r="J328">
        <v>0.16</v>
      </c>
    </row>
    <row r="329" spans="1:10" x14ac:dyDescent="0.3">
      <c r="A329">
        <v>328</v>
      </c>
      <c r="B329" s="1">
        <v>40558</v>
      </c>
      <c r="C329">
        <v>1</v>
      </c>
      <c r="D329">
        <v>0</v>
      </c>
      <c r="E329">
        <v>1</v>
      </c>
      <c r="F329">
        <v>3</v>
      </c>
      <c r="G329" t="b">
        <v>0</v>
      </c>
      <c r="H329">
        <v>6</v>
      </c>
      <c r="I329">
        <v>2</v>
      </c>
      <c r="J329">
        <v>0.16</v>
      </c>
    </row>
    <row r="330" spans="1:10" x14ac:dyDescent="0.3">
      <c r="A330">
        <v>329</v>
      </c>
      <c r="B330" s="1">
        <v>40558</v>
      </c>
      <c r="C330">
        <v>1</v>
      </c>
      <c r="D330">
        <v>0</v>
      </c>
      <c r="E330">
        <v>1</v>
      </c>
      <c r="F330">
        <v>4</v>
      </c>
      <c r="G330" t="b">
        <v>0</v>
      </c>
      <c r="H330">
        <v>6</v>
      </c>
      <c r="I330">
        <v>2</v>
      </c>
      <c r="J330">
        <v>0.16</v>
      </c>
    </row>
    <row r="331" spans="1:10" x14ac:dyDescent="0.3">
      <c r="A331">
        <v>330</v>
      </c>
      <c r="B331" s="1">
        <v>40558</v>
      </c>
      <c r="C331">
        <v>1</v>
      </c>
      <c r="D331">
        <v>0</v>
      </c>
      <c r="E331">
        <v>1</v>
      </c>
      <c r="F331">
        <v>5</v>
      </c>
      <c r="G331" t="b">
        <v>0</v>
      </c>
      <c r="H331">
        <v>6</v>
      </c>
      <c r="I331">
        <v>1</v>
      </c>
      <c r="J331">
        <v>0.16</v>
      </c>
    </row>
    <row r="332" spans="1:10" x14ac:dyDescent="0.3">
      <c r="A332">
        <v>331</v>
      </c>
      <c r="B332" s="1">
        <v>40558</v>
      </c>
      <c r="C332">
        <v>1</v>
      </c>
      <c r="D332">
        <v>0</v>
      </c>
      <c r="E332">
        <v>1</v>
      </c>
      <c r="F332">
        <v>6</v>
      </c>
      <c r="G332" t="b">
        <v>0</v>
      </c>
      <c r="H332">
        <v>6</v>
      </c>
      <c r="I332">
        <v>1</v>
      </c>
      <c r="J332">
        <v>0.14000000000000001</v>
      </c>
    </row>
    <row r="333" spans="1:10" x14ac:dyDescent="0.3">
      <c r="A333">
        <v>332</v>
      </c>
      <c r="B333" s="1">
        <v>40558</v>
      </c>
      <c r="C333">
        <v>1</v>
      </c>
      <c r="D333">
        <v>0</v>
      </c>
      <c r="E333">
        <v>1</v>
      </c>
      <c r="F333">
        <v>7</v>
      </c>
      <c r="G333" t="b">
        <v>0</v>
      </c>
      <c r="H333">
        <v>6</v>
      </c>
      <c r="I333">
        <v>1</v>
      </c>
      <c r="J333">
        <v>0.14000000000000001</v>
      </c>
    </row>
    <row r="334" spans="1:10" x14ac:dyDescent="0.3">
      <c r="A334">
        <v>333</v>
      </c>
      <c r="B334" s="1">
        <v>40558</v>
      </c>
      <c r="C334">
        <v>1</v>
      </c>
      <c r="D334">
        <v>0</v>
      </c>
      <c r="E334">
        <v>1</v>
      </c>
      <c r="F334">
        <v>8</v>
      </c>
      <c r="G334" t="b">
        <v>0</v>
      </c>
      <c r="H334">
        <v>6</v>
      </c>
      <c r="I334">
        <v>1</v>
      </c>
      <c r="J334">
        <v>0.14000000000000001</v>
      </c>
    </row>
    <row r="335" spans="1:10" x14ac:dyDescent="0.3">
      <c r="A335">
        <v>334</v>
      </c>
      <c r="B335" s="1">
        <v>40558</v>
      </c>
      <c r="C335">
        <v>1</v>
      </c>
      <c r="D335">
        <v>0</v>
      </c>
      <c r="E335">
        <v>1</v>
      </c>
      <c r="F335">
        <v>9</v>
      </c>
      <c r="G335" t="b">
        <v>0</v>
      </c>
      <c r="H335">
        <v>6</v>
      </c>
      <c r="I335">
        <v>1</v>
      </c>
      <c r="J335">
        <v>0.16</v>
      </c>
    </row>
    <row r="336" spans="1:10" x14ac:dyDescent="0.3">
      <c r="A336">
        <v>335</v>
      </c>
      <c r="B336" s="1">
        <v>40558</v>
      </c>
      <c r="C336">
        <v>1</v>
      </c>
      <c r="D336">
        <v>0</v>
      </c>
      <c r="E336">
        <v>1</v>
      </c>
      <c r="F336">
        <v>10</v>
      </c>
      <c r="G336" t="b">
        <v>0</v>
      </c>
      <c r="H336">
        <v>6</v>
      </c>
      <c r="I336">
        <v>1</v>
      </c>
      <c r="J336">
        <v>0.18</v>
      </c>
    </row>
    <row r="337" spans="1:10" x14ac:dyDescent="0.3">
      <c r="A337">
        <v>336</v>
      </c>
      <c r="B337" s="1">
        <v>40558</v>
      </c>
      <c r="C337">
        <v>1</v>
      </c>
      <c r="D337">
        <v>0</v>
      </c>
      <c r="E337">
        <v>1</v>
      </c>
      <c r="F337">
        <v>11</v>
      </c>
      <c r="G337" t="b">
        <v>0</v>
      </c>
      <c r="H337">
        <v>6</v>
      </c>
      <c r="I337">
        <v>1</v>
      </c>
      <c r="J337">
        <v>0.2</v>
      </c>
    </row>
    <row r="338" spans="1:10" x14ac:dyDescent="0.3">
      <c r="A338">
        <v>337</v>
      </c>
      <c r="B338" s="1">
        <v>40558</v>
      </c>
      <c r="C338">
        <v>1</v>
      </c>
      <c r="D338">
        <v>0</v>
      </c>
      <c r="E338">
        <v>1</v>
      </c>
      <c r="F338">
        <v>12</v>
      </c>
      <c r="G338" t="b">
        <v>0</v>
      </c>
      <c r="H338">
        <v>6</v>
      </c>
      <c r="I338">
        <v>1</v>
      </c>
      <c r="J338">
        <v>0.24</v>
      </c>
    </row>
    <row r="339" spans="1:10" x14ac:dyDescent="0.3">
      <c r="A339">
        <v>338</v>
      </c>
      <c r="B339" s="1">
        <v>40558</v>
      </c>
      <c r="C339">
        <v>1</v>
      </c>
      <c r="D339">
        <v>0</v>
      </c>
      <c r="E339">
        <v>1</v>
      </c>
      <c r="F339">
        <v>13</v>
      </c>
      <c r="G339" t="b">
        <v>0</v>
      </c>
      <c r="H339">
        <v>6</v>
      </c>
      <c r="I339">
        <v>1</v>
      </c>
      <c r="J339">
        <v>0.28000000000000003</v>
      </c>
    </row>
    <row r="340" spans="1:10" x14ac:dyDescent="0.3">
      <c r="A340">
        <v>339</v>
      </c>
      <c r="B340" s="1">
        <v>40558</v>
      </c>
      <c r="C340">
        <v>1</v>
      </c>
      <c r="D340">
        <v>0</v>
      </c>
      <c r="E340">
        <v>1</v>
      </c>
      <c r="F340">
        <v>14</v>
      </c>
      <c r="G340" t="b">
        <v>0</v>
      </c>
      <c r="H340">
        <v>6</v>
      </c>
      <c r="I340">
        <v>1</v>
      </c>
      <c r="J340">
        <v>0.3</v>
      </c>
    </row>
    <row r="341" spans="1:10" x14ac:dyDescent="0.3">
      <c r="A341">
        <v>340</v>
      </c>
      <c r="B341" s="1">
        <v>40558</v>
      </c>
      <c r="C341">
        <v>1</v>
      </c>
      <c r="D341">
        <v>0</v>
      </c>
      <c r="E341">
        <v>1</v>
      </c>
      <c r="F341">
        <v>15</v>
      </c>
      <c r="G341" t="b">
        <v>0</v>
      </c>
      <c r="H341">
        <v>6</v>
      </c>
      <c r="I341">
        <v>2</v>
      </c>
      <c r="J341">
        <v>0.32</v>
      </c>
    </row>
    <row r="342" spans="1:10" x14ac:dyDescent="0.3">
      <c r="A342">
        <v>341</v>
      </c>
      <c r="B342" s="1">
        <v>40558</v>
      </c>
      <c r="C342">
        <v>1</v>
      </c>
      <c r="D342">
        <v>0</v>
      </c>
      <c r="E342">
        <v>1</v>
      </c>
      <c r="F342">
        <v>16</v>
      </c>
      <c r="G342" t="b">
        <v>0</v>
      </c>
      <c r="H342">
        <v>6</v>
      </c>
      <c r="I342">
        <v>2</v>
      </c>
      <c r="J342">
        <v>0.34</v>
      </c>
    </row>
    <row r="343" spans="1:10" x14ac:dyDescent="0.3">
      <c r="A343">
        <v>342</v>
      </c>
      <c r="B343" s="1">
        <v>40558</v>
      </c>
      <c r="C343">
        <v>1</v>
      </c>
      <c r="D343">
        <v>0</v>
      </c>
      <c r="E343">
        <v>1</v>
      </c>
      <c r="F343">
        <v>17</v>
      </c>
      <c r="G343" t="b">
        <v>0</v>
      </c>
      <c r="H343">
        <v>6</v>
      </c>
      <c r="I343">
        <v>2</v>
      </c>
      <c r="J343">
        <v>0.32</v>
      </c>
    </row>
    <row r="344" spans="1:10" x14ac:dyDescent="0.3">
      <c r="A344">
        <v>343</v>
      </c>
      <c r="B344" s="1">
        <v>40558</v>
      </c>
      <c r="C344">
        <v>1</v>
      </c>
      <c r="D344">
        <v>0</v>
      </c>
      <c r="E344">
        <v>1</v>
      </c>
      <c r="F344">
        <v>18</v>
      </c>
      <c r="G344" t="b">
        <v>0</v>
      </c>
      <c r="H344">
        <v>6</v>
      </c>
      <c r="I344">
        <v>2</v>
      </c>
      <c r="J344">
        <v>0.3</v>
      </c>
    </row>
    <row r="345" spans="1:10" x14ac:dyDescent="0.3">
      <c r="A345">
        <v>344</v>
      </c>
      <c r="B345" s="1">
        <v>40558</v>
      </c>
      <c r="C345">
        <v>1</v>
      </c>
      <c r="D345">
        <v>0</v>
      </c>
      <c r="E345">
        <v>1</v>
      </c>
      <c r="F345">
        <v>19</v>
      </c>
      <c r="G345" t="b">
        <v>0</v>
      </c>
      <c r="H345">
        <v>6</v>
      </c>
      <c r="I345">
        <v>2</v>
      </c>
      <c r="J345">
        <v>0.32</v>
      </c>
    </row>
    <row r="346" spans="1:10" x14ac:dyDescent="0.3">
      <c r="A346">
        <v>345</v>
      </c>
      <c r="B346" s="1">
        <v>40558</v>
      </c>
      <c r="C346">
        <v>1</v>
      </c>
      <c r="D346">
        <v>0</v>
      </c>
      <c r="E346">
        <v>1</v>
      </c>
      <c r="F346">
        <v>20</v>
      </c>
      <c r="G346" t="b">
        <v>0</v>
      </c>
      <c r="H346">
        <v>6</v>
      </c>
      <c r="I346">
        <v>2</v>
      </c>
      <c r="J346">
        <v>0.32</v>
      </c>
    </row>
    <row r="347" spans="1:10" x14ac:dyDescent="0.3">
      <c r="A347">
        <v>346</v>
      </c>
      <c r="B347" s="1">
        <v>40558</v>
      </c>
      <c r="C347">
        <v>1</v>
      </c>
      <c r="D347">
        <v>0</v>
      </c>
      <c r="E347">
        <v>1</v>
      </c>
      <c r="F347">
        <v>21</v>
      </c>
      <c r="G347" t="b">
        <v>0</v>
      </c>
      <c r="H347">
        <v>6</v>
      </c>
      <c r="I347">
        <v>2</v>
      </c>
      <c r="J347">
        <v>0.32</v>
      </c>
    </row>
    <row r="348" spans="1:10" x14ac:dyDescent="0.3">
      <c r="A348">
        <v>347</v>
      </c>
      <c r="B348" s="1">
        <v>40558</v>
      </c>
      <c r="C348">
        <v>1</v>
      </c>
      <c r="D348">
        <v>0</v>
      </c>
      <c r="E348">
        <v>1</v>
      </c>
      <c r="F348">
        <v>22</v>
      </c>
      <c r="G348" t="b">
        <v>0</v>
      </c>
      <c r="H348">
        <v>6</v>
      </c>
      <c r="I348">
        <v>2</v>
      </c>
      <c r="J348">
        <v>0.3</v>
      </c>
    </row>
    <row r="349" spans="1:10" x14ac:dyDescent="0.3">
      <c r="A349">
        <v>348</v>
      </c>
      <c r="B349" s="1">
        <v>40558</v>
      </c>
      <c r="C349">
        <v>1</v>
      </c>
      <c r="D349">
        <v>0</v>
      </c>
      <c r="E349">
        <v>1</v>
      </c>
      <c r="F349">
        <v>23</v>
      </c>
      <c r="G349" t="b">
        <v>0</v>
      </c>
      <c r="H349">
        <v>6</v>
      </c>
      <c r="I349">
        <v>1</v>
      </c>
      <c r="J349">
        <v>0.3</v>
      </c>
    </row>
    <row r="350" spans="1:10" x14ac:dyDescent="0.3">
      <c r="A350">
        <v>349</v>
      </c>
      <c r="B350" s="1">
        <v>40559</v>
      </c>
      <c r="C350">
        <v>1</v>
      </c>
      <c r="D350">
        <v>0</v>
      </c>
      <c r="E350">
        <v>1</v>
      </c>
      <c r="F350">
        <v>0</v>
      </c>
      <c r="G350" t="b">
        <v>0</v>
      </c>
      <c r="H350">
        <v>0</v>
      </c>
      <c r="I350">
        <v>1</v>
      </c>
      <c r="J350">
        <v>0.26</v>
      </c>
    </row>
    <row r="351" spans="1:10" x14ac:dyDescent="0.3">
      <c r="A351">
        <v>350</v>
      </c>
      <c r="B351" s="1">
        <v>40559</v>
      </c>
      <c r="C351">
        <v>1</v>
      </c>
      <c r="D351">
        <v>0</v>
      </c>
      <c r="E351">
        <v>1</v>
      </c>
      <c r="F351">
        <v>1</v>
      </c>
      <c r="G351" t="b">
        <v>0</v>
      </c>
      <c r="H351">
        <v>0</v>
      </c>
      <c r="I351">
        <v>1</v>
      </c>
      <c r="J351">
        <v>0.26</v>
      </c>
    </row>
    <row r="352" spans="1:10" x14ac:dyDescent="0.3">
      <c r="A352">
        <v>351</v>
      </c>
      <c r="B352" s="1">
        <v>40559</v>
      </c>
      <c r="C352">
        <v>1</v>
      </c>
      <c r="D352">
        <v>0</v>
      </c>
      <c r="E352">
        <v>1</v>
      </c>
      <c r="F352">
        <v>2</v>
      </c>
      <c r="G352" t="b">
        <v>0</v>
      </c>
      <c r="H352">
        <v>0</v>
      </c>
      <c r="I352">
        <v>1</v>
      </c>
      <c r="J352">
        <v>0.26</v>
      </c>
    </row>
    <row r="353" spans="1:10" x14ac:dyDescent="0.3">
      <c r="A353">
        <v>352</v>
      </c>
      <c r="B353" s="1">
        <v>40559</v>
      </c>
      <c r="C353">
        <v>1</v>
      </c>
      <c r="D353">
        <v>0</v>
      </c>
      <c r="E353">
        <v>1</v>
      </c>
      <c r="F353">
        <v>3</v>
      </c>
      <c r="G353" t="b">
        <v>0</v>
      </c>
      <c r="H353">
        <v>0</v>
      </c>
      <c r="I353">
        <v>1</v>
      </c>
      <c r="J353">
        <v>0.22</v>
      </c>
    </row>
    <row r="354" spans="1:10" x14ac:dyDescent="0.3">
      <c r="A354">
        <v>353</v>
      </c>
      <c r="B354" s="1">
        <v>40559</v>
      </c>
      <c r="C354">
        <v>1</v>
      </c>
      <c r="D354">
        <v>0</v>
      </c>
      <c r="E354">
        <v>1</v>
      </c>
      <c r="F354">
        <v>4</v>
      </c>
      <c r="G354" t="b">
        <v>0</v>
      </c>
      <c r="H354">
        <v>0</v>
      </c>
      <c r="I354">
        <v>1</v>
      </c>
      <c r="J354">
        <v>0.26</v>
      </c>
    </row>
    <row r="355" spans="1:10" x14ac:dyDescent="0.3">
      <c r="A355">
        <v>354</v>
      </c>
      <c r="B355" s="1">
        <v>40559</v>
      </c>
      <c r="C355">
        <v>1</v>
      </c>
      <c r="D355">
        <v>0</v>
      </c>
      <c r="E355">
        <v>1</v>
      </c>
      <c r="F355">
        <v>5</v>
      </c>
      <c r="G355" t="b">
        <v>0</v>
      </c>
      <c r="H355">
        <v>0</v>
      </c>
      <c r="I355">
        <v>2</v>
      </c>
      <c r="J355">
        <v>0.26</v>
      </c>
    </row>
    <row r="356" spans="1:10" x14ac:dyDescent="0.3">
      <c r="A356">
        <v>355</v>
      </c>
      <c r="B356" s="1">
        <v>40559</v>
      </c>
      <c r="C356">
        <v>1</v>
      </c>
      <c r="D356">
        <v>0</v>
      </c>
      <c r="E356">
        <v>1</v>
      </c>
      <c r="F356">
        <v>6</v>
      </c>
      <c r="G356" t="b">
        <v>0</v>
      </c>
      <c r="H356">
        <v>0</v>
      </c>
      <c r="I356">
        <v>2</v>
      </c>
      <c r="J356">
        <v>0.26</v>
      </c>
    </row>
    <row r="357" spans="1:10" x14ac:dyDescent="0.3">
      <c r="A357">
        <v>356</v>
      </c>
      <c r="B357" s="1">
        <v>40559</v>
      </c>
      <c r="C357">
        <v>1</v>
      </c>
      <c r="D357">
        <v>0</v>
      </c>
      <c r="E357">
        <v>1</v>
      </c>
      <c r="F357">
        <v>7</v>
      </c>
      <c r="G357" t="b">
        <v>0</v>
      </c>
      <c r="H357">
        <v>0</v>
      </c>
      <c r="I357">
        <v>2</v>
      </c>
      <c r="J357">
        <v>0.24</v>
      </c>
    </row>
    <row r="358" spans="1:10" x14ac:dyDescent="0.3">
      <c r="A358">
        <v>357</v>
      </c>
      <c r="B358" s="1">
        <v>40559</v>
      </c>
      <c r="C358">
        <v>1</v>
      </c>
      <c r="D358">
        <v>0</v>
      </c>
      <c r="E358">
        <v>1</v>
      </c>
      <c r="F358">
        <v>8</v>
      </c>
      <c r="G358" t="b">
        <v>0</v>
      </c>
      <c r="H358">
        <v>0</v>
      </c>
      <c r="I358">
        <v>1</v>
      </c>
      <c r="J358">
        <v>0.22</v>
      </c>
    </row>
    <row r="359" spans="1:10" x14ac:dyDescent="0.3">
      <c r="A359">
        <v>358</v>
      </c>
      <c r="B359" s="1">
        <v>40559</v>
      </c>
      <c r="C359">
        <v>1</v>
      </c>
      <c r="D359">
        <v>0</v>
      </c>
      <c r="E359">
        <v>1</v>
      </c>
      <c r="F359">
        <v>9</v>
      </c>
      <c r="G359" t="b">
        <v>0</v>
      </c>
      <c r="H359">
        <v>0</v>
      </c>
      <c r="I359">
        <v>1</v>
      </c>
      <c r="J359">
        <v>0.22</v>
      </c>
    </row>
    <row r="360" spans="1:10" x14ac:dyDescent="0.3">
      <c r="A360">
        <v>359</v>
      </c>
      <c r="B360" s="1">
        <v>40559</v>
      </c>
      <c r="C360">
        <v>1</v>
      </c>
      <c r="D360">
        <v>0</v>
      </c>
      <c r="E360">
        <v>1</v>
      </c>
      <c r="F360">
        <v>10</v>
      </c>
      <c r="G360" t="b">
        <v>0</v>
      </c>
      <c r="H360">
        <v>0</v>
      </c>
      <c r="I360">
        <v>1</v>
      </c>
      <c r="J360">
        <v>0.22</v>
      </c>
    </row>
    <row r="361" spans="1:10" x14ac:dyDescent="0.3">
      <c r="A361">
        <v>360</v>
      </c>
      <c r="B361" s="1">
        <v>40559</v>
      </c>
      <c r="C361">
        <v>1</v>
      </c>
      <c r="D361">
        <v>0</v>
      </c>
      <c r="E361">
        <v>1</v>
      </c>
      <c r="F361">
        <v>11</v>
      </c>
      <c r="G361" t="b">
        <v>0</v>
      </c>
      <c r="H361">
        <v>0</v>
      </c>
      <c r="I361">
        <v>1</v>
      </c>
      <c r="J361">
        <v>0.24</v>
      </c>
    </row>
    <row r="362" spans="1:10" x14ac:dyDescent="0.3">
      <c r="A362">
        <v>361</v>
      </c>
      <c r="B362" s="1">
        <v>40559</v>
      </c>
      <c r="C362">
        <v>1</v>
      </c>
      <c r="D362">
        <v>0</v>
      </c>
      <c r="E362">
        <v>1</v>
      </c>
      <c r="F362">
        <v>12</v>
      </c>
      <c r="G362" t="b">
        <v>0</v>
      </c>
      <c r="H362">
        <v>0</v>
      </c>
      <c r="I362">
        <v>1</v>
      </c>
      <c r="J362">
        <v>0.24</v>
      </c>
    </row>
    <row r="363" spans="1:10" x14ac:dyDescent="0.3">
      <c r="A363">
        <v>362</v>
      </c>
      <c r="B363" s="1">
        <v>40559</v>
      </c>
      <c r="C363">
        <v>1</v>
      </c>
      <c r="D363">
        <v>0</v>
      </c>
      <c r="E363">
        <v>1</v>
      </c>
      <c r="F363">
        <v>13</v>
      </c>
      <c r="G363" t="b">
        <v>0</v>
      </c>
      <c r="H363">
        <v>0</v>
      </c>
      <c r="I363">
        <v>1</v>
      </c>
      <c r="J363">
        <v>0.26</v>
      </c>
    </row>
    <row r="364" spans="1:10" x14ac:dyDescent="0.3">
      <c r="A364">
        <v>363</v>
      </c>
      <c r="B364" s="1">
        <v>40559</v>
      </c>
      <c r="C364">
        <v>1</v>
      </c>
      <c r="D364">
        <v>0</v>
      </c>
      <c r="E364">
        <v>1</v>
      </c>
      <c r="F364">
        <v>14</v>
      </c>
      <c r="G364" t="b">
        <v>0</v>
      </c>
      <c r="H364">
        <v>0</v>
      </c>
      <c r="I364">
        <v>1</v>
      </c>
      <c r="J364">
        <v>0.28000000000000003</v>
      </c>
    </row>
    <row r="365" spans="1:10" x14ac:dyDescent="0.3">
      <c r="A365">
        <v>364</v>
      </c>
      <c r="B365" s="1">
        <v>40559</v>
      </c>
      <c r="C365">
        <v>1</v>
      </c>
      <c r="D365">
        <v>0</v>
      </c>
      <c r="E365">
        <v>1</v>
      </c>
      <c r="F365">
        <v>15</v>
      </c>
      <c r="G365" t="b">
        <v>0</v>
      </c>
      <c r="H365">
        <v>0</v>
      </c>
      <c r="I365">
        <v>1</v>
      </c>
      <c r="J365">
        <v>0.26</v>
      </c>
    </row>
    <row r="366" spans="1:10" x14ac:dyDescent="0.3">
      <c r="A366">
        <v>365</v>
      </c>
      <c r="B366" s="1">
        <v>40559</v>
      </c>
      <c r="C366">
        <v>1</v>
      </c>
      <c r="D366">
        <v>0</v>
      </c>
      <c r="E366">
        <v>1</v>
      </c>
      <c r="F366">
        <v>16</v>
      </c>
      <c r="G366" t="b">
        <v>0</v>
      </c>
      <c r="H366">
        <v>0</v>
      </c>
      <c r="I366">
        <v>1</v>
      </c>
      <c r="J366">
        <v>0.24</v>
      </c>
    </row>
    <row r="367" spans="1:10" x14ac:dyDescent="0.3">
      <c r="A367">
        <v>366</v>
      </c>
      <c r="B367" s="1">
        <v>40559</v>
      </c>
      <c r="C367">
        <v>1</v>
      </c>
      <c r="D367">
        <v>0</v>
      </c>
      <c r="E367">
        <v>1</v>
      </c>
      <c r="F367">
        <v>17</v>
      </c>
      <c r="G367" t="b">
        <v>0</v>
      </c>
      <c r="H367">
        <v>0</v>
      </c>
      <c r="I367">
        <v>1</v>
      </c>
      <c r="J367">
        <v>0.22</v>
      </c>
    </row>
    <row r="368" spans="1:10" x14ac:dyDescent="0.3">
      <c r="A368">
        <v>367</v>
      </c>
      <c r="B368" s="1">
        <v>40559</v>
      </c>
      <c r="C368">
        <v>1</v>
      </c>
      <c r="D368">
        <v>0</v>
      </c>
      <c r="E368">
        <v>1</v>
      </c>
      <c r="F368">
        <v>18</v>
      </c>
      <c r="G368" t="b">
        <v>0</v>
      </c>
      <c r="H368">
        <v>0</v>
      </c>
      <c r="I368">
        <v>1</v>
      </c>
      <c r="J368">
        <v>0.2</v>
      </c>
    </row>
    <row r="369" spans="1:10" x14ac:dyDescent="0.3">
      <c r="A369">
        <v>368</v>
      </c>
      <c r="B369" s="1">
        <v>40559</v>
      </c>
      <c r="C369">
        <v>1</v>
      </c>
      <c r="D369">
        <v>0</v>
      </c>
      <c r="E369">
        <v>1</v>
      </c>
      <c r="F369">
        <v>19</v>
      </c>
      <c r="G369" t="b">
        <v>0</v>
      </c>
      <c r="H369">
        <v>0</v>
      </c>
      <c r="I369">
        <v>1</v>
      </c>
      <c r="J369">
        <v>0.18</v>
      </c>
    </row>
    <row r="370" spans="1:10" x14ac:dyDescent="0.3">
      <c r="A370">
        <v>369</v>
      </c>
      <c r="B370" s="1">
        <v>40559</v>
      </c>
      <c r="C370">
        <v>1</v>
      </c>
      <c r="D370">
        <v>0</v>
      </c>
      <c r="E370">
        <v>1</v>
      </c>
      <c r="F370">
        <v>20</v>
      </c>
      <c r="G370" t="b">
        <v>0</v>
      </c>
      <c r="H370">
        <v>0</v>
      </c>
      <c r="I370">
        <v>1</v>
      </c>
      <c r="J370">
        <v>0.18</v>
      </c>
    </row>
    <row r="371" spans="1:10" x14ac:dyDescent="0.3">
      <c r="A371">
        <v>370</v>
      </c>
      <c r="B371" s="1">
        <v>40559</v>
      </c>
      <c r="C371">
        <v>1</v>
      </c>
      <c r="D371">
        <v>0</v>
      </c>
      <c r="E371">
        <v>1</v>
      </c>
      <c r="F371">
        <v>21</v>
      </c>
      <c r="G371" t="b">
        <v>0</v>
      </c>
      <c r="H371">
        <v>0</v>
      </c>
      <c r="I371">
        <v>1</v>
      </c>
      <c r="J371">
        <v>0.18</v>
      </c>
    </row>
    <row r="372" spans="1:10" x14ac:dyDescent="0.3">
      <c r="A372">
        <v>371</v>
      </c>
      <c r="B372" s="1">
        <v>40559</v>
      </c>
      <c r="C372">
        <v>1</v>
      </c>
      <c r="D372">
        <v>0</v>
      </c>
      <c r="E372">
        <v>1</v>
      </c>
      <c r="F372">
        <v>22</v>
      </c>
      <c r="G372" t="b">
        <v>0</v>
      </c>
      <c r="H372">
        <v>0</v>
      </c>
      <c r="I372">
        <v>2</v>
      </c>
      <c r="J372">
        <v>0.2</v>
      </c>
    </row>
    <row r="373" spans="1:10" x14ac:dyDescent="0.3">
      <c r="A373">
        <v>372</v>
      </c>
      <c r="B373" s="1">
        <v>40559</v>
      </c>
      <c r="C373">
        <v>1</v>
      </c>
      <c r="D373">
        <v>0</v>
      </c>
      <c r="E373">
        <v>1</v>
      </c>
      <c r="F373">
        <v>23</v>
      </c>
      <c r="G373" t="b">
        <v>0</v>
      </c>
      <c r="H373">
        <v>0</v>
      </c>
      <c r="I373">
        <v>2</v>
      </c>
      <c r="J373">
        <v>0.2</v>
      </c>
    </row>
    <row r="374" spans="1:10" x14ac:dyDescent="0.3">
      <c r="A374">
        <v>373</v>
      </c>
      <c r="B374" s="1">
        <v>40560</v>
      </c>
      <c r="C374">
        <v>1</v>
      </c>
      <c r="D374">
        <v>0</v>
      </c>
      <c r="E374">
        <v>1</v>
      </c>
      <c r="F374">
        <v>0</v>
      </c>
      <c r="G374" t="b">
        <v>1</v>
      </c>
      <c r="H374">
        <v>1</v>
      </c>
      <c r="I374">
        <v>2</v>
      </c>
      <c r="J374">
        <v>0.2</v>
      </c>
    </row>
    <row r="375" spans="1:10" x14ac:dyDescent="0.3">
      <c r="A375">
        <v>374</v>
      </c>
      <c r="B375" s="1">
        <v>40560</v>
      </c>
      <c r="C375">
        <v>1</v>
      </c>
      <c r="D375">
        <v>0</v>
      </c>
      <c r="E375">
        <v>1</v>
      </c>
      <c r="F375">
        <v>1</v>
      </c>
      <c r="G375" t="b">
        <v>1</v>
      </c>
      <c r="H375">
        <v>1</v>
      </c>
      <c r="I375">
        <v>2</v>
      </c>
      <c r="J375">
        <v>0.2</v>
      </c>
    </row>
    <row r="376" spans="1:10" x14ac:dyDescent="0.3">
      <c r="A376">
        <v>375</v>
      </c>
      <c r="B376" s="1">
        <v>40560</v>
      </c>
      <c r="C376">
        <v>1</v>
      </c>
      <c r="D376">
        <v>0</v>
      </c>
      <c r="E376">
        <v>1</v>
      </c>
      <c r="F376">
        <v>2</v>
      </c>
      <c r="G376" t="b">
        <v>1</v>
      </c>
      <c r="H376">
        <v>1</v>
      </c>
      <c r="I376">
        <v>2</v>
      </c>
      <c r="J376">
        <v>0.18</v>
      </c>
    </row>
    <row r="377" spans="1:10" x14ac:dyDescent="0.3">
      <c r="A377">
        <v>376</v>
      </c>
      <c r="B377" s="1">
        <v>40560</v>
      </c>
      <c r="C377">
        <v>1</v>
      </c>
      <c r="D377">
        <v>0</v>
      </c>
      <c r="E377">
        <v>1</v>
      </c>
      <c r="F377">
        <v>3</v>
      </c>
      <c r="G377" t="b">
        <v>1</v>
      </c>
      <c r="H377">
        <v>1</v>
      </c>
      <c r="I377">
        <v>2</v>
      </c>
      <c r="J377">
        <v>0.18</v>
      </c>
    </row>
    <row r="378" spans="1:10" x14ac:dyDescent="0.3">
      <c r="A378">
        <v>377</v>
      </c>
      <c r="B378" s="1">
        <v>40560</v>
      </c>
      <c r="C378">
        <v>1</v>
      </c>
      <c r="D378">
        <v>0</v>
      </c>
      <c r="E378">
        <v>1</v>
      </c>
      <c r="F378">
        <v>4</v>
      </c>
      <c r="G378" t="b">
        <v>1</v>
      </c>
      <c r="H378">
        <v>1</v>
      </c>
      <c r="I378">
        <v>2</v>
      </c>
      <c r="J378">
        <v>0.18</v>
      </c>
    </row>
    <row r="379" spans="1:10" x14ac:dyDescent="0.3">
      <c r="A379">
        <v>378</v>
      </c>
      <c r="B379" s="1">
        <v>40560</v>
      </c>
      <c r="C379">
        <v>1</v>
      </c>
      <c r="D379">
        <v>0</v>
      </c>
      <c r="E379">
        <v>1</v>
      </c>
      <c r="F379">
        <v>5</v>
      </c>
      <c r="G379" t="b">
        <v>1</v>
      </c>
      <c r="H379">
        <v>1</v>
      </c>
      <c r="I379">
        <v>2</v>
      </c>
      <c r="J379">
        <v>0.18</v>
      </c>
    </row>
    <row r="380" spans="1:10" x14ac:dyDescent="0.3">
      <c r="A380">
        <v>379</v>
      </c>
      <c r="B380" s="1">
        <v>40560</v>
      </c>
      <c r="C380">
        <v>1</v>
      </c>
      <c r="D380">
        <v>0</v>
      </c>
      <c r="E380">
        <v>1</v>
      </c>
      <c r="F380">
        <v>6</v>
      </c>
      <c r="G380" t="b">
        <v>1</v>
      </c>
      <c r="H380">
        <v>1</v>
      </c>
      <c r="I380">
        <v>2</v>
      </c>
      <c r="J380">
        <v>0.18</v>
      </c>
    </row>
    <row r="381" spans="1:10" x14ac:dyDescent="0.3">
      <c r="A381">
        <v>380</v>
      </c>
      <c r="B381" s="1">
        <v>40560</v>
      </c>
      <c r="C381">
        <v>1</v>
      </c>
      <c r="D381">
        <v>0</v>
      </c>
      <c r="E381">
        <v>1</v>
      </c>
      <c r="F381">
        <v>7</v>
      </c>
      <c r="G381" t="b">
        <v>1</v>
      </c>
      <c r="H381">
        <v>1</v>
      </c>
      <c r="I381">
        <v>2</v>
      </c>
      <c r="J381">
        <v>0.16</v>
      </c>
    </row>
    <row r="382" spans="1:10" x14ac:dyDescent="0.3">
      <c r="A382">
        <v>381</v>
      </c>
      <c r="B382" s="1">
        <v>40560</v>
      </c>
      <c r="C382">
        <v>1</v>
      </c>
      <c r="D382">
        <v>0</v>
      </c>
      <c r="E382">
        <v>1</v>
      </c>
      <c r="F382">
        <v>8</v>
      </c>
      <c r="G382" t="b">
        <v>1</v>
      </c>
      <c r="H382">
        <v>1</v>
      </c>
      <c r="I382">
        <v>2</v>
      </c>
      <c r="J382">
        <v>0.16</v>
      </c>
    </row>
    <row r="383" spans="1:10" x14ac:dyDescent="0.3">
      <c r="A383">
        <v>382</v>
      </c>
      <c r="B383" s="1">
        <v>40560</v>
      </c>
      <c r="C383">
        <v>1</v>
      </c>
      <c r="D383">
        <v>0</v>
      </c>
      <c r="E383">
        <v>1</v>
      </c>
      <c r="F383">
        <v>9</v>
      </c>
      <c r="G383" t="b">
        <v>1</v>
      </c>
      <c r="H383">
        <v>1</v>
      </c>
      <c r="I383">
        <v>2</v>
      </c>
      <c r="J383">
        <v>0.16</v>
      </c>
    </row>
    <row r="384" spans="1:10" x14ac:dyDescent="0.3">
      <c r="A384">
        <v>383</v>
      </c>
      <c r="B384" s="1">
        <v>40560</v>
      </c>
      <c r="C384">
        <v>1</v>
      </c>
      <c r="D384">
        <v>0</v>
      </c>
      <c r="E384">
        <v>1</v>
      </c>
      <c r="F384">
        <v>10</v>
      </c>
      <c r="G384" t="b">
        <v>1</v>
      </c>
      <c r="H384">
        <v>1</v>
      </c>
      <c r="I384">
        <v>2</v>
      </c>
      <c r="J384">
        <v>0.16</v>
      </c>
    </row>
    <row r="385" spans="1:10" x14ac:dyDescent="0.3">
      <c r="A385">
        <v>384</v>
      </c>
      <c r="B385" s="1">
        <v>40560</v>
      </c>
      <c r="C385">
        <v>1</v>
      </c>
      <c r="D385">
        <v>0</v>
      </c>
      <c r="E385">
        <v>1</v>
      </c>
      <c r="F385">
        <v>11</v>
      </c>
      <c r="G385" t="b">
        <v>1</v>
      </c>
      <c r="H385">
        <v>1</v>
      </c>
      <c r="I385">
        <v>2</v>
      </c>
      <c r="J385">
        <v>0.16</v>
      </c>
    </row>
    <row r="386" spans="1:10" x14ac:dyDescent="0.3">
      <c r="A386">
        <v>385</v>
      </c>
      <c r="B386" s="1">
        <v>40560</v>
      </c>
      <c r="C386">
        <v>1</v>
      </c>
      <c r="D386">
        <v>0</v>
      </c>
      <c r="E386">
        <v>1</v>
      </c>
      <c r="F386">
        <v>12</v>
      </c>
      <c r="G386" t="b">
        <v>1</v>
      </c>
      <c r="H386">
        <v>1</v>
      </c>
      <c r="I386">
        <v>2</v>
      </c>
      <c r="J386">
        <v>0.18</v>
      </c>
    </row>
    <row r="387" spans="1:10" x14ac:dyDescent="0.3">
      <c r="A387">
        <v>386</v>
      </c>
      <c r="B387" s="1">
        <v>40560</v>
      </c>
      <c r="C387">
        <v>1</v>
      </c>
      <c r="D387">
        <v>0</v>
      </c>
      <c r="E387">
        <v>1</v>
      </c>
      <c r="F387">
        <v>13</v>
      </c>
      <c r="G387" t="b">
        <v>1</v>
      </c>
      <c r="H387">
        <v>1</v>
      </c>
      <c r="I387">
        <v>2</v>
      </c>
      <c r="J387">
        <v>0.18</v>
      </c>
    </row>
    <row r="388" spans="1:10" x14ac:dyDescent="0.3">
      <c r="A388">
        <v>387</v>
      </c>
      <c r="B388" s="1">
        <v>40560</v>
      </c>
      <c r="C388">
        <v>1</v>
      </c>
      <c r="D388">
        <v>0</v>
      </c>
      <c r="E388">
        <v>1</v>
      </c>
      <c r="F388">
        <v>14</v>
      </c>
      <c r="G388" t="b">
        <v>1</v>
      </c>
      <c r="H388">
        <v>1</v>
      </c>
      <c r="I388">
        <v>2</v>
      </c>
      <c r="J388">
        <v>0.18</v>
      </c>
    </row>
    <row r="389" spans="1:10" x14ac:dyDescent="0.3">
      <c r="A389">
        <v>388</v>
      </c>
      <c r="B389" s="1">
        <v>40560</v>
      </c>
      <c r="C389">
        <v>1</v>
      </c>
      <c r="D389">
        <v>0</v>
      </c>
      <c r="E389">
        <v>1</v>
      </c>
      <c r="F389">
        <v>15</v>
      </c>
      <c r="G389" t="b">
        <v>1</v>
      </c>
      <c r="H389">
        <v>1</v>
      </c>
      <c r="I389">
        <v>2</v>
      </c>
      <c r="J389">
        <v>0.2</v>
      </c>
    </row>
    <row r="390" spans="1:10" x14ac:dyDescent="0.3">
      <c r="A390">
        <v>389</v>
      </c>
      <c r="B390" s="1">
        <v>40560</v>
      </c>
      <c r="C390">
        <v>1</v>
      </c>
      <c r="D390">
        <v>0</v>
      </c>
      <c r="E390">
        <v>1</v>
      </c>
      <c r="F390">
        <v>16</v>
      </c>
      <c r="G390" t="b">
        <v>1</v>
      </c>
      <c r="H390">
        <v>1</v>
      </c>
      <c r="I390">
        <v>2</v>
      </c>
      <c r="J390">
        <v>0.2</v>
      </c>
    </row>
    <row r="391" spans="1:10" x14ac:dyDescent="0.3">
      <c r="A391">
        <v>390</v>
      </c>
      <c r="B391" s="1">
        <v>40560</v>
      </c>
      <c r="C391">
        <v>1</v>
      </c>
      <c r="D391">
        <v>0</v>
      </c>
      <c r="E391">
        <v>1</v>
      </c>
      <c r="F391">
        <v>17</v>
      </c>
      <c r="G391" t="b">
        <v>1</v>
      </c>
      <c r="H391">
        <v>1</v>
      </c>
      <c r="I391">
        <v>1</v>
      </c>
      <c r="J391">
        <v>0.2</v>
      </c>
    </row>
    <row r="392" spans="1:10" x14ac:dyDescent="0.3">
      <c r="A392">
        <v>391</v>
      </c>
      <c r="B392" s="1">
        <v>40560</v>
      </c>
      <c r="C392">
        <v>1</v>
      </c>
      <c r="D392">
        <v>0</v>
      </c>
      <c r="E392">
        <v>1</v>
      </c>
      <c r="F392">
        <v>18</v>
      </c>
      <c r="G392" t="b">
        <v>1</v>
      </c>
      <c r="H392">
        <v>1</v>
      </c>
      <c r="I392">
        <v>2</v>
      </c>
      <c r="J392">
        <v>0.18</v>
      </c>
    </row>
    <row r="393" spans="1:10" x14ac:dyDescent="0.3">
      <c r="A393">
        <v>392</v>
      </c>
      <c r="B393" s="1">
        <v>40560</v>
      </c>
      <c r="C393">
        <v>1</v>
      </c>
      <c r="D393">
        <v>0</v>
      </c>
      <c r="E393">
        <v>1</v>
      </c>
      <c r="F393">
        <v>19</v>
      </c>
      <c r="G393" t="b">
        <v>1</v>
      </c>
      <c r="H393">
        <v>1</v>
      </c>
      <c r="I393">
        <v>3</v>
      </c>
      <c r="J393">
        <v>0.18</v>
      </c>
    </row>
    <row r="394" spans="1:10" x14ac:dyDescent="0.3">
      <c r="A394">
        <v>393</v>
      </c>
      <c r="B394" s="1">
        <v>40560</v>
      </c>
      <c r="C394">
        <v>1</v>
      </c>
      <c r="D394">
        <v>0</v>
      </c>
      <c r="E394">
        <v>1</v>
      </c>
      <c r="F394">
        <v>20</v>
      </c>
      <c r="G394" t="b">
        <v>1</v>
      </c>
      <c r="H394">
        <v>1</v>
      </c>
      <c r="I394">
        <v>3</v>
      </c>
      <c r="J394">
        <v>0.16</v>
      </c>
    </row>
    <row r="395" spans="1:10" x14ac:dyDescent="0.3">
      <c r="A395">
        <v>394</v>
      </c>
      <c r="B395" s="1">
        <v>40560</v>
      </c>
      <c r="C395">
        <v>1</v>
      </c>
      <c r="D395">
        <v>0</v>
      </c>
      <c r="E395">
        <v>1</v>
      </c>
      <c r="F395">
        <v>21</v>
      </c>
      <c r="G395" t="b">
        <v>1</v>
      </c>
      <c r="H395">
        <v>1</v>
      </c>
      <c r="I395">
        <v>3</v>
      </c>
      <c r="J395">
        <v>0.16</v>
      </c>
    </row>
    <row r="396" spans="1:10" x14ac:dyDescent="0.3">
      <c r="A396">
        <v>395</v>
      </c>
      <c r="B396" s="1">
        <v>40560</v>
      </c>
      <c r="C396">
        <v>1</v>
      </c>
      <c r="D396">
        <v>0</v>
      </c>
      <c r="E396">
        <v>1</v>
      </c>
      <c r="F396">
        <v>22</v>
      </c>
      <c r="G396" t="b">
        <v>1</v>
      </c>
      <c r="H396">
        <v>1</v>
      </c>
      <c r="I396">
        <v>3</v>
      </c>
      <c r="J396">
        <v>0.14000000000000001</v>
      </c>
    </row>
    <row r="397" spans="1:10" x14ac:dyDescent="0.3">
      <c r="A397">
        <v>396</v>
      </c>
      <c r="B397" s="1">
        <v>40560</v>
      </c>
      <c r="C397">
        <v>1</v>
      </c>
      <c r="D397">
        <v>0</v>
      </c>
      <c r="E397">
        <v>1</v>
      </c>
      <c r="F397">
        <v>23</v>
      </c>
      <c r="G397" t="b">
        <v>1</v>
      </c>
      <c r="H397">
        <v>1</v>
      </c>
      <c r="I397">
        <v>3</v>
      </c>
      <c r="J397">
        <v>0.16</v>
      </c>
    </row>
    <row r="398" spans="1:10" x14ac:dyDescent="0.3">
      <c r="A398">
        <v>397</v>
      </c>
      <c r="B398" s="1">
        <v>40561</v>
      </c>
      <c r="C398">
        <v>1</v>
      </c>
      <c r="D398">
        <v>0</v>
      </c>
      <c r="E398">
        <v>1</v>
      </c>
      <c r="F398">
        <v>12</v>
      </c>
      <c r="G398" t="b">
        <v>0</v>
      </c>
      <c r="H398">
        <v>2</v>
      </c>
      <c r="I398">
        <v>2</v>
      </c>
      <c r="J398">
        <v>0.2</v>
      </c>
    </row>
    <row r="399" spans="1:10" x14ac:dyDescent="0.3">
      <c r="A399">
        <v>398</v>
      </c>
      <c r="B399" s="1">
        <v>40561</v>
      </c>
      <c r="C399">
        <v>1</v>
      </c>
      <c r="D399">
        <v>0</v>
      </c>
      <c r="E399">
        <v>1</v>
      </c>
      <c r="F399">
        <v>13</v>
      </c>
      <c r="G399" t="b">
        <v>0</v>
      </c>
      <c r="H399">
        <v>2</v>
      </c>
      <c r="I399">
        <v>2</v>
      </c>
      <c r="J399">
        <v>0.2</v>
      </c>
    </row>
    <row r="400" spans="1:10" x14ac:dyDescent="0.3">
      <c r="A400">
        <v>399</v>
      </c>
      <c r="B400" s="1">
        <v>40561</v>
      </c>
      <c r="C400">
        <v>1</v>
      </c>
      <c r="D400">
        <v>0</v>
      </c>
      <c r="E400">
        <v>1</v>
      </c>
      <c r="F400">
        <v>14</v>
      </c>
      <c r="G400" t="b">
        <v>0</v>
      </c>
      <c r="H400">
        <v>2</v>
      </c>
      <c r="I400">
        <v>2</v>
      </c>
      <c r="J400">
        <v>0.22</v>
      </c>
    </row>
    <row r="401" spans="1:10" x14ac:dyDescent="0.3">
      <c r="A401">
        <v>400</v>
      </c>
      <c r="B401" s="1">
        <v>40561</v>
      </c>
      <c r="C401">
        <v>1</v>
      </c>
      <c r="D401">
        <v>0</v>
      </c>
      <c r="E401">
        <v>1</v>
      </c>
      <c r="F401">
        <v>15</v>
      </c>
      <c r="G401" t="b">
        <v>0</v>
      </c>
      <c r="H401">
        <v>2</v>
      </c>
      <c r="I401">
        <v>2</v>
      </c>
      <c r="J401">
        <v>0.22</v>
      </c>
    </row>
    <row r="402" spans="1:10" x14ac:dyDescent="0.3">
      <c r="A402">
        <v>401</v>
      </c>
      <c r="B402" s="1">
        <v>40561</v>
      </c>
      <c r="C402">
        <v>1</v>
      </c>
      <c r="D402">
        <v>0</v>
      </c>
      <c r="E402">
        <v>1</v>
      </c>
      <c r="F402">
        <v>16</v>
      </c>
      <c r="G402" t="b">
        <v>0</v>
      </c>
      <c r="H402">
        <v>2</v>
      </c>
      <c r="I402">
        <v>2</v>
      </c>
      <c r="J402">
        <v>0.22</v>
      </c>
    </row>
    <row r="403" spans="1:10" x14ac:dyDescent="0.3">
      <c r="A403">
        <v>402</v>
      </c>
      <c r="B403" s="1">
        <v>40561</v>
      </c>
      <c r="C403">
        <v>1</v>
      </c>
      <c r="D403">
        <v>0</v>
      </c>
      <c r="E403">
        <v>1</v>
      </c>
      <c r="F403">
        <v>17</v>
      </c>
      <c r="G403" t="b">
        <v>0</v>
      </c>
      <c r="H403">
        <v>2</v>
      </c>
      <c r="I403">
        <v>2</v>
      </c>
      <c r="J403">
        <v>0.22</v>
      </c>
    </row>
    <row r="404" spans="1:10" x14ac:dyDescent="0.3">
      <c r="A404">
        <v>403</v>
      </c>
      <c r="B404" s="1">
        <v>40561</v>
      </c>
      <c r="C404">
        <v>1</v>
      </c>
      <c r="D404">
        <v>0</v>
      </c>
      <c r="E404">
        <v>1</v>
      </c>
      <c r="F404">
        <v>18</v>
      </c>
      <c r="G404" t="b">
        <v>0</v>
      </c>
      <c r="H404">
        <v>2</v>
      </c>
      <c r="I404">
        <v>2</v>
      </c>
      <c r="J404">
        <v>0.22</v>
      </c>
    </row>
    <row r="405" spans="1:10" x14ac:dyDescent="0.3">
      <c r="A405">
        <v>404</v>
      </c>
      <c r="B405" s="1">
        <v>40561</v>
      </c>
      <c r="C405">
        <v>1</v>
      </c>
      <c r="D405">
        <v>0</v>
      </c>
      <c r="E405">
        <v>1</v>
      </c>
      <c r="F405">
        <v>19</v>
      </c>
      <c r="G405" t="b">
        <v>0</v>
      </c>
      <c r="H405">
        <v>2</v>
      </c>
      <c r="I405">
        <v>2</v>
      </c>
      <c r="J405">
        <v>0.22</v>
      </c>
    </row>
    <row r="406" spans="1:10" x14ac:dyDescent="0.3">
      <c r="A406">
        <v>405</v>
      </c>
      <c r="B406" s="1">
        <v>40561</v>
      </c>
      <c r="C406">
        <v>1</v>
      </c>
      <c r="D406">
        <v>0</v>
      </c>
      <c r="E406">
        <v>1</v>
      </c>
      <c r="F406">
        <v>20</v>
      </c>
      <c r="G406" t="b">
        <v>0</v>
      </c>
      <c r="H406">
        <v>2</v>
      </c>
      <c r="I406">
        <v>2</v>
      </c>
      <c r="J406">
        <v>0.22</v>
      </c>
    </row>
    <row r="407" spans="1:10" x14ac:dyDescent="0.3">
      <c r="A407">
        <v>406</v>
      </c>
      <c r="B407" s="1">
        <v>40561</v>
      </c>
      <c r="C407">
        <v>1</v>
      </c>
      <c r="D407">
        <v>0</v>
      </c>
      <c r="E407">
        <v>1</v>
      </c>
      <c r="F407">
        <v>21</v>
      </c>
      <c r="G407" t="b">
        <v>0</v>
      </c>
      <c r="H407">
        <v>2</v>
      </c>
      <c r="I407">
        <v>2</v>
      </c>
      <c r="J407">
        <v>0.22</v>
      </c>
    </row>
    <row r="408" spans="1:10" x14ac:dyDescent="0.3">
      <c r="A408">
        <v>407</v>
      </c>
      <c r="B408" s="1">
        <v>40561</v>
      </c>
      <c r="C408">
        <v>1</v>
      </c>
      <c r="D408">
        <v>0</v>
      </c>
      <c r="E408">
        <v>1</v>
      </c>
      <c r="F408">
        <v>22</v>
      </c>
      <c r="G408" t="b">
        <v>0</v>
      </c>
      <c r="H408">
        <v>2</v>
      </c>
      <c r="I408">
        <v>2</v>
      </c>
      <c r="J408">
        <v>0.22</v>
      </c>
    </row>
    <row r="409" spans="1:10" x14ac:dyDescent="0.3">
      <c r="A409">
        <v>408</v>
      </c>
      <c r="B409" s="1">
        <v>40561</v>
      </c>
      <c r="C409">
        <v>1</v>
      </c>
      <c r="D409">
        <v>0</v>
      </c>
      <c r="E409">
        <v>1</v>
      </c>
      <c r="F409">
        <v>23</v>
      </c>
      <c r="G409" t="b">
        <v>0</v>
      </c>
      <c r="H409">
        <v>2</v>
      </c>
      <c r="I409">
        <v>2</v>
      </c>
      <c r="J409">
        <v>0.22</v>
      </c>
    </row>
    <row r="410" spans="1:10" x14ac:dyDescent="0.3">
      <c r="A410">
        <v>409</v>
      </c>
      <c r="B410" s="1">
        <v>40562</v>
      </c>
      <c r="C410">
        <v>1</v>
      </c>
      <c r="D410">
        <v>0</v>
      </c>
      <c r="E410">
        <v>1</v>
      </c>
      <c r="F410">
        <v>0</v>
      </c>
      <c r="G410" t="b">
        <v>0</v>
      </c>
      <c r="H410">
        <v>3</v>
      </c>
      <c r="I410">
        <v>2</v>
      </c>
      <c r="J410">
        <v>0.22</v>
      </c>
    </row>
    <row r="411" spans="1:10" x14ac:dyDescent="0.3">
      <c r="A411">
        <v>410</v>
      </c>
      <c r="B411" s="1">
        <v>40562</v>
      </c>
      <c r="C411">
        <v>1</v>
      </c>
      <c r="D411">
        <v>0</v>
      </c>
      <c r="E411">
        <v>1</v>
      </c>
      <c r="F411">
        <v>1</v>
      </c>
      <c r="G411" t="b">
        <v>0</v>
      </c>
      <c r="H411">
        <v>3</v>
      </c>
      <c r="I411">
        <v>3</v>
      </c>
      <c r="J411">
        <v>0.22</v>
      </c>
    </row>
    <row r="412" spans="1:10" x14ac:dyDescent="0.3">
      <c r="A412">
        <v>411</v>
      </c>
      <c r="B412" s="1">
        <v>40562</v>
      </c>
      <c r="C412">
        <v>1</v>
      </c>
      <c r="D412">
        <v>0</v>
      </c>
      <c r="E412">
        <v>1</v>
      </c>
      <c r="F412">
        <v>2</v>
      </c>
      <c r="G412" t="b">
        <v>0</v>
      </c>
      <c r="H412">
        <v>3</v>
      </c>
      <c r="I412">
        <v>3</v>
      </c>
      <c r="J412">
        <v>0.22</v>
      </c>
    </row>
    <row r="413" spans="1:10" x14ac:dyDescent="0.3">
      <c r="A413">
        <v>412</v>
      </c>
      <c r="B413" s="1">
        <v>40562</v>
      </c>
      <c r="C413">
        <v>1</v>
      </c>
      <c r="D413">
        <v>0</v>
      </c>
      <c r="E413">
        <v>1</v>
      </c>
      <c r="F413">
        <v>4</v>
      </c>
      <c r="G413" t="b">
        <v>0</v>
      </c>
      <c r="H413">
        <v>3</v>
      </c>
      <c r="I413">
        <v>3</v>
      </c>
      <c r="J413">
        <v>0.22</v>
      </c>
    </row>
    <row r="414" spans="1:10" x14ac:dyDescent="0.3">
      <c r="A414">
        <v>413</v>
      </c>
      <c r="B414" s="1">
        <v>40562</v>
      </c>
      <c r="C414">
        <v>1</v>
      </c>
      <c r="D414">
        <v>0</v>
      </c>
      <c r="E414">
        <v>1</v>
      </c>
      <c r="F414">
        <v>5</v>
      </c>
      <c r="G414" t="b">
        <v>0</v>
      </c>
      <c r="H414">
        <v>3</v>
      </c>
      <c r="I414">
        <v>2</v>
      </c>
      <c r="J414">
        <v>0.22</v>
      </c>
    </row>
    <row r="415" spans="1:10" x14ac:dyDescent="0.3">
      <c r="A415">
        <v>414</v>
      </c>
      <c r="B415" s="1">
        <v>40562</v>
      </c>
      <c r="C415">
        <v>1</v>
      </c>
      <c r="D415">
        <v>0</v>
      </c>
      <c r="E415">
        <v>1</v>
      </c>
      <c r="F415">
        <v>6</v>
      </c>
      <c r="G415" t="b">
        <v>0</v>
      </c>
      <c r="H415">
        <v>3</v>
      </c>
      <c r="I415">
        <v>2</v>
      </c>
      <c r="J415">
        <v>0.22</v>
      </c>
    </row>
    <row r="416" spans="1:10" x14ac:dyDescent="0.3">
      <c r="A416">
        <v>415</v>
      </c>
      <c r="B416" s="1">
        <v>40562</v>
      </c>
      <c r="C416">
        <v>1</v>
      </c>
      <c r="D416">
        <v>0</v>
      </c>
      <c r="E416">
        <v>1</v>
      </c>
      <c r="F416">
        <v>7</v>
      </c>
      <c r="G416" t="b">
        <v>0</v>
      </c>
      <c r="H416">
        <v>3</v>
      </c>
      <c r="I416">
        <v>2</v>
      </c>
      <c r="J416">
        <v>0.24</v>
      </c>
    </row>
    <row r="417" spans="1:10" x14ac:dyDescent="0.3">
      <c r="A417">
        <v>416</v>
      </c>
      <c r="B417" s="1">
        <v>40562</v>
      </c>
      <c r="C417">
        <v>1</v>
      </c>
      <c r="D417">
        <v>0</v>
      </c>
      <c r="E417">
        <v>1</v>
      </c>
      <c r="F417">
        <v>8</v>
      </c>
      <c r="G417" t="b">
        <v>0</v>
      </c>
      <c r="H417">
        <v>3</v>
      </c>
      <c r="I417">
        <v>2</v>
      </c>
      <c r="J417">
        <v>0.24</v>
      </c>
    </row>
    <row r="418" spans="1:10" x14ac:dyDescent="0.3">
      <c r="A418">
        <v>417</v>
      </c>
      <c r="B418" s="1">
        <v>40562</v>
      </c>
      <c r="C418">
        <v>1</v>
      </c>
      <c r="D418">
        <v>0</v>
      </c>
      <c r="E418">
        <v>1</v>
      </c>
      <c r="F418">
        <v>9</v>
      </c>
      <c r="G418" t="b">
        <v>0</v>
      </c>
      <c r="H418">
        <v>3</v>
      </c>
      <c r="I418">
        <v>2</v>
      </c>
      <c r="J418">
        <v>0.24</v>
      </c>
    </row>
    <row r="419" spans="1:10" x14ac:dyDescent="0.3">
      <c r="A419">
        <v>418</v>
      </c>
      <c r="B419" s="1">
        <v>40562</v>
      </c>
      <c r="C419">
        <v>1</v>
      </c>
      <c r="D419">
        <v>0</v>
      </c>
      <c r="E419">
        <v>1</v>
      </c>
      <c r="F419">
        <v>10</v>
      </c>
      <c r="G419" t="b">
        <v>0</v>
      </c>
      <c r="H419">
        <v>3</v>
      </c>
      <c r="I419">
        <v>2</v>
      </c>
      <c r="J419">
        <v>0.26</v>
      </c>
    </row>
    <row r="420" spans="1:10" x14ac:dyDescent="0.3">
      <c r="A420">
        <v>419</v>
      </c>
      <c r="B420" s="1">
        <v>40562</v>
      </c>
      <c r="C420">
        <v>1</v>
      </c>
      <c r="D420">
        <v>0</v>
      </c>
      <c r="E420">
        <v>1</v>
      </c>
      <c r="F420">
        <v>11</v>
      </c>
      <c r="G420" t="b">
        <v>0</v>
      </c>
      <c r="H420">
        <v>3</v>
      </c>
      <c r="I420">
        <v>2</v>
      </c>
      <c r="J420">
        <v>0.28000000000000003</v>
      </c>
    </row>
    <row r="421" spans="1:10" x14ac:dyDescent="0.3">
      <c r="A421">
        <v>420</v>
      </c>
      <c r="B421" s="1">
        <v>40562</v>
      </c>
      <c r="C421">
        <v>1</v>
      </c>
      <c r="D421">
        <v>0</v>
      </c>
      <c r="E421">
        <v>1</v>
      </c>
      <c r="F421">
        <v>12</v>
      </c>
      <c r="G421" t="b">
        <v>0</v>
      </c>
      <c r="H421">
        <v>3</v>
      </c>
      <c r="I421">
        <v>2</v>
      </c>
      <c r="J421">
        <v>0.3</v>
      </c>
    </row>
    <row r="422" spans="1:10" x14ac:dyDescent="0.3">
      <c r="A422">
        <v>421</v>
      </c>
      <c r="B422" s="1">
        <v>40562</v>
      </c>
      <c r="C422">
        <v>1</v>
      </c>
      <c r="D422">
        <v>0</v>
      </c>
      <c r="E422">
        <v>1</v>
      </c>
      <c r="F422">
        <v>13</v>
      </c>
      <c r="G422" t="b">
        <v>0</v>
      </c>
      <c r="H422">
        <v>3</v>
      </c>
      <c r="I422">
        <v>1</v>
      </c>
      <c r="J422">
        <v>0.4</v>
      </c>
    </row>
    <row r="423" spans="1:10" x14ac:dyDescent="0.3">
      <c r="A423">
        <v>422</v>
      </c>
      <c r="B423" s="1">
        <v>40562</v>
      </c>
      <c r="C423">
        <v>1</v>
      </c>
      <c r="D423">
        <v>0</v>
      </c>
      <c r="E423">
        <v>1</v>
      </c>
      <c r="F423">
        <v>14</v>
      </c>
      <c r="G423" t="b">
        <v>0</v>
      </c>
      <c r="H423">
        <v>3</v>
      </c>
      <c r="I423">
        <v>1</v>
      </c>
      <c r="J423">
        <v>0.4</v>
      </c>
    </row>
    <row r="424" spans="1:10" x14ac:dyDescent="0.3">
      <c r="A424">
        <v>423</v>
      </c>
      <c r="B424" s="1">
        <v>40562</v>
      </c>
      <c r="C424">
        <v>1</v>
      </c>
      <c r="D424">
        <v>0</v>
      </c>
      <c r="E424">
        <v>1</v>
      </c>
      <c r="F424">
        <v>15</v>
      </c>
      <c r="G424" t="b">
        <v>0</v>
      </c>
      <c r="H424">
        <v>3</v>
      </c>
      <c r="I424">
        <v>1</v>
      </c>
      <c r="J424">
        <v>0.4</v>
      </c>
    </row>
    <row r="425" spans="1:10" x14ac:dyDescent="0.3">
      <c r="A425">
        <v>424</v>
      </c>
      <c r="B425" s="1">
        <v>40562</v>
      </c>
      <c r="C425">
        <v>1</v>
      </c>
      <c r="D425">
        <v>0</v>
      </c>
      <c r="E425">
        <v>1</v>
      </c>
      <c r="F425">
        <v>16</v>
      </c>
      <c r="G425" t="b">
        <v>0</v>
      </c>
      <c r="H425">
        <v>3</v>
      </c>
      <c r="I425">
        <v>1</v>
      </c>
      <c r="J425">
        <v>0.38</v>
      </c>
    </row>
    <row r="426" spans="1:10" x14ac:dyDescent="0.3">
      <c r="A426">
        <v>425</v>
      </c>
      <c r="B426" s="1">
        <v>40562</v>
      </c>
      <c r="C426">
        <v>1</v>
      </c>
      <c r="D426">
        <v>0</v>
      </c>
      <c r="E426">
        <v>1</v>
      </c>
      <c r="F426">
        <v>17</v>
      </c>
      <c r="G426" t="b">
        <v>0</v>
      </c>
      <c r="H426">
        <v>3</v>
      </c>
      <c r="I426">
        <v>1</v>
      </c>
      <c r="J426">
        <v>0.36</v>
      </c>
    </row>
    <row r="427" spans="1:10" x14ac:dyDescent="0.3">
      <c r="A427">
        <v>426</v>
      </c>
      <c r="B427" s="1">
        <v>40562</v>
      </c>
      <c r="C427">
        <v>1</v>
      </c>
      <c r="D427">
        <v>0</v>
      </c>
      <c r="E427">
        <v>1</v>
      </c>
      <c r="F427">
        <v>18</v>
      </c>
      <c r="G427" t="b">
        <v>0</v>
      </c>
      <c r="H427">
        <v>3</v>
      </c>
      <c r="I427">
        <v>1</v>
      </c>
      <c r="J427">
        <v>0.34</v>
      </c>
    </row>
    <row r="428" spans="1:10" x14ac:dyDescent="0.3">
      <c r="A428">
        <v>427</v>
      </c>
      <c r="B428" s="1">
        <v>40562</v>
      </c>
      <c r="C428">
        <v>1</v>
      </c>
      <c r="D428">
        <v>0</v>
      </c>
      <c r="E428">
        <v>1</v>
      </c>
      <c r="F428">
        <v>19</v>
      </c>
      <c r="G428" t="b">
        <v>0</v>
      </c>
      <c r="H428">
        <v>3</v>
      </c>
      <c r="I428">
        <v>1</v>
      </c>
      <c r="J428">
        <v>0.32</v>
      </c>
    </row>
    <row r="429" spans="1:10" x14ac:dyDescent="0.3">
      <c r="A429">
        <v>428</v>
      </c>
      <c r="B429" s="1">
        <v>40562</v>
      </c>
      <c r="C429">
        <v>1</v>
      </c>
      <c r="D429">
        <v>0</v>
      </c>
      <c r="E429">
        <v>1</v>
      </c>
      <c r="F429">
        <v>20</v>
      </c>
      <c r="G429" t="b">
        <v>0</v>
      </c>
      <c r="H429">
        <v>3</v>
      </c>
      <c r="I429">
        <v>1</v>
      </c>
      <c r="J429">
        <v>0.32</v>
      </c>
    </row>
    <row r="430" spans="1:10" x14ac:dyDescent="0.3">
      <c r="A430">
        <v>429</v>
      </c>
      <c r="B430" s="1">
        <v>40562</v>
      </c>
      <c r="C430">
        <v>1</v>
      </c>
      <c r="D430">
        <v>0</v>
      </c>
      <c r="E430">
        <v>1</v>
      </c>
      <c r="F430">
        <v>21</v>
      </c>
      <c r="G430" t="b">
        <v>0</v>
      </c>
      <c r="H430">
        <v>3</v>
      </c>
      <c r="I430">
        <v>1</v>
      </c>
      <c r="J430">
        <v>0.32</v>
      </c>
    </row>
    <row r="431" spans="1:10" x14ac:dyDescent="0.3">
      <c r="A431">
        <v>430</v>
      </c>
      <c r="B431" s="1">
        <v>40562</v>
      </c>
      <c r="C431">
        <v>1</v>
      </c>
      <c r="D431">
        <v>0</v>
      </c>
      <c r="E431">
        <v>1</v>
      </c>
      <c r="F431">
        <v>22</v>
      </c>
      <c r="G431" t="b">
        <v>0</v>
      </c>
      <c r="H431">
        <v>3</v>
      </c>
      <c r="I431">
        <v>1</v>
      </c>
      <c r="J431">
        <v>0.3</v>
      </c>
    </row>
    <row r="432" spans="1:10" x14ac:dyDescent="0.3">
      <c r="A432">
        <v>431</v>
      </c>
      <c r="B432" s="1">
        <v>40562</v>
      </c>
      <c r="C432">
        <v>1</v>
      </c>
      <c r="D432">
        <v>0</v>
      </c>
      <c r="E432">
        <v>1</v>
      </c>
      <c r="F432">
        <v>23</v>
      </c>
      <c r="G432" t="b">
        <v>0</v>
      </c>
      <c r="H432">
        <v>3</v>
      </c>
      <c r="I432">
        <v>1</v>
      </c>
      <c r="J432">
        <v>0.3</v>
      </c>
    </row>
    <row r="433" spans="1:10" x14ac:dyDescent="0.3">
      <c r="A433">
        <v>432</v>
      </c>
      <c r="B433" s="1">
        <v>40563</v>
      </c>
      <c r="C433">
        <v>1</v>
      </c>
      <c r="D433">
        <v>0</v>
      </c>
      <c r="E433">
        <v>1</v>
      </c>
      <c r="F433">
        <v>0</v>
      </c>
      <c r="G433" t="b">
        <v>0</v>
      </c>
      <c r="H433">
        <v>4</v>
      </c>
      <c r="I433">
        <v>1</v>
      </c>
      <c r="J433">
        <v>0.26</v>
      </c>
    </row>
    <row r="434" spans="1:10" x14ac:dyDescent="0.3">
      <c r="A434">
        <v>433</v>
      </c>
      <c r="B434" s="1">
        <v>40563</v>
      </c>
      <c r="C434">
        <v>1</v>
      </c>
      <c r="D434">
        <v>0</v>
      </c>
      <c r="E434">
        <v>1</v>
      </c>
      <c r="F434">
        <v>1</v>
      </c>
      <c r="G434" t="b">
        <v>0</v>
      </c>
      <c r="H434">
        <v>4</v>
      </c>
      <c r="I434">
        <v>1</v>
      </c>
      <c r="J434">
        <v>0.26</v>
      </c>
    </row>
    <row r="435" spans="1:10" x14ac:dyDescent="0.3">
      <c r="A435">
        <v>434</v>
      </c>
      <c r="B435" s="1">
        <v>40563</v>
      </c>
      <c r="C435">
        <v>1</v>
      </c>
      <c r="D435">
        <v>0</v>
      </c>
      <c r="E435">
        <v>1</v>
      </c>
      <c r="F435">
        <v>2</v>
      </c>
      <c r="G435" t="b">
        <v>0</v>
      </c>
      <c r="H435">
        <v>4</v>
      </c>
      <c r="I435">
        <v>1</v>
      </c>
      <c r="J435">
        <v>0.26</v>
      </c>
    </row>
    <row r="436" spans="1:10" x14ac:dyDescent="0.3">
      <c r="A436">
        <v>435</v>
      </c>
      <c r="B436" s="1">
        <v>40563</v>
      </c>
      <c r="C436">
        <v>1</v>
      </c>
      <c r="D436">
        <v>0</v>
      </c>
      <c r="E436">
        <v>1</v>
      </c>
      <c r="F436">
        <v>3</v>
      </c>
      <c r="G436" t="b">
        <v>0</v>
      </c>
      <c r="H436">
        <v>4</v>
      </c>
      <c r="I436">
        <v>1</v>
      </c>
      <c r="J436">
        <v>0.26</v>
      </c>
    </row>
    <row r="437" spans="1:10" x14ac:dyDescent="0.3">
      <c r="A437">
        <v>436</v>
      </c>
      <c r="B437" s="1">
        <v>40563</v>
      </c>
      <c r="C437">
        <v>1</v>
      </c>
      <c r="D437">
        <v>0</v>
      </c>
      <c r="E437">
        <v>1</v>
      </c>
      <c r="F437">
        <v>4</v>
      </c>
      <c r="G437" t="b">
        <v>0</v>
      </c>
      <c r="H437">
        <v>4</v>
      </c>
      <c r="I437">
        <v>1</v>
      </c>
      <c r="J437">
        <v>0.26</v>
      </c>
    </row>
    <row r="438" spans="1:10" x14ac:dyDescent="0.3">
      <c r="A438">
        <v>437</v>
      </c>
      <c r="B438" s="1">
        <v>40563</v>
      </c>
      <c r="C438">
        <v>1</v>
      </c>
      <c r="D438">
        <v>0</v>
      </c>
      <c r="E438">
        <v>1</v>
      </c>
      <c r="F438">
        <v>5</v>
      </c>
      <c r="G438" t="b">
        <v>0</v>
      </c>
      <c r="H438">
        <v>4</v>
      </c>
      <c r="I438">
        <v>1</v>
      </c>
      <c r="J438">
        <v>0.24</v>
      </c>
    </row>
    <row r="439" spans="1:10" x14ac:dyDescent="0.3">
      <c r="A439">
        <v>438</v>
      </c>
      <c r="B439" s="1">
        <v>40563</v>
      </c>
      <c r="C439">
        <v>1</v>
      </c>
      <c r="D439">
        <v>0</v>
      </c>
      <c r="E439">
        <v>1</v>
      </c>
      <c r="F439">
        <v>6</v>
      </c>
      <c r="G439" t="b">
        <v>0</v>
      </c>
      <c r="H439">
        <v>4</v>
      </c>
      <c r="I439">
        <v>1</v>
      </c>
      <c r="J439">
        <v>0.22</v>
      </c>
    </row>
    <row r="440" spans="1:10" x14ac:dyDescent="0.3">
      <c r="A440">
        <v>439</v>
      </c>
      <c r="B440" s="1">
        <v>40563</v>
      </c>
      <c r="C440">
        <v>1</v>
      </c>
      <c r="D440">
        <v>0</v>
      </c>
      <c r="E440">
        <v>1</v>
      </c>
      <c r="F440">
        <v>7</v>
      </c>
      <c r="G440" t="b">
        <v>0</v>
      </c>
      <c r="H440">
        <v>4</v>
      </c>
      <c r="I440">
        <v>1</v>
      </c>
      <c r="J440">
        <v>0.22</v>
      </c>
    </row>
    <row r="441" spans="1:10" x14ac:dyDescent="0.3">
      <c r="A441">
        <v>440</v>
      </c>
      <c r="B441" s="1">
        <v>40563</v>
      </c>
      <c r="C441">
        <v>1</v>
      </c>
      <c r="D441">
        <v>0</v>
      </c>
      <c r="E441">
        <v>1</v>
      </c>
      <c r="F441">
        <v>8</v>
      </c>
      <c r="G441" t="b">
        <v>0</v>
      </c>
      <c r="H441">
        <v>4</v>
      </c>
      <c r="I441">
        <v>1</v>
      </c>
      <c r="J441">
        <v>0.22</v>
      </c>
    </row>
    <row r="442" spans="1:10" x14ac:dyDescent="0.3">
      <c r="A442">
        <v>441</v>
      </c>
      <c r="B442" s="1">
        <v>40563</v>
      </c>
      <c r="C442">
        <v>1</v>
      </c>
      <c r="D442">
        <v>0</v>
      </c>
      <c r="E442">
        <v>1</v>
      </c>
      <c r="F442">
        <v>9</v>
      </c>
      <c r="G442" t="b">
        <v>0</v>
      </c>
      <c r="H442">
        <v>4</v>
      </c>
      <c r="I442">
        <v>2</v>
      </c>
      <c r="J442">
        <v>0.24</v>
      </c>
    </row>
    <row r="443" spans="1:10" x14ac:dyDescent="0.3">
      <c r="A443">
        <v>442</v>
      </c>
      <c r="B443" s="1">
        <v>40563</v>
      </c>
      <c r="C443">
        <v>1</v>
      </c>
      <c r="D443">
        <v>0</v>
      </c>
      <c r="E443">
        <v>1</v>
      </c>
      <c r="F443">
        <v>10</v>
      </c>
      <c r="G443" t="b">
        <v>0</v>
      </c>
      <c r="H443">
        <v>4</v>
      </c>
      <c r="I443">
        <v>1</v>
      </c>
      <c r="J443">
        <v>0.26</v>
      </c>
    </row>
    <row r="444" spans="1:10" x14ac:dyDescent="0.3">
      <c r="A444">
        <v>443</v>
      </c>
      <c r="B444" s="1">
        <v>40563</v>
      </c>
      <c r="C444">
        <v>1</v>
      </c>
      <c r="D444">
        <v>0</v>
      </c>
      <c r="E444">
        <v>1</v>
      </c>
      <c r="F444">
        <v>11</v>
      </c>
      <c r="G444" t="b">
        <v>0</v>
      </c>
      <c r="H444">
        <v>4</v>
      </c>
      <c r="I444">
        <v>2</v>
      </c>
      <c r="J444">
        <v>0.28000000000000003</v>
      </c>
    </row>
    <row r="445" spans="1:10" x14ac:dyDescent="0.3">
      <c r="A445">
        <v>444</v>
      </c>
      <c r="B445" s="1">
        <v>40563</v>
      </c>
      <c r="C445">
        <v>1</v>
      </c>
      <c r="D445">
        <v>0</v>
      </c>
      <c r="E445">
        <v>1</v>
      </c>
      <c r="F445">
        <v>12</v>
      </c>
      <c r="G445" t="b">
        <v>0</v>
      </c>
      <c r="H445">
        <v>4</v>
      </c>
      <c r="I445">
        <v>2</v>
      </c>
      <c r="J445">
        <v>0.3</v>
      </c>
    </row>
    <row r="446" spans="1:10" x14ac:dyDescent="0.3">
      <c r="A446">
        <v>445</v>
      </c>
      <c r="B446" s="1">
        <v>40563</v>
      </c>
      <c r="C446">
        <v>1</v>
      </c>
      <c r="D446">
        <v>0</v>
      </c>
      <c r="E446">
        <v>1</v>
      </c>
      <c r="F446">
        <v>13</v>
      </c>
      <c r="G446" t="b">
        <v>0</v>
      </c>
      <c r="H446">
        <v>4</v>
      </c>
      <c r="I446">
        <v>2</v>
      </c>
      <c r="J446">
        <v>0.28000000000000003</v>
      </c>
    </row>
    <row r="447" spans="1:10" x14ac:dyDescent="0.3">
      <c r="A447">
        <v>446</v>
      </c>
      <c r="B447" s="1">
        <v>40563</v>
      </c>
      <c r="C447">
        <v>1</v>
      </c>
      <c r="D447">
        <v>0</v>
      </c>
      <c r="E447">
        <v>1</v>
      </c>
      <c r="F447">
        <v>14</v>
      </c>
      <c r="G447" t="b">
        <v>0</v>
      </c>
      <c r="H447">
        <v>4</v>
      </c>
      <c r="I447">
        <v>2</v>
      </c>
      <c r="J447">
        <v>0.3</v>
      </c>
    </row>
    <row r="448" spans="1:10" x14ac:dyDescent="0.3">
      <c r="A448">
        <v>447</v>
      </c>
      <c r="B448" s="1">
        <v>40563</v>
      </c>
      <c r="C448">
        <v>1</v>
      </c>
      <c r="D448">
        <v>0</v>
      </c>
      <c r="E448">
        <v>1</v>
      </c>
      <c r="F448">
        <v>15</v>
      </c>
      <c r="G448" t="b">
        <v>0</v>
      </c>
      <c r="H448">
        <v>4</v>
      </c>
      <c r="I448">
        <v>2</v>
      </c>
      <c r="J448">
        <v>0.32</v>
      </c>
    </row>
    <row r="449" spans="1:10" x14ac:dyDescent="0.3">
      <c r="A449">
        <v>448</v>
      </c>
      <c r="B449" s="1">
        <v>40563</v>
      </c>
      <c r="C449">
        <v>1</v>
      </c>
      <c r="D449">
        <v>0</v>
      </c>
      <c r="E449">
        <v>1</v>
      </c>
      <c r="F449">
        <v>16</v>
      </c>
      <c r="G449" t="b">
        <v>0</v>
      </c>
      <c r="H449">
        <v>4</v>
      </c>
      <c r="I449">
        <v>2</v>
      </c>
      <c r="J449">
        <v>0.3</v>
      </c>
    </row>
    <row r="450" spans="1:10" x14ac:dyDescent="0.3">
      <c r="A450">
        <v>449</v>
      </c>
      <c r="B450" s="1">
        <v>40563</v>
      </c>
      <c r="C450">
        <v>1</v>
      </c>
      <c r="D450">
        <v>0</v>
      </c>
      <c r="E450">
        <v>1</v>
      </c>
      <c r="F450">
        <v>17</v>
      </c>
      <c r="G450" t="b">
        <v>0</v>
      </c>
      <c r="H450">
        <v>4</v>
      </c>
      <c r="I450">
        <v>2</v>
      </c>
      <c r="J450">
        <v>0.3</v>
      </c>
    </row>
    <row r="451" spans="1:10" x14ac:dyDescent="0.3">
      <c r="A451">
        <v>450</v>
      </c>
      <c r="B451" s="1">
        <v>40563</v>
      </c>
      <c r="C451">
        <v>1</v>
      </c>
      <c r="D451">
        <v>0</v>
      </c>
      <c r="E451">
        <v>1</v>
      </c>
      <c r="F451">
        <v>18</v>
      </c>
      <c r="G451" t="b">
        <v>0</v>
      </c>
      <c r="H451">
        <v>4</v>
      </c>
      <c r="I451">
        <v>2</v>
      </c>
      <c r="J451">
        <v>0.26</v>
      </c>
    </row>
    <row r="452" spans="1:10" x14ac:dyDescent="0.3">
      <c r="A452">
        <v>451</v>
      </c>
      <c r="B452" s="1">
        <v>40563</v>
      </c>
      <c r="C452">
        <v>1</v>
      </c>
      <c r="D452">
        <v>0</v>
      </c>
      <c r="E452">
        <v>1</v>
      </c>
      <c r="F452">
        <v>19</v>
      </c>
      <c r="G452" t="b">
        <v>0</v>
      </c>
      <c r="H452">
        <v>4</v>
      </c>
      <c r="I452">
        <v>1</v>
      </c>
      <c r="J452">
        <v>0.26</v>
      </c>
    </row>
    <row r="453" spans="1:10" x14ac:dyDescent="0.3">
      <c r="A453">
        <v>452</v>
      </c>
      <c r="B453" s="1">
        <v>40563</v>
      </c>
      <c r="C453">
        <v>1</v>
      </c>
      <c r="D453">
        <v>0</v>
      </c>
      <c r="E453">
        <v>1</v>
      </c>
      <c r="F453">
        <v>20</v>
      </c>
      <c r="G453" t="b">
        <v>0</v>
      </c>
      <c r="H453">
        <v>4</v>
      </c>
      <c r="I453">
        <v>2</v>
      </c>
      <c r="J453">
        <v>0.26</v>
      </c>
    </row>
    <row r="454" spans="1:10" x14ac:dyDescent="0.3">
      <c r="A454">
        <v>453</v>
      </c>
      <c r="B454" s="1">
        <v>40563</v>
      </c>
      <c r="C454">
        <v>1</v>
      </c>
      <c r="D454">
        <v>0</v>
      </c>
      <c r="E454">
        <v>1</v>
      </c>
      <c r="F454">
        <v>21</v>
      </c>
      <c r="G454" t="b">
        <v>0</v>
      </c>
      <c r="H454">
        <v>4</v>
      </c>
      <c r="I454">
        <v>2</v>
      </c>
      <c r="J454">
        <v>0.24</v>
      </c>
    </row>
    <row r="455" spans="1:10" x14ac:dyDescent="0.3">
      <c r="A455">
        <v>454</v>
      </c>
      <c r="B455" s="1">
        <v>40563</v>
      </c>
      <c r="C455">
        <v>1</v>
      </c>
      <c r="D455">
        <v>0</v>
      </c>
      <c r="E455">
        <v>1</v>
      </c>
      <c r="F455">
        <v>22</v>
      </c>
      <c r="G455" t="b">
        <v>0</v>
      </c>
      <c r="H455">
        <v>4</v>
      </c>
      <c r="I455">
        <v>2</v>
      </c>
      <c r="J455">
        <v>0.24</v>
      </c>
    </row>
    <row r="456" spans="1:10" x14ac:dyDescent="0.3">
      <c r="A456">
        <v>455</v>
      </c>
      <c r="B456" s="1">
        <v>40563</v>
      </c>
      <c r="C456">
        <v>1</v>
      </c>
      <c r="D456">
        <v>0</v>
      </c>
      <c r="E456">
        <v>1</v>
      </c>
      <c r="F456">
        <v>23</v>
      </c>
      <c r="G456" t="b">
        <v>0</v>
      </c>
      <c r="H456">
        <v>4</v>
      </c>
      <c r="I456">
        <v>2</v>
      </c>
      <c r="J456">
        <v>0.24</v>
      </c>
    </row>
    <row r="457" spans="1:10" x14ac:dyDescent="0.3">
      <c r="A457">
        <v>456</v>
      </c>
      <c r="B457" s="1">
        <v>40564</v>
      </c>
      <c r="C457">
        <v>1</v>
      </c>
      <c r="D457">
        <v>0</v>
      </c>
      <c r="E457">
        <v>1</v>
      </c>
      <c r="F457">
        <v>0</v>
      </c>
      <c r="G457" t="b">
        <v>0</v>
      </c>
      <c r="H457">
        <v>5</v>
      </c>
      <c r="I457">
        <v>2</v>
      </c>
      <c r="J457">
        <v>0.24</v>
      </c>
    </row>
    <row r="458" spans="1:10" x14ac:dyDescent="0.3">
      <c r="A458">
        <v>457</v>
      </c>
      <c r="B458" s="1">
        <v>40564</v>
      </c>
      <c r="C458">
        <v>1</v>
      </c>
      <c r="D458">
        <v>0</v>
      </c>
      <c r="E458">
        <v>1</v>
      </c>
      <c r="F458">
        <v>1</v>
      </c>
      <c r="G458" t="b">
        <v>0</v>
      </c>
      <c r="H458">
        <v>5</v>
      </c>
      <c r="I458">
        <v>2</v>
      </c>
      <c r="J458">
        <v>0.24</v>
      </c>
    </row>
    <row r="459" spans="1:10" x14ac:dyDescent="0.3">
      <c r="A459">
        <v>458</v>
      </c>
      <c r="B459" s="1">
        <v>40564</v>
      </c>
      <c r="C459">
        <v>1</v>
      </c>
      <c r="D459">
        <v>0</v>
      </c>
      <c r="E459">
        <v>1</v>
      </c>
      <c r="F459">
        <v>2</v>
      </c>
      <c r="G459" t="b">
        <v>0</v>
      </c>
      <c r="H459">
        <v>5</v>
      </c>
      <c r="I459">
        <v>3</v>
      </c>
      <c r="J459">
        <v>0.24</v>
      </c>
    </row>
    <row r="460" spans="1:10" x14ac:dyDescent="0.3">
      <c r="A460">
        <v>459</v>
      </c>
      <c r="B460" s="1">
        <v>40564</v>
      </c>
      <c r="C460">
        <v>1</v>
      </c>
      <c r="D460">
        <v>0</v>
      </c>
      <c r="E460">
        <v>1</v>
      </c>
      <c r="F460">
        <v>3</v>
      </c>
      <c r="G460" t="b">
        <v>0</v>
      </c>
      <c r="H460">
        <v>5</v>
      </c>
      <c r="I460">
        <v>3</v>
      </c>
      <c r="J460">
        <v>0.22</v>
      </c>
    </row>
    <row r="461" spans="1:10" x14ac:dyDescent="0.3">
      <c r="A461">
        <v>460</v>
      </c>
      <c r="B461" s="1">
        <v>40564</v>
      </c>
      <c r="C461">
        <v>1</v>
      </c>
      <c r="D461">
        <v>0</v>
      </c>
      <c r="E461">
        <v>1</v>
      </c>
      <c r="F461">
        <v>4</v>
      </c>
      <c r="G461" t="b">
        <v>0</v>
      </c>
      <c r="H461">
        <v>5</v>
      </c>
      <c r="I461">
        <v>2</v>
      </c>
      <c r="J461">
        <v>0.22</v>
      </c>
    </row>
    <row r="462" spans="1:10" x14ac:dyDescent="0.3">
      <c r="A462">
        <v>461</v>
      </c>
      <c r="B462" s="1">
        <v>40564</v>
      </c>
      <c r="C462">
        <v>1</v>
      </c>
      <c r="D462">
        <v>0</v>
      </c>
      <c r="E462">
        <v>1</v>
      </c>
      <c r="F462">
        <v>5</v>
      </c>
      <c r="G462" t="b">
        <v>0</v>
      </c>
      <c r="H462">
        <v>5</v>
      </c>
      <c r="I462">
        <v>1</v>
      </c>
      <c r="J462">
        <v>0.24</v>
      </c>
    </row>
    <row r="463" spans="1:10" x14ac:dyDescent="0.3">
      <c r="A463">
        <v>462</v>
      </c>
      <c r="B463" s="1">
        <v>40564</v>
      </c>
      <c r="C463">
        <v>1</v>
      </c>
      <c r="D463">
        <v>0</v>
      </c>
      <c r="E463">
        <v>1</v>
      </c>
      <c r="F463">
        <v>6</v>
      </c>
      <c r="G463" t="b">
        <v>0</v>
      </c>
      <c r="H463">
        <v>5</v>
      </c>
      <c r="I463">
        <v>1</v>
      </c>
      <c r="J463">
        <v>0.22</v>
      </c>
    </row>
    <row r="464" spans="1:10" x14ac:dyDescent="0.3">
      <c r="A464">
        <v>463</v>
      </c>
      <c r="B464" s="1">
        <v>40564</v>
      </c>
      <c r="C464">
        <v>1</v>
      </c>
      <c r="D464">
        <v>0</v>
      </c>
      <c r="E464">
        <v>1</v>
      </c>
      <c r="F464">
        <v>7</v>
      </c>
      <c r="G464" t="b">
        <v>0</v>
      </c>
      <c r="H464">
        <v>5</v>
      </c>
      <c r="I464">
        <v>1</v>
      </c>
      <c r="J464">
        <v>0.2</v>
      </c>
    </row>
    <row r="465" spans="1:10" x14ac:dyDescent="0.3">
      <c r="A465">
        <v>464</v>
      </c>
      <c r="B465" s="1">
        <v>40564</v>
      </c>
      <c r="C465">
        <v>1</v>
      </c>
      <c r="D465">
        <v>0</v>
      </c>
      <c r="E465">
        <v>1</v>
      </c>
      <c r="F465">
        <v>8</v>
      </c>
      <c r="G465" t="b">
        <v>0</v>
      </c>
      <c r="H465">
        <v>5</v>
      </c>
      <c r="I465">
        <v>1</v>
      </c>
      <c r="J465">
        <v>0.2</v>
      </c>
    </row>
    <row r="466" spans="1:10" x14ac:dyDescent="0.3">
      <c r="A466">
        <v>465</v>
      </c>
      <c r="B466" s="1">
        <v>40564</v>
      </c>
      <c r="C466">
        <v>1</v>
      </c>
      <c r="D466">
        <v>0</v>
      </c>
      <c r="E466">
        <v>1</v>
      </c>
      <c r="F466">
        <v>9</v>
      </c>
      <c r="G466" t="b">
        <v>0</v>
      </c>
      <c r="H466">
        <v>5</v>
      </c>
      <c r="I466">
        <v>1</v>
      </c>
      <c r="J466">
        <v>0.2</v>
      </c>
    </row>
    <row r="467" spans="1:10" x14ac:dyDescent="0.3">
      <c r="A467">
        <v>466</v>
      </c>
      <c r="B467" s="1">
        <v>40564</v>
      </c>
      <c r="C467">
        <v>1</v>
      </c>
      <c r="D467">
        <v>0</v>
      </c>
      <c r="E467">
        <v>1</v>
      </c>
      <c r="F467">
        <v>10</v>
      </c>
      <c r="G467" t="b">
        <v>0</v>
      </c>
      <c r="H467">
        <v>5</v>
      </c>
      <c r="I467">
        <v>1</v>
      </c>
      <c r="J467">
        <v>0.2</v>
      </c>
    </row>
    <row r="468" spans="1:10" x14ac:dyDescent="0.3">
      <c r="A468">
        <v>467</v>
      </c>
      <c r="B468" s="1">
        <v>40564</v>
      </c>
      <c r="C468">
        <v>1</v>
      </c>
      <c r="D468">
        <v>0</v>
      </c>
      <c r="E468">
        <v>1</v>
      </c>
      <c r="F468">
        <v>11</v>
      </c>
      <c r="G468" t="b">
        <v>0</v>
      </c>
      <c r="H468">
        <v>5</v>
      </c>
      <c r="I468">
        <v>1</v>
      </c>
      <c r="J468">
        <v>0.22</v>
      </c>
    </row>
    <row r="469" spans="1:10" x14ac:dyDescent="0.3">
      <c r="A469">
        <v>468</v>
      </c>
      <c r="B469" s="1">
        <v>40564</v>
      </c>
      <c r="C469">
        <v>1</v>
      </c>
      <c r="D469">
        <v>0</v>
      </c>
      <c r="E469">
        <v>1</v>
      </c>
      <c r="F469">
        <v>12</v>
      </c>
      <c r="G469" t="b">
        <v>0</v>
      </c>
      <c r="H469">
        <v>5</v>
      </c>
      <c r="I469">
        <v>1</v>
      </c>
      <c r="J469">
        <v>0.22</v>
      </c>
    </row>
    <row r="470" spans="1:10" x14ac:dyDescent="0.3">
      <c r="A470">
        <v>469</v>
      </c>
      <c r="B470" s="1">
        <v>40564</v>
      </c>
      <c r="C470">
        <v>1</v>
      </c>
      <c r="D470">
        <v>0</v>
      </c>
      <c r="E470">
        <v>1</v>
      </c>
      <c r="F470">
        <v>13</v>
      </c>
      <c r="G470" t="b">
        <v>0</v>
      </c>
      <c r="H470">
        <v>5</v>
      </c>
      <c r="I470">
        <v>1</v>
      </c>
      <c r="J470">
        <v>0.2</v>
      </c>
    </row>
    <row r="471" spans="1:10" x14ac:dyDescent="0.3">
      <c r="A471">
        <v>470</v>
      </c>
      <c r="B471" s="1">
        <v>40564</v>
      </c>
      <c r="C471">
        <v>1</v>
      </c>
      <c r="D471">
        <v>0</v>
      </c>
      <c r="E471">
        <v>1</v>
      </c>
      <c r="F471">
        <v>14</v>
      </c>
      <c r="G471" t="b">
        <v>0</v>
      </c>
      <c r="H471">
        <v>5</v>
      </c>
      <c r="I471">
        <v>1</v>
      </c>
      <c r="J471">
        <v>0.2</v>
      </c>
    </row>
    <row r="472" spans="1:10" x14ac:dyDescent="0.3">
      <c r="A472">
        <v>471</v>
      </c>
      <c r="B472" s="1">
        <v>40564</v>
      </c>
      <c r="C472">
        <v>1</v>
      </c>
      <c r="D472">
        <v>0</v>
      </c>
      <c r="E472">
        <v>1</v>
      </c>
      <c r="F472">
        <v>15</v>
      </c>
      <c r="G472" t="b">
        <v>0</v>
      </c>
      <c r="H472">
        <v>5</v>
      </c>
      <c r="I472">
        <v>1</v>
      </c>
      <c r="J472">
        <v>0.16</v>
      </c>
    </row>
    <row r="473" spans="1:10" x14ac:dyDescent="0.3">
      <c r="A473">
        <v>472</v>
      </c>
      <c r="B473" s="1">
        <v>40564</v>
      </c>
      <c r="C473">
        <v>1</v>
      </c>
      <c r="D473">
        <v>0</v>
      </c>
      <c r="E473">
        <v>1</v>
      </c>
      <c r="F473">
        <v>16</v>
      </c>
      <c r="G473" t="b">
        <v>0</v>
      </c>
      <c r="H473">
        <v>5</v>
      </c>
      <c r="I473">
        <v>1</v>
      </c>
      <c r="J473">
        <v>0.16</v>
      </c>
    </row>
    <row r="474" spans="1:10" x14ac:dyDescent="0.3">
      <c r="A474">
        <v>473</v>
      </c>
      <c r="B474" s="1">
        <v>40564</v>
      </c>
      <c r="C474">
        <v>1</v>
      </c>
      <c r="D474">
        <v>0</v>
      </c>
      <c r="E474">
        <v>1</v>
      </c>
      <c r="F474">
        <v>17</v>
      </c>
      <c r="G474" t="b">
        <v>0</v>
      </c>
      <c r="H474">
        <v>5</v>
      </c>
      <c r="I474">
        <v>1</v>
      </c>
      <c r="J474">
        <v>0.14000000000000001</v>
      </c>
    </row>
    <row r="475" spans="1:10" x14ac:dyDescent="0.3">
      <c r="A475">
        <v>474</v>
      </c>
      <c r="B475" s="1">
        <v>40564</v>
      </c>
      <c r="C475">
        <v>1</v>
      </c>
      <c r="D475">
        <v>0</v>
      </c>
      <c r="E475">
        <v>1</v>
      </c>
      <c r="F475">
        <v>18</v>
      </c>
      <c r="G475" t="b">
        <v>0</v>
      </c>
      <c r="H475">
        <v>5</v>
      </c>
      <c r="I475">
        <v>1</v>
      </c>
      <c r="J475">
        <v>0.12</v>
      </c>
    </row>
    <row r="476" spans="1:10" x14ac:dyDescent="0.3">
      <c r="A476">
        <v>475</v>
      </c>
      <c r="B476" s="1">
        <v>40564</v>
      </c>
      <c r="C476">
        <v>1</v>
      </c>
      <c r="D476">
        <v>0</v>
      </c>
      <c r="E476">
        <v>1</v>
      </c>
      <c r="F476">
        <v>19</v>
      </c>
      <c r="G476" t="b">
        <v>0</v>
      </c>
      <c r="H476">
        <v>5</v>
      </c>
      <c r="I476">
        <v>1</v>
      </c>
      <c r="J476">
        <v>0.12</v>
      </c>
    </row>
    <row r="477" spans="1:10" x14ac:dyDescent="0.3">
      <c r="A477">
        <v>476</v>
      </c>
      <c r="B477" s="1">
        <v>40564</v>
      </c>
      <c r="C477">
        <v>1</v>
      </c>
      <c r="D477">
        <v>0</v>
      </c>
      <c r="E477">
        <v>1</v>
      </c>
      <c r="F477">
        <v>20</v>
      </c>
      <c r="G477" t="b">
        <v>0</v>
      </c>
      <c r="H477">
        <v>5</v>
      </c>
      <c r="I477">
        <v>1</v>
      </c>
      <c r="J477">
        <v>0.1</v>
      </c>
    </row>
    <row r="478" spans="1:10" x14ac:dyDescent="0.3">
      <c r="A478">
        <v>477</v>
      </c>
      <c r="B478" s="1">
        <v>40564</v>
      </c>
      <c r="C478">
        <v>1</v>
      </c>
      <c r="D478">
        <v>0</v>
      </c>
      <c r="E478">
        <v>1</v>
      </c>
      <c r="F478">
        <v>21</v>
      </c>
      <c r="G478" t="b">
        <v>0</v>
      </c>
      <c r="H478">
        <v>5</v>
      </c>
      <c r="I478">
        <v>1</v>
      </c>
      <c r="J478">
        <v>0.08</v>
      </c>
    </row>
    <row r="479" spans="1:10" x14ac:dyDescent="0.3">
      <c r="A479">
        <v>478</v>
      </c>
      <c r="B479" s="1">
        <v>40564</v>
      </c>
      <c r="C479">
        <v>1</v>
      </c>
      <c r="D479">
        <v>0</v>
      </c>
      <c r="E479">
        <v>1</v>
      </c>
      <c r="F479">
        <v>22</v>
      </c>
      <c r="G479" t="b">
        <v>0</v>
      </c>
      <c r="H479">
        <v>5</v>
      </c>
      <c r="I479">
        <v>1</v>
      </c>
      <c r="J479">
        <v>0.06</v>
      </c>
    </row>
    <row r="480" spans="1:10" x14ac:dyDescent="0.3">
      <c r="A480">
        <v>479</v>
      </c>
      <c r="B480" s="1">
        <v>40564</v>
      </c>
      <c r="C480">
        <v>1</v>
      </c>
      <c r="D480">
        <v>0</v>
      </c>
      <c r="E480">
        <v>1</v>
      </c>
      <c r="F480">
        <v>23</v>
      </c>
      <c r="G480" t="b">
        <v>0</v>
      </c>
      <c r="H480">
        <v>5</v>
      </c>
      <c r="I480">
        <v>1</v>
      </c>
      <c r="J480">
        <v>0.06</v>
      </c>
    </row>
    <row r="481" spans="1:10" x14ac:dyDescent="0.3">
      <c r="A481">
        <v>480</v>
      </c>
      <c r="B481" s="1">
        <v>40565</v>
      </c>
      <c r="C481">
        <v>1</v>
      </c>
      <c r="D481">
        <v>0</v>
      </c>
      <c r="E481">
        <v>1</v>
      </c>
      <c r="F481">
        <v>0</v>
      </c>
      <c r="G481" t="b">
        <v>0</v>
      </c>
      <c r="H481">
        <v>6</v>
      </c>
      <c r="I481">
        <v>1</v>
      </c>
      <c r="J481">
        <v>0.04</v>
      </c>
    </row>
    <row r="482" spans="1:10" x14ac:dyDescent="0.3">
      <c r="A482">
        <v>481</v>
      </c>
      <c r="B482" s="1">
        <v>40565</v>
      </c>
      <c r="C482">
        <v>1</v>
      </c>
      <c r="D482">
        <v>0</v>
      </c>
      <c r="E482">
        <v>1</v>
      </c>
      <c r="F482">
        <v>1</v>
      </c>
      <c r="G482" t="b">
        <v>0</v>
      </c>
      <c r="H482">
        <v>6</v>
      </c>
      <c r="I482">
        <v>2</v>
      </c>
      <c r="J482">
        <v>0.04</v>
      </c>
    </row>
    <row r="483" spans="1:10" x14ac:dyDescent="0.3">
      <c r="A483">
        <v>482</v>
      </c>
      <c r="B483" s="1">
        <v>40565</v>
      </c>
      <c r="C483">
        <v>1</v>
      </c>
      <c r="D483">
        <v>0</v>
      </c>
      <c r="E483">
        <v>1</v>
      </c>
      <c r="F483">
        <v>2</v>
      </c>
      <c r="G483" t="b">
        <v>0</v>
      </c>
      <c r="H483">
        <v>6</v>
      </c>
      <c r="I483">
        <v>2</v>
      </c>
      <c r="J483">
        <v>0.04</v>
      </c>
    </row>
    <row r="484" spans="1:10" x14ac:dyDescent="0.3">
      <c r="A484">
        <v>483</v>
      </c>
      <c r="B484" s="1">
        <v>40565</v>
      </c>
      <c r="C484">
        <v>1</v>
      </c>
      <c r="D484">
        <v>0</v>
      </c>
      <c r="E484">
        <v>1</v>
      </c>
      <c r="F484">
        <v>3</v>
      </c>
      <c r="G484" t="b">
        <v>0</v>
      </c>
      <c r="H484">
        <v>6</v>
      </c>
      <c r="I484">
        <v>2</v>
      </c>
      <c r="J484">
        <v>0.04</v>
      </c>
    </row>
    <row r="485" spans="1:10" x14ac:dyDescent="0.3">
      <c r="A485">
        <v>484</v>
      </c>
      <c r="B485" s="1">
        <v>40565</v>
      </c>
      <c r="C485">
        <v>1</v>
      </c>
      <c r="D485">
        <v>0</v>
      </c>
      <c r="E485">
        <v>1</v>
      </c>
      <c r="F485">
        <v>4</v>
      </c>
      <c r="G485" t="b">
        <v>0</v>
      </c>
      <c r="H485">
        <v>6</v>
      </c>
      <c r="I485">
        <v>2</v>
      </c>
      <c r="J485">
        <v>0.02</v>
      </c>
    </row>
    <row r="486" spans="1:10" x14ac:dyDescent="0.3">
      <c r="A486">
        <v>485</v>
      </c>
      <c r="B486" s="1">
        <v>40565</v>
      </c>
      <c r="C486">
        <v>1</v>
      </c>
      <c r="D486">
        <v>0</v>
      </c>
      <c r="E486">
        <v>1</v>
      </c>
      <c r="F486">
        <v>6</v>
      </c>
      <c r="G486" t="b">
        <v>0</v>
      </c>
      <c r="H486">
        <v>6</v>
      </c>
      <c r="I486">
        <v>2</v>
      </c>
      <c r="J486">
        <v>0.02</v>
      </c>
    </row>
    <row r="487" spans="1:10" x14ac:dyDescent="0.3">
      <c r="A487">
        <v>486</v>
      </c>
      <c r="B487" s="1">
        <v>40565</v>
      </c>
      <c r="C487">
        <v>1</v>
      </c>
      <c r="D487">
        <v>0</v>
      </c>
      <c r="E487">
        <v>1</v>
      </c>
      <c r="F487">
        <v>7</v>
      </c>
      <c r="G487" t="b">
        <v>0</v>
      </c>
      <c r="H487">
        <v>6</v>
      </c>
      <c r="I487">
        <v>1</v>
      </c>
      <c r="J487">
        <v>0.02</v>
      </c>
    </row>
    <row r="488" spans="1:10" x14ac:dyDescent="0.3">
      <c r="A488">
        <v>487</v>
      </c>
      <c r="B488" s="1">
        <v>40565</v>
      </c>
      <c r="C488">
        <v>1</v>
      </c>
      <c r="D488">
        <v>0</v>
      </c>
      <c r="E488">
        <v>1</v>
      </c>
      <c r="F488">
        <v>8</v>
      </c>
      <c r="G488" t="b">
        <v>0</v>
      </c>
      <c r="H488">
        <v>6</v>
      </c>
      <c r="I488">
        <v>1</v>
      </c>
      <c r="J488">
        <v>0.02</v>
      </c>
    </row>
    <row r="489" spans="1:10" x14ac:dyDescent="0.3">
      <c r="A489">
        <v>488</v>
      </c>
      <c r="B489" s="1">
        <v>40565</v>
      </c>
      <c r="C489">
        <v>1</v>
      </c>
      <c r="D489">
        <v>0</v>
      </c>
      <c r="E489">
        <v>1</v>
      </c>
      <c r="F489">
        <v>9</v>
      </c>
      <c r="G489" t="b">
        <v>0</v>
      </c>
      <c r="H489">
        <v>6</v>
      </c>
      <c r="I489">
        <v>1</v>
      </c>
      <c r="J489">
        <v>0.04</v>
      </c>
    </row>
    <row r="490" spans="1:10" x14ac:dyDescent="0.3">
      <c r="A490">
        <v>489</v>
      </c>
      <c r="B490" s="1">
        <v>40565</v>
      </c>
      <c r="C490">
        <v>1</v>
      </c>
      <c r="D490">
        <v>0</v>
      </c>
      <c r="E490">
        <v>1</v>
      </c>
      <c r="F490">
        <v>10</v>
      </c>
      <c r="G490" t="b">
        <v>0</v>
      </c>
      <c r="H490">
        <v>6</v>
      </c>
      <c r="I490">
        <v>2</v>
      </c>
      <c r="J490">
        <v>0.04</v>
      </c>
    </row>
    <row r="491" spans="1:10" x14ac:dyDescent="0.3">
      <c r="A491">
        <v>490</v>
      </c>
      <c r="B491" s="1">
        <v>40565</v>
      </c>
      <c r="C491">
        <v>1</v>
      </c>
      <c r="D491">
        <v>0</v>
      </c>
      <c r="E491">
        <v>1</v>
      </c>
      <c r="F491">
        <v>11</v>
      </c>
      <c r="G491" t="b">
        <v>0</v>
      </c>
      <c r="H491">
        <v>6</v>
      </c>
      <c r="I491">
        <v>2</v>
      </c>
      <c r="J491">
        <v>0.06</v>
      </c>
    </row>
    <row r="492" spans="1:10" x14ac:dyDescent="0.3">
      <c r="A492">
        <v>491</v>
      </c>
      <c r="B492" s="1">
        <v>40565</v>
      </c>
      <c r="C492">
        <v>1</v>
      </c>
      <c r="D492">
        <v>0</v>
      </c>
      <c r="E492">
        <v>1</v>
      </c>
      <c r="F492">
        <v>12</v>
      </c>
      <c r="G492" t="b">
        <v>0</v>
      </c>
      <c r="H492">
        <v>6</v>
      </c>
      <c r="I492">
        <v>2</v>
      </c>
      <c r="J492">
        <v>0.06</v>
      </c>
    </row>
    <row r="493" spans="1:10" x14ac:dyDescent="0.3">
      <c r="A493">
        <v>492</v>
      </c>
      <c r="B493" s="1">
        <v>40565</v>
      </c>
      <c r="C493">
        <v>1</v>
      </c>
      <c r="D493">
        <v>0</v>
      </c>
      <c r="E493">
        <v>1</v>
      </c>
      <c r="F493">
        <v>13</v>
      </c>
      <c r="G493" t="b">
        <v>0</v>
      </c>
      <c r="H493">
        <v>6</v>
      </c>
      <c r="I493">
        <v>1</v>
      </c>
      <c r="J493">
        <v>0.08</v>
      </c>
    </row>
    <row r="494" spans="1:10" x14ac:dyDescent="0.3">
      <c r="A494">
        <v>493</v>
      </c>
      <c r="B494" s="1">
        <v>40565</v>
      </c>
      <c r="C494">
        <v>1</v>
      </c>
      <c r="D494">
        <v>0</v>
      </c>
      <c r="E494">
        <v>1</v>
      </c>
      <c r="F494">
        <v>14</v>
      </c>
      <c r="G494" t="b">
        <v>0</v>
      </c>
      <c r="H494">
        <v>6</v>
      </c>
      <c r="I494">
        <v>1</v>
      </c>
      <c r="J494">
        <v>0.1</v>
      </c>
    </row>
    <row r="495" spans="1:10" x14ac:dyDescent="0.3">
      <c r="A495">
        <v>494</v>
      </c>
      <c r="B495" s="1">
        <v>40565</v>
      </c>
      <c r="C495">
        <v>1</v>
      </c>
      <c r="D495">
        <v>0</v>
      </c>
      <c r="E495">
        <v>1</v>
      </c>
      <c r="F495">
        <v>15</v>
      </c>
      <c r="G495" t="b">
        <v>0</v>
      </c>
      <c r="H495">
        <v>6</v>
      </c>
      <c r="I495">
        <v>1</v>
      </c>
      <c r="J495">
        <v>0.12</v>
      </c>
    </row>
    <row r="496" spans="1:10" x14ac:dyDescent="0.3">
      <c r="A496">
        <v>495</v>
      </c>
      <c r="B496" s="1">
        <v>40565</v>
      </c>
      <c r="C496">
        <v>1</v>
      </c>
      <c r="D496">
        <v>0</v>
      </c>
      <c r="E496">
        <v>1</v>
      </c>
      <c r="F496">
        <v>16</v>
      </c>
      <c r="G496" t="b">
        <v>0</v>
      </c>
      <c r="H496">
        <v>6</v>
      </c>
      <c r="I496">
        <v>1</v>
      </c>
      <c r="J496">
        <v>0.12</v>
      </c>
    </row>
    <row r="497" spans="1:10" x14ac:dyDescent="0.3">
      <c r="A497">
        <v>496</v>
      </c>
      <c r="B497" s="1">
        <v>40565</v>
      </c>
      <c r="C497">
        <v>1</v>
      </c>
      <c r="D497">
        <v>0</v>
      </c>
      <c r="E497">
        <v>1</v>
      </c>
      <c r="F497">
        <v>17</v>
      </c>
      <c r="G497" t="b">
        <v>0</v>
      </c>
      <c r="H497">
        <v>6</v>
      </c>
      <c r="I497">
        <v>1</v>
      </c>
      <c r="J497">
        <v>0.12</v>
      </c>
    </row>
    <row r="498" spans="1:10" x14ac:dyDescent="0.3">
      <c r="A498">
        <v>497</v>
      </c>
      <c r="B498" s="1">
        <v>40565</v>
      </c>
      <c r="C498">
        <v>1</v>
      </c>
      <c r="D498">
        <v>0</v>
      </c>
      <c r="E498">
        <v>1</v>
      </c>
      <c r="F498">
        <v>18</v>
      </c>
      <c r="G498" t="b">
        <v>0</v>
      </c>
      <c r="H498">
        <v>6</v>
      </c>
      <c r="I498">
        <v>1</v>
      </c>
      <c r="J498">
        <v>0.08</v>
      </c>
    </row>
    <row r="499" spans="1:10" x14ac:dyDescent="0.3">
      <c r="A499">
        <v>498</v>
      </c>
      <c r="B499" s="1">
        <v>40565</v>
      </c>
      <c r="C499">
        <v>1</v>
      </c>
      <c r="D499">
        <v>0</v>
      </c>
      <c r="E499">
        <v>1</v>
      </c>
      <c r="F499">
        <v>19</v>
      </c>
      <c r="G499" t="b">
        <v>0</v>
      </c>
      <c r="H499">
        <v>6</v>
      </c>
      <c r="I499">
        <v>1</v>
      </c>
      <c r="J499">
        <v>0.08</v>
      </c>
    </row>
    <row r="500" spans="1:10" x14ac:dyDescent="0.3">
      <c r="A500">
        <v>499</v>
      </c>
      <c r="B500" s="1">
        <v>40565</v>
      </c>
      <c r="C500">
        <v>1</v>
      </c>
      <c r="D500">
        <v>0</v>
      </c>
      <c r="E500">
        <v>1</v>
      </c>
      <c r="F500">
        <v>20</v>
      </c>
      <c r="G500" t="b">
        <v>0</v>
      </c>
      <c r="H500">
        <v>6</v>
      </c>
      <c r="I500">
        <v>1</v>
      </c>
      <c r="J500">
        <v>0.06</v>
      </c>
    </row>
    <row r="501" spans="1:10" x14ac:dyDescent="0.3">
      <c r="A501">
        <v>500</v>
      </c>
      <c r="B501" s="1">
        <v>40565</v>
      </c>
      <c r="C501">
        <v>1</v>
      </c>
      <c r="D501">
        <v>0</v>
      </c>
      <c r="E501">
        <v>1</v>
      </c>
      <c r="F501">
        <v>21</v>
      </c>
      <c r="G501" t="b">
        <v>0</v>
      </c>
      <c r="H501">
        <v>6</v>
      </c>
      <c r="I501">
        <v>1</v>
      </c>
      <c r="J501">
        <v>0.06</v>
      </c>
    </row>
    <row r="502" spans="1:10" x14ac:dyDescent="0.3">
      <c r="A502">
        <v>501</v>
      </c>
      <c r="B502" s="1">
        <v>40565</v>
      </c>
      <c r="C502">
        <v>1</v>
      </c>
      <c r="D502">
        <v>0</v>
      </c>
      <c r="E502">
        <v>1</v>
      </c>
      <c r="F502">
        <v>22</v>
      </c>
      <c r="G502" t="b">
        <v>0</v>
      </c>
      <c r="H502">
        <v>6</v>
      </c>
      <c r="I502">
        <v>1</v>
      </c>
      <c r="J502">
        <v>0.06</v>
      </c>
    </row>
    <row r="503" spans="1:10" x14ac:dyDescent="0.3">
      <c r="A503">
        <v>502</v>
      </c>
      <c r="B503" s="1">
        <v>40565</v>
      </c>
      <c r="C503">
        <v>1</v>
      </c>
      <c r="D503">
        <v>0</v>
      </c>
      <c r="E503">
        <v>1</v>
      </c>
      <c r="F503">
        <v>23</v>
      </c>
      <c r="G503" t="b">
        <v>0</v>
      </c>
      <c r="H503">
        <v>6</v>
      </c>
      <c r="I503">
        <v>1</v>
      </c>
      <c r="J503">
        <v>0.04</v>
      </c>
    </row>
    <row r="504" spans="1:10" x14ac:dyDescent="0.3">
      <c r="A504">
        <v>503</v>
      </c>
      <c r="B504" s="1">
        <v>40566</v>
      </c>
      <c r="C504">
        <v>1</v>
      </c>
      <c r="D504">
        <v>0</v>
      </c>
      <c r="E504">
        <v>1</v>
      </c>
      <c r="F504">
        <v>0</v>
      </c>
      <c r="G504" t="b">
        <v>0</v>
      </c>
      <c r="H504">
        <v>0</v>
      </c>
      <c r="I504">
        <v>1</v>
      </c>
      <c r="J504">
        <v>0.04</v>
      </c>
    </row>
    <row r="505" spans="1:10" x14ac:dyDescent="0.3">
      <c r="A505">
        <v>504</v>
      </c>
      <c r="B505" s="1">
        <v>40566</v>
      </c>
      <c r="C505">
        <v>1</v>
      </c>
      <c r="D505">
        <v>0</v>
      </c>
      <c r="E505">
        <v>1</v>
      </c>
      <c r="F505">
        <v>1</v>
      </c>
      <c r="G505" t="b">
        <v>0</v>
      </c>
      <c r="H505">
        <v>0</v>
      </c>
      <c r="I505">
        <v>1</v>
      </c>
      <c r="J505">
        <v>0.04</v>
      </c>
    </row>
    <row r="506" spans="1:10" x14ac:dyDescent="0.3">
      <c r="A506">
        <v>505</v>
      </c>
      <c r="B506" s="1">
        <v>40566</v>
      </c>
      <c r="C506">
        <v>1</v>
      </c>
      <c r="D506">
        <v>0</v>
      </c>
      <c r="E506">
        <v>1</v>
      </c>
      <c r="F506">
        <v>2</v>
      </c>
      <c r="G506" t="b">
        <v>0</v>
      </c>
      <c r="H506">
        <v>0</v>
      </c>
      <c r="I506">
        <v>1</v>
      </c>
      <c r="J506">
        <v>0.02</v>
      </c>
    </row>
    <row r="507" spans="1:10" x14ac:dyDescent="0.3">
      <c r="A507">
        <v>506</v>
      </c>
      <c r="B507" s="1">
        <v>40566</v>
      </c>
      <c r="C507">
        <v>1</v>
      </c>
      <c r="D507">
        <v>0</v>
      </c>
      <c r="E507">
        <v>1</v>
      </c>
      <c r="F507">
        <v>3</v>
      </c>
      <c r="G507" t="b">
        <v>0</v>
      </c>
      <c r="H507">
        <v>0</v>
      </c>
      <c r="I507">
        <v>1</v>
      </c>
      <c r="J507">
        <v>0.02</v>
      </c>
    </row>
    <row r="508" spans="1:10" x14ac:dyDescent="0.3">
      <c r="A508">
        <v>507</v>
      </c>
      <c r="B508" s="1">
        <v>40566</v>
      </c>
      <c r="C508">
        <v>1</v>
      </c>
      <c r="D508">
        <v>0</v>
      </c>
      <c r="E508">
        <v>1</v>
      </c>
      <c r="F508">
        <v>5</v>
      </c>
      <c r="G508" t="b">
        <v>0</v>
      </c>
      <c r="H508">
        <v>0</v>
      </c>
      <c r="I508">
        <v>2</v>
      </c>
      <c r="J508">
        <v>0.04</v>
      </c>
    </row>
    <row r="509" spans="1:10" x14ac:dyDescent="0.3">
      <c r="A509">
        <v>508</v>
      </c>
      <c r="B509" s="1">
        <v>40566</v>
      </c>
      <c r="C509">
        <v>1</v>
      </c>
      <c r="D509">
        <v>0</v>
      </c>
      <c r="E509">
        <v>1</v>
      </c>
      <c r="F509">
        <v>6</v>
      </c>
      <c r="G509" t="b">
        <v>0</v>
      </c>
      <c r="H509">
        <v>0</v>
      </c>
      <c r="I509">
        <v>2</v>
      </c>
      <c r="J509">
        <v>0.04</v>
      </c>
    </row>
    <row r="510" spans="1:10" x14ac:dyDescent="0.3">
      <c r="A510">
        <v>509</v>
      </c>
      <c r="B510" s="1">
        <v>40566</v>
      </c>
      <c r="C510">
        <v>1</v>
      </c>
      <c r="D510">
        <v>0</v>
      </c>
      <c r="E510">
        <v>1</v>
      </c>
      <c r="F510">
        <v>7</v>
      </c>
      <c r="G510" t="b">
        <v>0</v>
      </c>
      <c r="H510">
        <v>0</v>
      </c>
      <c r="I510">
        <v>1</v>
      </c>
      <c r="J510">
        <v>0.08</v>
      </c>
    </row>
    <row r="511" spans="1:10" x14ac:dyDescent="0.3">
      <c r="A511">
        <v>510</v>
      </c>
      <c r="B511" s="1">
        <v>40566</v>
      </c>
      <c r="C511">
        <v>1</v>
      </c>
      <c r="D511">
        <v>0</v>
      </c>
      <c r="E511">
        <v>1</v>
      </c>
      <c r="F511">
        <v>8</v>
      </c>
      <c r="G511" t="b">
        <v>0</v>
      </c>
      <c r="H511">
        <v>0</v>
      </c>
      <c r="I511">
        <v>1</v>
      </c>
      <c r="J511">
        <v>0.06</v>
      </c>
    </row>
    <row r="512" spans="1:10" x14ac:dyDescent="0.3">
      <c r="A512">
        <v>511</v>
      </c>
      <c r="B512" s="1">
        <v>40566</v>
      </c>
      <c r="C512">
        <v>1</v>
      </c>
      <c r="D512">
        <v>0</v>
      </c>
      <c r="E512">
        <v>1</v>
      </c>
      <c r="F512">
        <v>9</v>
      </c>
      <c r="G512" t="b">
        <v>0</v>
      </c>
      <c r="H512">
        <v>0</v>
      </c>
      <c r="I512">
        <v>1</v>
      </c>
      <c r="J512">
        <v>0.1</v>
      </c>
    </row>
    <row r="513" spans="1:10" x14ac:dyDescent="0.3">
      <c r="A513">
        <v>512</v>
      </c>
      <c r="B513" s="1">
        <v>40566</v>
      </c>
      <c r="C513">
        <v>1</v>
      </c>
      <c r="D513">
        <v>0</v>
      </c>
      <c r="E513">
        <v>1</v>
      </c>
      <c r="F513">
        <v>10</v>
      </c>
      <c r="G513" t="b">
        <v>0</v>
      </c>
      <c r="H513">
        <v>0</v>
      </c>
      <c r="I513">
        <v>1</v>
      </c>
      <c r="J513">
        <v>0.14000000000000001</v>
      </c>
    </row>
    <row r="514" spans="1:10" x14ac:dyDescent="0.3">
      <c r="A514">
        <v>513</v>
      </c>
      <c r="B514" s="1">
        <v>40566</v>
      </c>
      <c r="C514">
        <v>1</v>
      </c>
      <c r="D514">
        <v>0</v>
      </c>
      <c r="E514">
        <v>1</v>
      </c>
      <c r="F514">
        <v>11</v>
      </c>
      <c r="G514" t="b">
        <v>0</v>
      </c>
      <c r="H514">
        <v>0</v>
      </c>
      <c r="I514">
        <v>1</v>
      </c>
      <c r="J514">
        <v>0.14000000000000001</v>
      </c>
    </row>
    <row r="515" spans="1:10" x14ac:dyDescent="0.3">
      <c r="A515">
        <v>514</v>
      </c>
      <c r="B515" s="1">
        <v>40566</v>
      </c>
      <c r="C515">
        <v>1</v>
      </c>
      <c r="D515">
        <v>0</v>
      </c>
      <c r="E515">
        <v>1</v>
      </c>
      <c r="F515">
        <v>12</v>
      </c>
      <c r="G515" t="b">
        <v>0</v>
      </c>
      <c r="H515">
        <v>0</v>
      </c>
      <c r="I515">
        <v>1</v>
      </c>
      <c r="J515">
        <v>0.16</v>
      </c>
    </row>
    <row r="516" spans="1:10" x14ac:dyDescent="0.3">
      <c r="A516">
        <v>515</v>
      </c>
      <c r="B516" s="1">
        <v>40566</v>
      </c>
      <c r="C516">
        <v>1</v>
      </c>
      <c r="D516">
        <v>0</v>
      </c>
      <c r="E516">
        <v>1</v>
      </c>
      <c r="F516">
        <v>13</v>
      </c>
      <c r="G516" t="b">
        <v>0</v>
      </c>
      <c r="H516">
        <v>0</v>
      </c>
      <c r="I516">
        <v>1</v>
      </c>
      <c r="J516">
        <v>0.14000000000000001</v>
      </c>
    </row>
    <row r="517" spans="1:10" x14ac:dyDescent="0.3">
      <c r="A517">
        <v>516</v>
      </c>
      <c r="B517" s="1">
        <v>40566</v>
      </c>
      <c r="C517">
        <v>1</v>
      </c>
      <c r="D517">
        <v>0</v>
      </c>
      <c r="E517">
        <v>1</v>
      </c>
      <c r="F517">
        <v>14</v>
      </c>
      <c r="G517" t="b">
        <v>0</v>
      </c>
      <c r="H517">
        <v>0</v>
      </c>
      <c r="I517">
        <v>1</v>
      </c>
      <c r="J517">
        <v>0.16</v>
      </c>
    </row>
    <row r="518" spans="1:10" x14ac:dyDescent="0.3">
      <c r="A518">
        <v>517</v>
      </c>
      <c r="B518" s="1">
        <v>40566</v>
      </c>
      <c r="C518">
        <v>1</v>
      </c>
      <c r="D518">
        <v>0</v>
      </c>
      <c r="E518">
        <v>1</v>
      </c>
      <c r="F518">
        <v>15</v>
      </c>
      <c r="G518" t="b">
        <v>0</v>
      </c>
      <c r="H518">
        <v>0</v>
      </c>
      <c r="I518">
        <v>1</v>
      </c>
      <c r="J518">
        <v>0.16</v>
      </c>
    </row>
    <row r="519" spans="1:10" x14ac:dyDescent="0.3">
      <c r="A519">
        <v>518</v>
      </c>
      <c r="B519" s="1">
        <v>40566</v>
      </c>
      <c r="C519">
        <v>1</v>
      </c>
      <c r="D519">
        <v>0</v>
      </c>
      <c r="E519">
        <v>1</v>
      </c>
      <c r="F519">
        <v>16</v>
      </c>
      <c r="G519" t="b">
        <v>0</v>
      </c>
      <c r="H519">
        <v>0</v>
      </c>
      <c r="I519">
        <v>1</v>
      </c>
      <c r="J519">
        <v>0.16</v>
      </c>
    </row>
    <row r="520" spans="1:10" x14ac:dyDescent="0.3">
      <c r="A520">
        <v>519</v>
      </c>
      <c r="B520" s="1">
        <v>40566</v>
      </c>
      <c r="C520">
        <v>1</v>
      </c>
      <c r="D520">
        <v>0</v>
      </c>
      <c r="E520">
        <v>1</v>
      </c>
      <c r="F520">
        <v>17</v>
      </c>
      <c r="G520" t="b">
        <v>0</v>
      </c>
      <c r="H520">
        <v>0</v>
      </c>
      <c r="I520">
        <v>1</v>
      </c>
      <c r="J520">
        <v>0.14000000000000001</v>
      </c>
    </row>
    <row r="521" spans="1:10" x14ac:dyDescent="0.3">
      <c r="A521">
        <v>520</v>
      </c>
      <c r="B521" s="1">
        <v>40566</v>
      </c>
      <c r="C521">
        <v>1</v>
      </c>
      <c r="D521">
        <v>0</v>
      </c>
      <c r="E521">
        <v>1</v>
      </c>
      <c r="F521">
        <v>18</v>
      </c>
      <c r="G521" t="b">
        <v>0</v>
      </c>
      <c r="H521">
        <v>0</v>
      </c>
      <c r="I521">
        <v>1</v>
      </c>
      <c r="J521">
        <v>0.12</v>
      </c>
    </row>
    <row r="522" spans="1:10" x14ac:dyDescent="0.3">
      <c r="A522">
        <v>521</v>
      </c>
      <c r="B522" s="1">
        <v>40566</v>
      </c>
      <c r="C522">
        <v>1</v>
      </c>
      <c r="D522">
        <v>0</v>
      </c>
      <c r="E522">
        <v>1</v>
      </c>
      <c r="F522">
        <v>19</v>
      </c>
      <c r="G522" t="b">
        <v>0</v>
      </c>
      <c r="H522">
        <v>0</v>
      </c>
      <c r="I522">
        <v>1</v>
      </c>
      <c r="J522">
        <v>0.12</v>
      </c>
    </row>
    <row r="523" spans="1:10" x14ac:dyDescent="0.3">
      <c r="A523">
        <v>522</v>
      </c>
      <c r="B523" s="1">
        <v>40566</v>
      </c>
      <c r="C523">
        <v>1</v>
      </c>
      <c r="D523">
        <v>0</v>
      </c>
      <c r="E523">
        <v>1</v>
      </c>
      <c r="F523">
        <v>20</v>
      </c>
      <c r="G523" t="b">
        <v>0</v>
      </c>
      <c r="H523">
        <v>0</v>
      </c>
      <c r="I523">
        <v>1</v>
      </c>
      <c r="J523">
        <v>0.1</v>
      </c>
    </row>
    <row r="524" spans="1:10" x14ac:dyDescent="0.3">
      <c r="A524">
        <v>523</v>
      </c>
      <c r="B524" s="1">
        <v>40566</v>
      </c>
      <c r="C524">
        <v>1</v>
      </c>
      <c r="D524">
        <v>0</v>
      </c>
      <c r="E524">
        <v>1</v>
      </c>
      <c r="F524">
        <v>21</v>
      </c>
      <c r="G524" t="b">
        <v>0</v>
      </c>
      <c r="H524">
        <v>0</v>
      </c>
      <c r="I524">
        <v>1</v>
      </c>
      <c r="J524">
        <v>0.1</v>
      </c>
    </row>
    <row r="525" spans="1:10" x14ac:dyDescent="0.3">
      <c r="A525">
        <v>524</v>
      </c>
      <c r="B525" s="1">
        <v>40566</v>
      </c>
      <c r="C525">
        <v>1</v>
      </c>
      <c r="D525">
        <v>0</v>
      </c>
      <c r="E525">
        <v>1</v>
      </c>
      <c r="F525">
        <v>22</v>
      </c>
      <c r="G525" t="b">
        <v>0</v>
      </c>
      <c r="H525">
        <v>0</v>
      </c>
      <c r="I525">
        <v>1</v>
      </c>
      <c r="J525">
        <v>0.08</v>
      </c>
    </row>
    <row r="526" spans="1:10" x14ac:dyDescent="0.3">
      <c r="A526">
        <v>525</v>
      </c>
      <c r="B526" s="1">
        <v>40566</v>
      </c>
      <c r="C526">
        <v>1</v>
      </c>
      <c r="D526">
        <v>0</v>
      </c>
      <c r="E526">
        <v>1</v>
      </c>
      <c r="F526">
        <v>23</v>
      </c>
      <c r="G526" t="b">
        <v>0</v>
      </c>
      <c r="H526">
        <v>0</v>
      </c>
      <c r="I526">
        <v>1</v>
      </c>
      <c r="J526">
        <v>0.06</v>
      </c>
    </row>
    <row r="527" spans="1:10" x14ac:dyDescent="0.3">
      <c r="A527">
        <v>526</v>
      </c>
      <c r="B527" s="1">
        <v>40567</v>
      </c>
      <c r="C527">
        <v>1</v>
      </c>
      <c r="D527">
        <v>0</v>
      </c>
      <c r="E527">
        <v>1</v>
      </c>
      <c r="F527">
        <v>0</v>
      </c>
      <c r="G527" t="b">
        <v>0</v>
      </c>
      <c r="H527">
        <v>1</v>
      </c>
      <c r="I527">
        <v>1</v>
      </c>
      <c r="J527">
        <v>0.06</v>
      </c>
    </row>
    <row r="528" spans="1:10" x14ac:dyDescent="0.3">
      <c r="A528">
        <v>527</v>
      </c>
      <c r="B528" s="1">
        <v>40567</v>
      </c>
      <c r="C528">
        <v>1</v>
      </c>
      <c r="D528">
        <v>0</v>
      </c>
      <c r="E528">
        <v>1</v>
      </c>
      <c r="F528">
        <v>1</v>
      </c>
      <c r="G528" t="b">
        <v>0</v>
      </c>
      <c r="H528">
        <v>1</v>
      </c>
      <c r="I528">
        <v>1</v>
      </c>
      <c r="J528">
        <v>0.04</v>
      </c>
    </row>
    <row r="529" spans="1:10" x14ac:dyDescent="0.3">
      <c r="A529">
        <v>528</v>
      </c>
      <c r="B529" s="1">
        <v>40567</v>
      </c>
      <c r="C529">
        <v>1</v>
      </c>
      <c r="D529">
        <v>0</v>
      </c>
      <c r="E529">
        <v>1</v>
      </c>
      <c r="F529">
        <v>3</v>
      </c>
      <c r="G529" t="b">
        <v>0</v>
      </c>
      <c r="H529">
        <v>1</v>
      </c>
      <c r="I529">
        <v>1</v>
      </c>
      <c r="J529">
        <v>0.04</v>
      </c>
    </row>
    <row r="530" spans="1:10" x14ac:dyDescent="0.3">
      <c r="A530">
        <v>529</v>
      </c>
      <c r="B530" s="1">
        <v>40567</v>
      </c>
      <c r="C530">
        <v>1</v>
      </c>
      <c r="D530">
        <v>0</v>
      </c>
      <c r="E530">
        <v>1</v>
      </c>
      <c r="F530">
        <v>4</v>
      </c>
      <c r="G530" t="b">
        <v>0</v>
      </c>
      <c r="H530">
        <v>1</v>
      </c>
      <c r="I530">
        <v>1</v>
      </c>
      <c r="J530">
        <v>0.02</v>
      </c>
    </row>
    <row r="531" spans="1:10" x14ac:dyDescent="0.3">
      <c r="A531">
        <v>530</v>
      </c>
      <c r="B531" s="1">
        <v>40567</v>
      </c>
      <c r="C531">
        <v>1</v>
      </c>
      <c r="D531">
        <v>0</v>
      </c>
      <c r="E531">
        <v>1</v>
      </c>
      <c r="F531">
        <v>5</v>
      </c>
      <c r="G531" t="b">
        <v>0</v>
      </c>
      <c r="H531">
        <v>1</v>
      </c>
      <c r="I531">
        <v>1</v>
      </c>
      <c r="J531">
        <v>0.02</v>
      </c>
    </row>
    <row r="532" spans="1:10" x14ac:dyDescent="0.3">
      <c r="A532">
        <v>531</v>
      </c>
      <c r="B532" s="1">
        <v>40567</v>
      </c>
      <c r="C532">
        <v>1</v>
      </c>
      <c r="D532">
        <v>0</v>
      </c>
      <c r="E532">
        <v>1</v>
      </c>
      <c r="F532">
        <v>6</v>
      </c>
      <c r="G532" t="b">
        <v>0</v>
      </c>
      <c r="H532">
        <v>1</v>
      </c>
      <c r="I532">
        <v>1</v>
      </c>
      <c r="J532">
        <v>0.02</v>
      </c>
    </row>
    <row r="533" spans="1:10" x14ac:dyDescent="0.3">
      <c r="A533">
        <v>532</v>
      </c>
      <c r="B533" s="1">
        <v>40567</v>
      </c>
      <c r="C533">
        <v>1</v>
      </c>
      <c r="D533">
        <v>0</v>
      </c>
      <c r="E533">
        <v>1</v>
      </c>
      <c r="F533">
        <v>7</v>
      </c>
      <c r="G533" t="b">
        <v>0</v>
      </c>
      <c r="H533">
        <v>1</v>
      </c>
      <c r="I533">
        <v>1</v>
      </c>
      <c r="J533">
        <v>0.02</v>
      </c>
    </row>
    <row r="534" spans="1:10" x14ac:dyDescent="0.3">
      <c r="A534">
        <v>533</v>
      </c>
      <c r="B534" s="1">
        <v>40567</v>
      </c>
      <c r="C534">
        <v>1</v>
      </c>
      <c r="D534">
        <v>0</v>
      </c>
      <c r="E534">
        <v>1</v>
      </c>
      <c r="F534">
        <v>8</v>
      </c>
      <c r="G534" t="b">
        <v>0</v>
      </c>
      <c r="H534">
        <v>1</v>
      </c>
      <c r="I534">
        <v>1</v>
      </c>
      <c r="J534">
        <v>0.04</v>
      </c>
    </row>
    <row r="535" spans="1:10" x14ac:dyDescent="0.3">
      <c r="A535">
        <v>534</v>
      </c>
      <c r="B535" s="1">
        <v>40567</v>
      </c>
      <c r="C535">
        <v>1</v>
      </c>
      <c r="D535">
        <v>0</v>
      </c>
      <c r="E535">
        <v>1</v>
      </c>
      <c r="F535">
        <v>9</v>
      </c>
      <c r="G535" t="b">
        <v>0</v>
      </c>
      <c r="H535">
        <v>1</v>
      </c>
      <c r="I535">
        <v>1</v>
      </c>
      <c r="J535">
        <v>0.06</v>
      </c>
    </row>
    <row r="536" spans="1:10" x14ac:dyDescent="0.3">
      <c r="A536">
        <v>535</v>
      </c>
      <c r="B536" s="1">
        <v>40567</v>
      </c>
      <c r="C536">
        <v>1</v>
      </c>
      <c r="D536">
        <v>0</v>
      </c>
      <c r="E536">
        <v>1</v>
      </c>
      <c r="F536">
        <v>10</v>
      </c>
      <c r="G536" t="b">
        <v>0</v>
      </c>
      <c r="H536">
        <v>1</v>
      </c>
      <c r="I536">
        <v>1</v>
      </c>
      <c r="J536">
        <v>0.1</v>
      </c>
    </row>
    <row r="537" spans="1:10" x14ac:dyDescent="0.3">
      <c r="A537">
        <v>536</v>
      </c>
      <c r="B537" s="1">
        <v>40567</v>
      </c>
      <c r="C537">
        <v>1</v>
      </c>
      <c r="D537">
        <v>0</v>
      </c>
      <c r="E537">
        <v>1</v>
      </c>
      <c r="F537">
        <v>11</v>
      </c>
      <c r="G537" t="b">
        <v>0</v>
      </c>
      <c r="H537">
        <v>1</v>
      </c>
      <c r="I537">
        <v>1</v>
      </c>
      <c r="J537">
        <v>0.1</v>
      </c>
    </row>
    <row r="538" spans="1:10" x14ac:dyDescent="0.3">
      <c r="A538">
        <v>537</v>
      </c>
      <c r="B538" s="1">
        <v>40567</v>
      </c>
      <c r="C538">
        <v>1</v>
      </c>
      <c r="D538">
        <v>0</v>
      </c>
      <c r="E538">
        <v>1</v>
      </c>
      <c r="F538">
        <v>12</v>
      </c>
      <c r="G538" t="b">
        <v>0</v>
      </c>
      <c r="H538">
        <v>1</v>
      </c>
      <c r="I538">
        <v>2</v>
      </c>
      <c r="J538">
        <v>0.12</v>
      </c>
    </row>
    <row r="539" spans="1:10" x14ac:dyDescent="0.3">
      <c r="A539">
        <v>538</v>
      </c>
      <c r="B539" s="1">
        <v>40567</v>
      </c>
      <c r="C539">
        <v>1</v>
      </c>
      <c r="D539">
        <v>0</v>
      </c>
      <c r="E539">
        <v>1</v>
      </c>
      <c r="F539">
        <v>13</v>
      </c>
      <c r="G539" t="b">
        <v>0</v>
      </c>
      <c r="H539">
        <v>1</v>
      </c>
      <c r="I539">
        <v>2</v>
      </c>
      <c r="J539">
        <v>0.14000000000000001</v>
      </c>
    </row>
    <row r="540" spans="1:10" x14ac:dyDescent="0.3">
      <c r="A540">
        <v>539</v>
      </c>
      <c r="B540" s="1">
        <v>40567</v>
      </c>
      <c r="C540">
        <v>1</v>
      </c>
      <c r="D540">
        <v>0</v>
      </c>
      <c r="E540">
        <v>1</v>
      </c>
      <c r="F540">
        <v>14</v>
      </c>
      <c r="G540" t="b">
        <v>0</v>
      </c>
      <c r="H540">
        <v>1</v>
      </c>
      <c r="I540">
        <v>2</v>
      </c>
      <c r="J540">
        <v>0.14000000000000001</v>
      </c>
    </row>
    <row r="541" spans="1:10" x14ac:dyDescent="0.3">
      <c r="A541">
        <v>540</v>
      </c>
      <c r="B541" s="1">
        <v>40567</v>
      </c>
      <c r="C541">
        <v>1</v>
      </c>
      <c r="D541">
        <v>0</v>
      </c>
      <c r="E541">
        <v>1</v>
      </c>
      <c r="F541">
        <v>15</v>
      </c>
      <c r="G541" t="b">
        <v>0</v>
      </c>
      <c r="H541">
        <v>1</v>
      </c>
      <c r="I541">
        <v>1</v>
      </c>
      <c r="J541">
        <v>0.16</v>
      </c>
    </row>
    <row r="542" spans="1:10" x14ac:dyDescent="0.3">
      <c r="A542">
        <v>541</v>
      </c>
      <c r="B542" s="1">
        <v>40567</v>
      </c>
      <c r="C542">
        <v>1</v>
      </c>
      <c r="D542">
        <v>0</v>
      </c>
      <c r="E542">
        <v>1</v>
      </c>
      <c r="F542">
        <v>16</v>
      </c>
      <c r="G542" t="b">
        <v>0</v>
      </c>
      <c r="H542">
        <v>1</v>
      </c>
      <c r="I542">
        <v>1</v>
      </c>
      <c r="J542">
        <v>0.16</v>
      </c>
    </row>
    <row r="543" spans="1:10" x14ac:dyDescent="0.3">
      <c r="A543">
        <v>542</v>
      </c>
      <c r="B543" s="1">
        <v>40567</v>
      </c>
      <c r="C543">
        <v>1</v>
      </c>
      <c r="D543">
        <v>0</v>
      </c>
      <c r="E543">
        <v>1</v>
      </c>
      <c r="F543">
        <v>17</v>
      </c>
      <c r="G543" t="b">
        <v>0</v>
      </c>
      <c r="H543">
        <v>1</v>
      </c>
      <c r="I543">
        <v>1</v>
      </c>
      <c r="J543">
        <v>0.14000000000000001</v>
      </c>
    </row>
    <row r="544" spans="1:10" x14ac:dyDescent="0.3">
      <c r="A544">
        <v>543</v>
      </c>
      <c r="B544" s="1">
        <v>40567</v>
      </c>
      <c r="C544">
        <v>1</v>
      </c>
      <c r="D544">
        <v>0</v>
      </c>
      <c r="E544">
        <v>1</v>
      </c>
      <c r="F544">
        <v>18</v>
      </c>
      <c r="G544" t="b">
        <v>0</v>
      </c>
      <c r="H544">
        <v>1</v>
      </c>
      <c r="I544">
        <v>1</v>
      </c>
      <c r="J544">
        <v>0.14000000000000001</v>
      </c>
    </row>
    <row r="545" spans="1:10" x14ac:dyDescent="0.3">
      <c r="A545">
        <v>544</v>
      </c>
      <c r="B545" s="1">
        <v>40567</v>
      </c>
      <c r="C545">
        <v>1</v>
      </c>
      <c r="D545">
        <v>0</v>
      </c>
      <c r="E545">
        <v>1</v>
      </c>
      <c r="F545">
        <v>19</v>
      </c>
      <c r="G545" t="b">
        <v>0</v>
      </c>
      <c r="H545">
        <v>1</v>
      </c>
      <c r="I545">
        <v>1</v>
      </c>
      <c r="J545">
        <v>0.14000000000000001</v>
      </c>
    </row>
    <row r="546" spans="1:10" x14ac:dyDescent="0.3">
      <c r="A546">
        <v>545</v>
      </c>
      <c r="B546" s="1">
        <v>40567</v>
      </c>
      <c r="C546">
        <v>1</v>
      </c>
      <c r="D546">
        <v>0</v>
      </c>
      <c r="E546">
        <v>1</v>
      </c>
      <c r="F546">
        <v>20</v>
      </c>
      <c r="G546" t="b">
        <v>0</v>
      </c>
      <c r="H546">
        <v>1</v>
      </c>
      <c r="I546">
        <v>1</v>
      </c>
      <c r="J546">
        <v>0.14000000000000001</v>
      </c>
    </row>
    <row r="547" spans="1:10" x14ac:dyDescent="0.3">
      <c r="A547">
        <v>546</v>
      </c>
      <c r="B547" s="1">
        <v>40567</v>
      </c>
      <c r="C547">
        <v>1</v>
      </c>
      <c r="D547">
        <v>0</v>
      </c>
      <c r="E547">
        <v>1</v>
      </c>
      <c r="F547">
        <v>21</v>
      </c>
      <c r="G547" t="b">
        <v>0</v>
      </c>
      <c r="H547">
        <v>1</v>
      </c>
      <c r="I547">
        <v>1</v>
      </c>
      <c r="J547">
        <v>0.14000000000000001</v>
      </c>
    </row>
    <row r="548" spans="1:10" x14ac:dyDescent="0.3">
      <c r="A548">
        <v>547</v>
      </c>
      <c r="B548" s="1">
        <v>40567</v>
      </c>
      <c r="C548">
        <v>1</v>
      </c>
      <c r="D548">
        <v>0</v>
      </c>
      <c r="E548">
        <v>1</v>
      </c>
      <c r="F548">
        <v>22</v>
      </c>
      <c r="G548" t="b">
        <v>0</v>
      </c>
      <c r="H548">
        <v>1</v>
      </c>
      <c r="I548">
        <v>2</v>
      </c>
      <c r="J548">
        <v>0.14000000000000001</v>
      </c>
    </row>
    <row r="549" spans="1:10" x14ac:dyDescent="0.3">
      <c r="A549">
        <v>548</v>
      </c>
      <c r="B549" s="1">
        <v>40567</v>
      </c>
      <c r="C549">
        <v>1</v>
      </c>
      <c r="D549">
        <v>0</v>
      </c>
      <c r="E549">
        <v>1</v>
      </c>
      <c r="F549">
        <v>23</v>
      </c>
      <c r="G549" t="b">
        <v>0</v>
      </c>
      <c r="H549">
        <v>1</v>
      </c>
      <c r="I549">
        <v>2</v>
      </c>
      <c r="J549">
        <v>0.16</v>
      </c>
    </row>
    <row r="550" spans="1:10" x14ac:dyDescent="0.3">
      <c r="A550">
        <v>549</v>
      </c>
      <c r="B550" s="1">
        <v>40568</v>
      </c>
      <c r="C550">
        <v>1</v>
      </c>
      <c r="D550">
        <v>0</v>
      </c>
      <c r="E550">
        <v>1</v>
      </c>
      <c r="F550">
        <v>0</v>
      </c>
      <c r="G550" t="b">
        <v>0</v>
      </c>
      <c r="H550">
        <v>2</v>
      </c>
      <c r="I550">
        <v>2</v>
      </c>
      <c r="J550">
        <v>0.16</v>
      </c>
    </row>
    <row r="551" spans="1:10" x14ac:dyDescent="0.3">
      <c r="A551">
        <v>550</v>
      </c>
      <c r="B551" s="1">
        <v>40568</v>
      </c>
      <c r="C551">
        <v>1</v>
      </c>
      <c r="D551">
        <v>0</v>
      </c>
      <c r="E551">
        <v>1</v>
      </c>
      <c r="F551">
        <v>1</v>
      </c>
      <c r="G551" t="b">
        <v>0</v>
      </c>
      <c r="H551">
        <v>2</v>
      </c>
      <c r="I551">
        <v>2</v>
      </c>
      <c r="J551">
        <v>0.16</v>
      </c>
    </row>
    <row r="552" spans="1:10" x14ac:dyDescent="0.3">
      <c r="A552">
        <v>551</v>
      </c>
      <c r="B552" s="1">
        <v>40568</v>
      </c>
      <c r="C552">
        <v>1</v>
      </c>
      <c r="D552">
        <v>0</v>
      </c>
      <c r="E552">
        <v>1</v>
      </c>
      <c r="F552">
        <v>2</v>
      </c>
      <c r="G552" t="b">
        <v>0</v>
      </c>
      <c r="H552">
        <v>2</v>
      </c>
      <c r="I552">
        <v>1</v>
      </c>
      <c r="J552">
        <v>0.16</v>
      </c>
    </row>
    <row r="553" spans="1:10" x14ac:dyDescent="0.3">
      <c r="A553">
        <v>552</v>
      </c>
      <c r="B553" s="1">
        <v>40568</v>
      </c>
      <c r="C553">
        <v>1</v>
      </c>
      <c r="D553">
        <v>0</v>
      </c>
      <c r="E553">
        <v>1</v>
      </c>
      <c r="F553">
        <v>4</v>
      </c>
      <c r="G553" t="b">
        <v>0</v>
      </c>
      <c r="H553">
        <v>2</v>
      </c>
      <c r="I553">
        <v>1</v>
      </c>
      <c r="J553">
        <v>0.14000000000000001</v>
      </c>
    </row>
    <row r="554" spans="1:10" x14ac:dyDescent="0.3">
      <c r="A554">
        <v>553</v>
      </c>
      <c r="B554" s="1">
        <v>40568</v>
      </c>
      <c r="C554">
        <v>1</v>
      </c>
      <c r="D554">
        <v>0</v>
      </c>
      <c r="E554">
        <v>1</v>
      </c>
      <c r="F554">
        <v>5</v>
      </c>
      <c r="G554" t="b">
        <v>0</v>
      </c>
      <c r="H554">
        <v>2</v>
      </c>
      <c r="I554">
        <v>1</v>
      </c>
      <c r="J554">
        <v>0.14000000000000001</v>
      </c>
    </row>
    <row r="555" spans="1:10" x14ac:dyDescent="0.3">
      <c r="A555">
        <v>554</v>
      </c>
      <c r="B555" s="1">
        <v>40568</v>
      </c>
      <c r="C555">
        <v>1</v>
      </c>
      <c r="D555">
        <v>0</v>
      </c>
      <c r="E555">
        <v>1</v>
      </c>
      <c r="F555">
        <v>6</v>
      </c>
      <c r="G555" t="b">
        <v>0</v>
      </c>
      <c r="H555">
        <v>2</v>
      </c>
      <c r="I555">
        <v>1</v>
      </c>
      <c r="J555">
        <v>0.16</v>
      </c>
    </row>
    <row r="556" spans="1:10" x14ac:dyDescent="0.3">
      <c r="A556">
        <v>555</v>
      </c>
      <c r="B556" s="1">
        <v>40568</v>
      </c>
      <c r="C556">
        <v>1</v>
      </c>
      <c r="D556">
        <v>0</v>
      </c>
      <c r="E556">
        <v>1</v>
      </c>
      <c r="F556">
        <v>7</v>
      </c>
      <c r="G556" t="b">
        <v>0</v>
      </c>
      <c r="H556">
        <v>2</v>
      </c>
      <c r="I556">
        <v>1</v>
      </c>
      <c r="J556">
        <v>0.16</v>
      </c>
    </row>
    <row r="557" spans="1:10" x14ac:dyDescent="0.3">
      <c r="A557">
        <v>556</v>
      </c>
      <c r="B557" s="1">
        <v>40568</v>
      </c>
      <c r="C557">
        <v>1</v>
      </c>
      <c r="D557">
        <v>0</v>
      </c>
      <c r="E557">
        <v>1</v>
      </c>
      <c r="F557">
        <v>8</v>
      </c>
      <c r="G557" t="b">
        <v>0</v>
      </c>
      <c r="H557">
        <v>2</v>
      </c>
      <c r="I557">
        <v>2</v>
      </c>
      <c r="J557">
        <v>0.16</v>
      </c>
    </row>
    <row r="558" spans="1:10" x14ac:dyDescent="0.3">
      <c r="A558">
        <v>557</v>
      </c>
      <c r="B558" s="1">
        <v>40568</v>
      </c>
      <c r="C558">
        <v>1</v>
      </c>
      <c r="D558">
        <v>0</v>
      </c>
      <c r="E558">
        <v>1</v>
      </c>
      <c r="F558">
        <v>9</v>
      </c>
      <c r="G558" t="b">
        <v>0</v>
      </c>
      <c r="H558">
        <v>2</v>
      </c>
      <c r="I558">
        <v>2</v>
      </c>
      <c r="J558">
        <v>0.2</v>
      </c>
    </row>
    <row r="559" spans="1:10" x14ac:dyDescent="0.3">
      <c r="A559">
        <v>558</v>
      </c>
      <c r="B559" s="1">
        <v>40568</v>
      </c>
      <c r="C559">
        <v>1</v>
      </c>
      <c r="D559">
        <v>0</v>
      </c>
      <c r="E559">
        <v>1</v>
      </c>
      <c r="F559">
        <v>10</v>
      </c>
      <c r="G559" t="b">
        <v>0</v>
      </c>
      <c r="H559">
        <v>2</v>
      </c>
      <c r="I559">
        <v>2</v>
      </c>
      <c r="J559">
        <v>0.22</v>
      </c>
    </row>
    <row r="560" spans="1:10" x14ac:dyDescent="0.3">
      <c r="A560">
        <v>559</v>
      </c>
      <c r="B560" s="1">
        <v>40568</v>
      </c>
      <c r="C560">
        <v>1</v>
      </c>
      <c r="D560">
        <v>0</v>
      </c>
      <c r="E560">
        <v>1</v>
      </c>
      <c r="F560">
        <v>11</v>
      </c>
      <c r="G560" t="b">
        <v>0</v>
      </c>
      <c r="H560">
        <v>2</v>
      </c>
      <c r="I560">
        <v>2</v>
      </c>
      <c r="J560">
        <v>0.24</v>
      </c>
    </row>
    <row r="561" spans="1:10" x14ac:dyDescent="0.3">
      <c r="A561">
        <v>560</v>
      </c>
      <c r="B561" s="1">
        <v>40568</v>
      </c>
      <c r="C561">
        <v>1</v>
      </c>
      <c r="D561">
        <v>0</v>
      </c>
      <c r="E561">
        <v>1</v>
      </c>
      <c r="F561">
        <v>12</v>
      </c>
      <c r="G561" t="b">
        <v>0</v>
      </c>
      <c r="H561">
        <v>2</v>
      </c>
      <c r="I561">
        <v>2</v>
      </c>
      <c r="J561">
        <v>0.26</v>
      </c>
    </row>
    <row r="562" spans="1:10" x14ac:dyDescent="0.3">
      <c r="A562">
        <v>561</v>
      </c>
      <c r="B562" s="1">
        <v>40568</v>
      </c>
      <c r="C562">
        <v>1</v>
      </c>
      <c r="D562">
        <v>0</v>
      </c>
      <c r="E562">
        <v>1</v>
      </c>
      <c r="F562">
        <v>13</v>
      </c>
      <c r="G562" t="b">
        <v>0</v>
      </c>
      <c r="H562">
        <v>2</v>
      </c>
      <c r="I562">
        <v>2</v>
      </c>
      <c r="J562">
        <v>0.26</v>
      </c>
    </row>
    <row r="563" spans="1:10" x14ac:dyDescent="0.3">
      <c r="A563">
        <v>562</v>
      </c>
      <c r="B563" s="1">
        <v>40568</v>
      </c>
      <c r="C563">
        <v>1</v>
      </c>
      <c r="D563">
        <v>0</v>
      </c>
      <c r="E563">
        <v>1</v>
      </c>
      <c r="F563">
        <v>14</v>
      </c>
      <c r="G563" t="b">
        <v>0</v>
      </c>
      <c r="H563">
        <v>2</v>
      </c>
      <c r="I563">
        <v>2</v>
      </c>
      <c r="J563">
        <v>0.3</v>
      </c>
    </row>
    <row r="564" spans="1:10" x14ac:dyDescent="0.3">
      <c r="A564">
        <v>563</v>
      </c>
      <c r="B564" s="1">
        <v>40568</v>
      </c>
      <c r="C564">
        <v>1</v>
      </c>
      <c r="D564">
        <v>0</v>
      </c>
      <c r="E564">
        <v>1</v>
      </c>
      <c r="F564">
        <v>15</v>
      </c>
      <c r="G564" t="b">
        <v>0</v>
      </c>
      <c r="H564">
        <v>2</v>
      </c>
      <c r="I564">
        <v>2</v>
      </c>
      <c r="J564">
        <v>0.32</v>
      </c>
    </row>
    <row r="565" spans="1:10" x14ac:dyDescent="0.3">
      <c r="A565">
        <v>564</v>
      </c>
      <c r="B565" s="1">
        <v>40568</v>
      </c>
      <c r="C565">
        <v>1</v>
      </c>
      <c r="D565">
        <v>0</v>
      </c>
      <c r="E565">
        <v>1</v>
      </c>
      <c r="F565">
        <v>16</v>
      </c>
      <c r="G565" t="b">
        <v>0</v>
      </c>
      <c r="H565">
        <v>2</v>
      </c>
      <c r="I565">
        <v>2</v>
      </c>
      <c r="J565">
        <v>0.32</v>
      </c>
    </row>
    <row r="566" spans="1:10" x14ac:dyDescent="0.3">
      <c r="A566">
        <v>565</v>
      </c>
      <c r="B566" s="1">
        <v>40568</v>
      </c>
      <c r="C566">
        <v>1</v>
      </c>
      <c r="D566">
        <v>0</v>
      </c>
      <c r="E566">
        <v>1</v>
      </c>
      <c r="F566">
        <v>17</v>
      </c>
      <c r="G566" t="b">
        <v>0</v>
      </c>
      <c r="H566">
        <v>2</v>
      </c>
      <c r="I566">
        <v>1</v>
      </c>
      <c r="J566">
        <v>0.3</v>
      </c>
    </row>
    <row r="567" spans="1:10" x14ac:dyDescent="0.3">
      <c r="A567">
        <v>566</v>
      </c>
      <c r="B567" s="1">
        <v>40568</v>
      </c>
      <c r="C567">
        <v>1</v>
      </c>
      <c r="D567">
        <v>0</v>
      </c>
      <c r="E567">
        <v>1</v>
      </c>
      <c r="F567">
        <v>18</v>
      </c>
      <c r="G567" t="b">
        <v>0</v>
      </c>
      <c r="H567">
        <v>2</v>
      </c>
      <c r="I567">
        <v>2</v>
      </c>
      <c r="J567">
        <v>0.3</v>
      </c>
    </row>
    <row r="568" spans="1:10" x14ac:dyDescent="0.3">
      <c r="A568">
        <v>567</v>
      </c>
      <c r="B568" s="1">
        <v>40568</v>
      </c>
      <c r="C568">
        <v>1</v>
      </c>
      <c r="D568">
        <v>0</v>
      </c>
      <c r="E568">
        <v>1</v>
      </c>
      <c r="F568">
        <v>19</v>
      </c>
      <c r="G568" t="b">
        <v>0</v>
      </c>
      <c r="H568">
        <v>2</v>
      </c>
      <c r="I568">
        <v>2</v>
      </c>
      <c r="J568">
        <v>0.26</v>
      </c>
    </row>
    <row r="569" spans="1:10" x14ac:dyDescent="0.3">
      <c r="A569">
        <v>568</v>
      </c>
      <c r="B569" s="1">
        <v>40568</v>
      </c>
      <c r="C569">
        <v>1</v>
      </c>
      <c r="D569">
        <v>0</v>
      </c>
      <c r="E569">
        <v>1</v>
      </c>
      <c r="F569">
        <v>20</v>
      </c>
      <c r="G569" t="b">
        <v>0</v>
      </c>
      <c r="H569">
        <v>2</v>
      </c>
      <c r="I569">
        <v>1</v>
      </c>
      <c r="J569">
        <v>0.24</v>
      </c>
    </row>
    <row r="570" spans="1:10" x14ac:dyDescent="0.3">
      <c r="A570">
        <v>569</v>
      </c>
      <c r="B570" s="1">
        <v>40568</v>
      </c>
      <c r="C570">
        <v>1</v>
      </c>
      <c r="D570">
        <v>0</v>
      </c>
      <c r="E570">
        <v>1</v>
      </c>
      <c r="F570">
        <v>21</v>
      </c>
      <c r="G570" t="b">
        <v>0</v>
      </c>
      <c r="H570">
        <v>2</v>
      </c>
      <c r="I570">
        <v>1</v>
      </c>
      <c r="J570">
        <v>0.24</v>
      </c>
    </row>
    <row r="571" spans="1:10" x14ac:dyDescent="0.3">
      <c r="A571">
        <v>570</v>
      </c>
      <c r="B571" s="1">
        <v>40568</v>
      </c>
      <c r="C571">
        <v>1</v>
      </c>
      <c r="D571">
        <v>0</v>
      </c>
      <c r="E571">
        <v>1</v>
      </c>
      <c r="F571">
        <v>22</v>
      </c>
      <c r="G571" t="b">
        <v>0</v>
      </c>
      <c r="H571">
        <v>2</v>
      </c>
      <c r="I571">
        <v>1</v>
      </c>
      <c r="J571">
        <v>0.22</v>
      </c>
    </row>
    <row r="572" spans="1:10" x14ac:dyDescent="0.3">
      <c r="A572">
        <v>571</v>
      </c>
      <c r="B572" s="1">
        <v>40568</v>
      </c>
      <c r="C572">
        <v>1</v>
      </c>
      <c r="D572">
        <v>0</v>
      </c>
      <c r="E572">
        <v>1</v>
      </c>
      <c r="F572">
        <v>23</v>
      </c>
      <c r="G572" t="b">
        <v>0</v>
      </c>
      <c r="H572">
        <v>2</v>
      </c>
      <c r="I572">
        <v>2</v>
      </c>
      <c r="J572">
        <v>0.22</v>
      </c>
    </row>
    <row r="573" spans="1:10" x14ac:dyDescent="0.3">
      <c r="A573">
        <v>572</v>
      </c>
      <c r="B573" s="1">
        <v>40569</v>
      </c>
      <c r="C573">
        <v>1</v>
      </c>
      <c r="D573">
        <v>0</v>
      </c>
      <c r="E573">
        <v>1</v>
      </c>
      <c r="F573">
        <v>0</v>
      </c>
      <c r="G573" t="b">
        <v>0</v>
      </c>
      <c r="H573">
        <v>3</v>
      </c>
      <c r="I573">
        <v>2</v>
      </c>
      <c r="J573">
        <v>0.22</v>
      </c>
    </row>
    <row r="574" spans="1:10" x14ac:dyDescent="0.3">
      <c r="A574">
        <v>573</v>
      </c>
      <c r="B574" s="1">
        <v>40569</v>
      </c>
      <c r="C574">
        <v>1</v>
      </c>
      <c r="D574">
        <v>0</v>
      </c>
      <c r="E574">
        <v>1</v>
      </c>
      <c r="F574">
        <v>1</v>
      </c>
      <c r="G574" t="b">
        <v>0</v>
      </c>
      <c r="H574">
        <v>3</v>
      </c>
      <c r="I574">
        <v>2</v>
      </c>
      <c r="J574">
        <v>0.24</v>
      </c>
    </row>
    <row r="575" spans="1:10" x14ac:dyDescent="0.3">
      <c r="A575">
        <v>574</v>
      </c>
      <c r="B575" s="1">
        <v>40569</v>
      </c>
      <c r="C575">
        <v>1</v>
      </c>
      <c r="D575">
        <v>0</v>
      </c>
      <c r="E575">
        <v>1</v>
      </c>
      <c r="F575">
        <v>2</v>
      </c>
      <c r="G575" t="b">
        <v>0</v>
      </c>
      <c r="H575">
        <v>3</v>
      </c>
      <c r="I575">
        <v>3</v>
      </c>
      <c r="J575">
        <v>0.22</v>
      </c>
    </row>
    <row r="576" spans="1:10" x14ac:dyDescent="0.3">
      <c r="A576">
        <v>575</v>
      </c>
      <c r="B576" s="1">
        <v>40569</v>
      </c>
      <c r="C576">
        <v>1</v>
      </c>
      <c r="D576">
        <v>0</v>
      </c>
      <c r="E576">
        <v>1</v>
      </c>
      <c r="F576">
        <v>5</v>
      </c>
      <c r="G576" t="b">
        <v>0</v>
      </c>
      <c r="H576">
        <v>3</v>
      </c>
      <c r="I576">
        <v>3</v>
      </c>
      <c r="J576">
        <v>0.2</v>
      </c>
    </row>
    <row r="577" spans="1:10" x14ac:dyDescent="0.3">
      <c r="A577">
        <v>576</v>
      </c>
      <c r="B577" s="1">
        <v>40569</v>
      </c>
      <c r="C577">
        <v>1</v>
      </c>
      <c r="D577">
        <v>0</v>
      </c>
      <c r="E577">
        <v>1</v>
      </c>
      <c r="F577">
        <v>6</v>
      </c>
      <c r="G577" t="b">
        <v>0</v>
      </c>
      <c r="H577">
        <v>3</v>
      </c>
      <c r="I577">
        <v>3</v>
      </c>
      <c r="J577">
        <v>0.2</v>
      </c>
    </row>
    <row r="578" spans="1:10" x14ac:dyDescent="0.3">
      <c r="A578">
        <v>577</v>
      </c>
      <c r="B578" s="1">
        <v>40569</v>
      </c>
      <c r="C578">
        <v>1</v>
      </c>
      <c r="D578">
        <v>0</v>
      </c>
      <c r="E578">
        <v>1</v>
      </c>
      <c r="F578">
        <v>7</v>
      </c>
      <c r="G578" t="b">
        <v>0</v>
      </c>
      <c r="H578">
        <v>3</v>
      </c>
      <c r="I578">
        <v>3</v>
      </c>
      <c r="J578">
        <v>0.22</v>
      </c>
    </row>
    <row r="579" spans="1:10" x14ac:dyDescent="0.3">
      <c r="A579">
        <v>578</v>
      </c>
      <c r="B579" s="1">
        <v>40569</v>
      </c>
      <c r="C579">
        <v>1</v>
      </c>
      <c r="D579">
        <v>0</v>
      </c>
      <c r="E579">
        <v>1</v>
      </c>
      <c r="F579">
        <v>8</v>
      </c>
      <c r="G579" t="b">
        <v>0</v>
      </c>
      <c r="H579">
        <v>3</v>
      </c>
      <c r="I579">
        <v>3</v>
      </c>
      <c r="J579">
        <v>0.22</v>
      </c>
    </row>
    <row r="580" spans="1:10" x14ac:dyDescent="0.3">
      <c r="A580">
        <v>579</v>
      </c>
      <c r="B580" s="1">
        <v>40569</v>
      </c>
      <c r="C580">
        <v>1</v>
      </c>
      <c r="D580">
        <v>0</v>
      </c>
      <c r="E580">
        <v>1</v>
      </c>
      <c r="F580">
        <v>9</v>
      </c>
      <c r="G580" t="b">
        <v>0</v>
      </c>
      <c r="H580">
        <v>3</v>
      </c>
      <c r="I580">
        <v>3</v>
      </c>
      <c r="J580">
        <v>0.22</v>
      </c>
    </row>
    <row r="581" spans="1:10" x14ac:dyDescent="0.3">
      <c r="A581">
        <v>580</v>
      </c>
      <c r="B581" s="1">
        <v>40569</v>
      </c>
      <c r="C581">
        <v>1</v>
      </c>
      <c r="D581">
        <v>0</v>
      </c>
      <c r="E581">
        <v>1</v>
      </c>
      <c r="F581">
        <v>10</v>
      </c>
      <c r="G581" t="b">
        <v>0</v>
      </c>
      <c r="H581">
        <v>3</v>
      </c>
      <c r="I581">
        <v>3</v>
      </c>
      <c r="J581">
        <v>0.22</v>
      </c>
    </row>
    <row r="582" spans="1:10" x14ac:dyDescent="0.3">
      <c r="A582">
        <v>581</v>
      </c>
      <c r="B582" s="1">
        <v>40569</v>
      </c>
      <c r="C582">
        <v>1</v>
      </c>
      <c r="D582">
        <v>0</v>
      </c>
      <c r="E582">
        <v>1</v>
      </c>
      <c r="F582">
        <v>11</v>
      </c>
      <c r="G582" t="b">
        <v>0</v>
      </c>
      <c r="H582">
        <v>3</v>
      </c>
      <c r="I582">
        <v>3</v>
      </c>
      <c r="J582">
        <v>0.22</v>
      </c>
    </row>
    <row r="583" spans="1:10" x14ac:dyDescent="0.3">
      <c r="A583">
        <v>582</v>
      </c>
      <c r="B583" s="1">
        <v>40569</v>
      </c>
      <c r="C583">
        <v>1</v>
      </c>
      <c r="D583">
        <v>0</v>
      </c>
      <c r="E583">
        <v>1</v>
      </c>
      <c r="F583">
        <v>12</v>
      </c>
      <c r="G583" t="b">
        <v>0</v>
      </c>
      <c r="H583">
        <v>3</v>
      </c>
      <c r="I583">
        <v>3</v>
      </c>
      <c r="J583">
        <v>0.22</v>
      </c>
    </row>
    <row r="584" spans="1:10" x14ac:dyDescent="0.3">
      <c r="A584">
        <v>583</v>
      </c>
      <c r="B584" s="1">
        <v>40569</v>
      </c>
      <c r="C584">
        <v>1</v>
      </c>
      <c r="D584">
        <v>0</v>
      </c>
      <c r="E584">
        <v>1</v>
      </c>
      <c r="F584">
        <v>13</v>
      </c>
      <c r="G584" t="b">
        <v>0</v>
      </c>
      <c r="H584">
        <v>3</v>
      </c>
      <c r="I584">
        <v>3</v>
      </c>
      <c r="J584">
        <v>0.22</v>
      </c>
    </row>
    <row r="585" spans="1:10" x14ac:dyDescent="0.3">
      <c r="A585">
        <v>584</v>
      </c>
      <c r="B585" s="1">
        <v>40569</v>
      </c>
      <c r="C585">
        <v>1</v>
      </c>
      <c r="D585">
        <v>0</v>
      </c>
      <c r="E585">
        <v>1</v>
      </c>
      <c r="F585">
        <v>14</v>
      </c>
      <c r="G585" t="b">
        <v>0</v>
      </c>
      <c r="H585">
        <v>3</v>
      </c>
      <c r="I585">
        <v>3</v>
      </c>
      <c r="J585">
        <v>0.22</v>
      </c>
    </row>
    <row r="586" spans="1:10" x14ac:dyDescent="0.3">
      <c r="A586">
        <v>585</v>
      </c>
      <c r="B586" s="1">
        <v>40569</v>
      </c>
      <c r="C586">
        <v>1</v>
      </c>
      <c r="D586">
        <v>0</v>
      </c>
      <c r="E586">
        <v>1</v>
      </c>
      <c r="F586">
        <v>15</v>
      </c>
      <c r="G586" t="b">
        <v>0</v>
      </c>
      <c r="H586">
        <v>3</v>
      </c>
      <c r="I586">
        <v>3</v>
      </c>
      <c r="J586">
        <v>0.22</v>
      </c>
    </row>
    <row r="587" spans="1:10" x14ac:dyDescent="0.3">
      <c r="A587">
        <v>586</v>
      </c>
      <c r="B587" s="1">
        <v>40569</v>
      </c>
      <c r="C587">
        <v>1</v>
      </c>
      <c r="D587">
        <v>0</v>
      </c>
      <c r="E587">
        <v>1</v>
      </c>
      <c r="F587">
        <v>16</v>
      </c>
      <c r="G587" t="b">
        <v>0</v>
      </c>
      <c r="H587">
        <v>3</v>
      </c>
      <c r="I587">
        <v>4</v>
      </c>
      <c r="J587">
        <v>0.22</v>
      </c>
    </row>
    <row r="588" spans="1:10" x14ac:dyDescent="0.3">
      <c r="A588">
        <v>587</v>
      </c>
      <c r="B588" s="1">
        <v>40569</v>
      </c>
      <c r="C588">
        <v>1</v>
      </c>
      <c r="D588">
        <v>0</v>
      </c>
      <c r="E588">
        <v>1</v>
      </c>
      <c r="F588">
        <v>17</v>
      </c>
      <c r="G588" t="b">
        <v>0</v>
      </c>
      <c r="H588">
        <v>3</v>
      </c>
      <c r="I588">
        <v>3</v>
      </c>
      <c r="J588">
        <v>0.2</v>
      </c>
    </row>
    <row r="589" spans="1:10" x14ac:dyDescent="0.3">
      <c r="A589">
        <v>588</v>
      </c>
      <c r="B589" s="1">
        <v>40570</v>
      </c>
      <c r="C589">
        <v>1</v>
      </c>
      <c r="D589">
        <v>0</v>
      </c>
      <c r="E589">
        <v>1</v>
      </c>
      <c r="F589">
        <v>16</v>
      </c>
      <c r="G589" t="b">
        <v>0</v>
      </c>
      <c r="H589">
        <v>4</v>
      </c>
      <c r="I589">
        <v>1</v>
      </c>
      <c r="J589">
        <v>0.22</v>
      </c>
    </row>
    <row r="590" spans="1:10" x14ac:dyDescent="0.3">
      <c r="A590">
        <v>589</v>
      </c>
      <c r="B590" s="1">
        <v>40570</v>
      </c>
      <c r="C590">
        <v>1</v>
      </c>
      <c r="D590">
        <v>0</v>
      </c>
      <c r="E590">
        <v>1</v>
      </c>
      <c r="F590">
        <v>17</v>
      </c>
      <c r="G590" t="b">
        <v>0</v>
      </c>
      <c r="H590">
        <v>4</v>
      </c>
      <c r="I590">
        <v>1</v>
      </c>
      <c r="J590">
        <v>0.22</v>
      </c>
    </row>
    <row r="591" spans="1:10" x14ac:dyDescent="0.3">
      <c r="A591">
        <v>590</v>
      </c>
      <c r="B591" s="1">
        <v>40570</v>
      </c>
      <c r="C591">
        <v>1</v>
      </c>
      <c r="D591">
        <v>0</v>
      </c>
      <c r="E591">
        <v>1</v>
      </c>
      <c r="F591">
        <v>18</v>
      </c>
      <c r="G591" t="b">
        <v>0</v>
      </c>
      <c r="H591">
        <v>4</v>
      </c>
      <c r="I591">
        <v>1</v>
      </c>
      <c r="J591">
        <v>0.2</v>
      </c>
    </row>
    <row r="592" spans="1:10" x14ac:dyDescent="0.3">
      <c r="A592">
        <v>591</v>
      </c>
      <c r="B592" s="1">
        <v>40570</v>
      </c>
      <c r="C592">
        <v>1</v>
      </c>
      <c r="D592">
        <v>0</v>
      </c>
      <c r="E592">
        <v>1</v>
      </c>
      <c r="F592">
        <v>19</v>
      </c>
      <c r="G592" t="b">
        <v>0</v>
      </c>
      <c r="H592">
        <v>4</v>
      </c>
      <c r="I592">
        <v>1</v>
      </c>
      <c r="J592">
        <v>0.2</v>
      </c>
    </row>
    <row r="593" spans="1:10" x14ac:dyDescent="0.3">
      <c r="A593">
        <v>592</v>
      </c>
      <c r="B593" s="1">
        <v>40570</v>
      </c>
      <c r="C593">
        <v>1</v>
      </c>
      <c r="D593">
        <v>0</v>
      </c>
      <c r="E593">
        <v>1</v>
      </c>
      <c r="F593">
        <v>20</v>
      </c>
      <c r="G593" t="b">
        <v>0</v>
      </c>
      <c r="H593">
        <v>4</v>
      </c>
      <c r="I593">
        <v>1</v>
      </c>
      <c r="J593">
        <v>0.18</v>
      </c>
    </row>
    <row r="594" spans="1:10" x14ac:dyDescent="0.3">
      <c r="A594">
        <v>593</v>
      </c>
      <c r="B594" s="1">
        <v>40570</v>
      </c>
      <c r="C594">
        <v>1</v>
      </c>
      <c r="D594">
        <v>0</v>
      </c>
      <c r="E594">
        <v>1</v>
      </c>
      <c r="F594">
        <v>21</v>
      </c>
      <c r="G594" t="b">
        <v>0</v>
      </c>
      <c r="H594">
        <v>4</v>
      </c>
      <c r="I594">
        <v>1</v>
      </c>
      <c r="J594">
        <v>0.18</v>
      </c>
    </row>
    <row r="595" spans="1:10" x14ac:dyDescent="0.3">
      <c r="A595">
        <v>594</v>
      </c>
      <c r="B595" s="1">
        <v>40570</v>
      </c>
      <c r="C595">
        <v>1</v>
      </c>
      <c r="D595">
        <v>0</v>
      </c>
      <c r="E595">
        <v>1</v>
      </c>
      <c r="F595">
        <v>22</v>
      </c>
      <c r="G595" t="b">
        <v>0</v>
      </c>
      <c r="H595">
        <v>4</v>
      </c>
      <c r="I595">
        <v>1</v>
      </c>
      <c r="J595">
        <v>0.18</v>
      </c>
    </row>
    <row r="596" spans="1:10" x14ac:dyDescent="0.3">
      <c r="A596">
        <v>595</v>
      </c>
      <c r="B596" s="1">
        <v>40570</v>
      </c>
      <c r="C596">
        <v>1</v>
      </c>
      <c r="D596">
        <v>0</v>
      </c>
      <c r="E596">
        <v>1</v>
      </c>
      <c r="F596">
        <v>23</v>
      </c>
      <c r="G596" t="b">
        <v>0</v>
      </c>
      <c r="H596">
        <v>4</v>
      </c>
      <c r="I596">
        <v>1</v>
      </c>
      <c r="J596">
        <v>0.18</v>
      </c>
    </row>
    <row r="597" spans="1:10" x14ac:dyDescent="0.3">
      <c r="A597">
        <v>596</v>
      </c>
      <c r="B597" s="1">
        <v>40571</v>
      </c>
      <c r="C597">
        <v>1</v>
      </c>
      <c r="D597">
        <v>0</v>
      </c>
      <c r="E597">
        <v>1</v>
      </c>
      <c r="F597">
        <v>0</v>
      </c>
      <c r="G597" t="b">
        <v>0</v>
      </c>
      <c r="H597">
        <v>5</v>
      </c>
      <c r="I597">
        <v>2</v>
      </c>
      <c r="J597">
        <v>0.2</v>
      </c>
    </row>
    <row r="598" spans="1:10" x14ac:dyDescent="0.3">
      <c r="A598">
        <v>597</v>
      </c>
      <c r="B598" s="1">
        <v>40571</v>
      </c>
      <c r="C598">
        <v>1</v>
      </c>
      <c r="D598">
        <v>0</v>
      </c>
      <c r="E598">
        <v>1</v>
      </c>
      <c r="F598">
        <v>1</v>
      </c>
      <c r="G598" t="b">
        <v>0</v>
      </c>
      <c r="H598">
        <v>5</v>
      </c>
      <c r="I598">
        <v>2</v>
      </c>
      <c r="J598">
        <v>0.2</v>
      </c>
    </row>
    <row r="599" spans="1:10" x14ac:dyDescent="0.3">
      <c r="A599">
        <v>598</v>
      </c>
      <c r="B599" s="1">
        <v>40571</v>
      </c>
      <c r="C599">
        <v>1</v>
      </c>
      <c r="D599">
        <v>0</v>
      </c>
      <c r="E599">
        <v>1</v>
      </c>
      <c r="F599">
        <v>2</v>
      </c>
      <c r="G599" t="b">
        <v>0</v>
      </c>
      <c r="H599">
        <v>5</v>
      </c>
      <c r="I599">
        <v>2</v>
      </c>
      <c r="J599">
        <v>0.2</v>
      </c>
    </row>
    <row r="600" spans="1:10" x14ac:dyDescent="0.3">
      <c r="A600">
        <v>599</v>
      </c>
      <c r="B600" s="1">
        <v>40571</v>
      </c>
      <c r="C600">
        <v>1</v>
      </c>
      <c r="D600">
        <v>0</v>
      </c>
      <c r="E600">
        <v>1</v>
      </c>
      <c r="F600">
        <v>3</v>
      </c>
      <c r="G600" t="b">
        <v>0</v>
      </c>
      <c r="H600">
        <v>5</v>
      </c>
      <c r="I600">
        <v>2</v>
      </c>
      <c r="J600">
        <v>0.2</v>
      </c>
    </row>
    <row r="601" spans="1:10" x14ac:dyDescent="0.3">
      <c r="A601">
        <v>600</v>
      </c>
      <c r="B601" s="1">
        <v>40571</v>
      </c>
      <c r="C601">
        <v>1</v>
      </c>
      <c r="D601">
        <v>0</v>
      </c>
      <c r="E601">
        <v>1</v>
      </c>
      <c r="F601">
        <v>5</v>
      </c>
      <c r="G601" t="b">
        <v>0</v>
      </c>
      <c r="H601">
        <v>5</v>
      </c>
      <c r="I601">
        <v>2</v>
      </c>
      <c r="J601">
        <v>0.18</v>
      </c>
    </row>
    <row r="602" spans="1:10" x14ac:dyDescent="0.3">
      <c r="A602">
        <v>601</v>
      </c>
      <c r="B602" s="1">
        <v>40571</v>
      </c>
      <c r="C602">
        <v>1</v>
      </c>
      <c r="D602">
        <v>0</v>
      </c>
      <c r="E602">
        <v>1</v>
      </c>
      <c r="F602">
        <v>6</v>
      </c>
      <c r="G602" t="b">
        <v>0</v>
      </c>
      <c r="H602">
        <v>5</v>
      </c>
      <c r="I602">
        <v>2</v>
      </c>
      <c r="J602">
        <v>0.18</v>
      </c>
    </row>
    <row r="603" spans="1:10" x14ac:dyDescent="0.3">
      <c r="A603">
        <v>602</v>
      </c>
      <c r="B603" s="1">
        <v>40571</v>
      </c>
      <c r="C603">
        <v>1</v>
      </c>
      <c r="D603">
        <v>0</v>
      </c>
      <c r="E603">
        <v>1</v>
      </c>
      <c r="F603">
        <v>7</v>
      </c>
      <c r="G603" t="b">
        <v>0</v>
      </c>
      <c r="H603">
        <v>5</v>
      </c>
      <c r="I603">
        <v>2</v>
      </c>
      <c r="J603">
        <v>0.16</v>
      </c>
    </row>
    <row r="604" spans="1:10" x14ac:dyDescent="0.3">
      <c r="A604">
        <v>603</v>
      </c>
      <c r="B604" s="1">
        <v>40571</v>
      </c>
      <c r="C604">
        <v>1</v>
      </c>
      <c r="D604">
        <v>0</v>
      </c>
      <c r="E604">
        <v>1</v>
      </c>
      <c r="F604">
        <v>8</v>
      </c>
      <c r="G604" t="b">
        <v>0</v>
      </c>
      <c r="H604">
        <v>5</v>
      </c>
      <c r="I604">
        <v>2</v>
      </c>
      <c r="J604">
        <v>0.16</v>
      </c>
    </row>
    <row r="605" spans="1:10" x14ac:dyDescent="0.3">
      <c r="A605">
        <v>604</v>
      </c>
      <c r="B605" s="1">
        <v>40571</v>
      </c>
      <c r="C605">
        <v>1</v>
      </c>
      <c r="D605">
        <v>0</v>
      </c>
      <c r="E605">
        <v>1</v>
      </c>
      <c r="F605">
        <v>9</v>
      </c>
      <c r="G605" t="b">
        <v>0</v>
      </c>
      <c r="H605">
        <v>5</v>
      </c>
      <c r="I605">
        <v>3</v>
      </c>
      <c r="J605">
        <v>0.18</v>
      </c>
    </row>
    <row r="606" spans="1:10" x14ac:dyDescent="0.3">
      <c r="A606">
        <v>605</v>
      </c>
      <c r="B606" s="1">
        <v>40571</v>
      </c>
      <c r="C606">
        <v>1</v>
      </c>
      <c r="D606">
        <v>0</v>
      </c>
      <c r="E606">
        <v>1</v>
      </c>
      <c r="F606">
        <v>10</v>
      </c>
      <c r="G606" t="b">
        <v>0</v>
      </c>
      <c r="H606">
        <v>5</v>
      </c>
      <c r="I606">
        <v>3</v>
      </c>
      <c r="J606">
        <v>0.18</v>
      </c>
    </row>
    <row r="607" spans="1:10" x14ac:dyDescent="0.3">
      <c r="A607">
        <v>606</v>
      </c>
      <c r="B607" s="1">
        <v>40571</v>
      </c>
      <c r="C607">
        <v>1</v>
      </c>
      <c r="D607">
        <v>0</v>
      </c>
      <c r="E607">
        <v>1</v>
      </c>
      <c r="F607">
        <v>11</v>
      </c>
      <c r="G607" t="b">
        <v>0</v>
      </c>
      <c r="H607">
        <v>5</v>
      </c>
      <c r="I607">
        <v>3</v>
      </c>
      <c r="J607">
        <v>0.18</v>
      </c>
    </row>
    <row r="608" spans="1:10" x14ac:dyDescent="0.3">
      <c r="A608">
        <v>607</v>
      </c>
      <c r="B608" s="1">
        <v>40571</v>
      </c>
      <c r="C608">
        <v>1</v>
      </c>
      <c r="D608">
        <v>0</v>
      </c>
      <c r="E608">
        <v>1</v>
      </c>
      <c r="F608">
        <v>12</v>
      </c>
      <c r="G608" t="b">
        <v>0</v>
      </c>
      <c r="H608">
        <v>5</v>
      </c>
      <c r="I608">
        <v>3</v>
      </c>
      <c r="J608">
        <v>0.18</v>
      </c>
    </row>
    <row r="609" spans="1:10" x14ac:dyDescent="0.3">
      <c r="A609">
        <v>608</v>
      </c>
      <c r="B609" s="1">
        <v>40571</v>
      </c>
      <c r="C609">
        <v>1</v>
      </c>
      <c r="D609">
        <v>0</v>
      </c>
      <c r="E609">
        <v>1</v>
      </c>
      <c r="F609">
        <v>13</v>
      </c>
      <c r="G609" t="b">
        <v>0</v>
      </c>
      <c r="H609">
        <v>5</v>
      </c>
      <c r="I609">
        <v>3</v>
      </c>
      <c r="J609">
        <v>0.18</v>
      </c>
    </row>
    <row r="610" spans="1:10" x14ac:dyDescent="0.3">
      <c r="A610">
        <v>609</v>
      </c>
      <c r="B610" s="1">
        <v>40571</v>
      </c>
      <c r="C610">
        <v>1</v>
      </c>
      <c r="D610">
        <v>0</v>
      </c>
      <c r="E610">
        <v>1</v>
      </c>
      <c r="F610">
        <v>14</v>
      </c>
      <c r="G610" t="b">
        <v>0</v>
      </c>
      <c r="H610">
        <v>5</v>
      </c>
      <c r="I610">
        <v>3</v>
      </c>
      <c r="J610">
        <v>0.22</v>
      </c>
    </row>
    <row r="611" spans="1:10" x14ac:dyDescent="0.3">
      <c r="A611">
        <v>610</v>
      </c>
      <c r="B611" s="1">
        <v>40571</v>
      </c>
      <c r="C611">
        <v>1</v>
      </c>
      <c r="D611">
        <v>0</v>
      </c>
      <c r="E611">
        <v>1</v>
      </c>
      <c r="F611">
        <v>15</v>
      </c>
      <c r="G611" t="b">
        <v>0</v>
      </c>
      <c r="H611">
        <v>5</v>
      </c>
      <c r="I611">
        <v>2</v>
      </c>
      <c r="J611">
        <v>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678A20-636F-4961-8F7B-EBAB086D6A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Detail1</vt:lpstr>
      <vt:lpstr>Dash Board</vt:lpstr>
      <vt:lpstr>Day Rental trend</vt:lpstr>
      <vt:lpstr>Hourly Rental trend</vt:lpstr>
      <vt:lpstr>Casual vs Registered Users</vt:lpstr>
      <vt:lpstr>Weekend vs Weekday Analysis</vt:lpstr>
      <vt:lpstr>Temperature vs Rentals</vt:lpstr>
      <vt:lpstr>Weekday VS Rental_user</vt:lpstr>
      <vt:lpstr>KPI_1</vt:lpstr>
      <vt:lpstr>KPI_2</vt:lpstr>
      <vt:lpstr>KPI_3</vt:lpstr>
      <vt:lpstr>KPI_4</vt:lpstr>
      <vt:lpstr>Time Slot Analysis</vt:lpstr>
      <vt:lpstr>kpi-5</vt:lpstr>
      <vt:lpstr>KPI-6</vt:lpstr>
      <vt:lpstr>Weather Impact on Rentals</vt:lpstr>
      <vt:lpstr>Dataset_AFinal</vt:lpstr>
      <vt:lpstr>Bike Sharing Data</vt:lpstr>
      <vt:lpstr>Raw_data1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Krunal Modi</dc:creator>
  <cp:lastModifiedBy>Krunal Modi</cp:lastModifiedBy>
  <dcterms:created xsi:type="dcterms:W3CDTF">2026-05-12T11:21:03Z</dcterms:created>
  <dcterms:modified xsi:type="dcterms:W3CDTF">2026-05-17T17:44:35Z</dcterms:modified>
</cp:coreProperties>
</file>